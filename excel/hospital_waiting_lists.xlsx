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602"/>
  <workbookPr hidePivotFieldList="1"/>
  <xr:revisionPtr revIDLastSave="0" documentId="8_{58C48B21-3305-4D82-AA5B-B6472E49C63D}" xr6:coauthVersionLast="47" xr6:coauthVersionMax="47" xr10:uidLastSave="{00000000-0000-0000-0000-000000000000}"/>
  <bookViews>
    <workbookView xWindow="0" yWindow="0" windowWidth="20490" windowHeight="7620" xr2:uid="{00000000-000D-0000-FFFF-FFFF00000000}"/>
  </bookViews>
  <sheets>
    <sheet name="Dashboard" sheetId="10" r:id="rId1"/>
    <sheet name="Data" sheetId="3" r:id="rId2"/>
    <sheet name="Monthly Summary" sheetId="5" r:id="rId3"/>
    <sheet name="Hospitals" sheetId="6" r:id="rId4"/>
    <sheet name="Long Waits" sheetId="8" r:id="rId5"/>
    <sheet name="Adults vs Children" sheetId="9" r:id="rId6"/>
    <sheet name="Findings" sheetId="7" r:id="rId7"/>
    <sheet name="Validation" sheetId="4" r:id="rId8"/>
  </sheets>
  <calcPr calcId="191028"/>
  <pivotCaches>
    <pivotCache cacheId="672"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10" l="1"/>
  <c r="H6" i="10"/>
  <c r="F6" i="10"/>
  <c r="D6" i="10"/>
  <c r="G4" i="9" a="1"/>
  <c r="G4" i="9"/>
  <c r="F4" i="9" a="1"/>
  <c r="E4" i="9" a="1"/>
  <c r="E4" i="9"/>
  <c r="D4" i="9" a="1"/>
  <c r="D4" i="9"/>
  <c r="A4" i="9" a="1"/>
  <c r="A4" i="9"/>
  <c r="I34" i="8"/>
  <c r="I5" i="8" a="1"/>
  <c r="I5" i="8"/>
  <c r="B1" i="8"/>
  <c r="A5" i="8" s="1" a="1"/>
  <c r="A2" i="5" a="1"/>
  <c r="A2" i="5"/>
  <c r="F2" i="5" a="1"/>
  <c r="F2" i="5"/>
  <c r="E2" i="5" a="1"/>
  <c r="E2" i="5"/>
  <c r="C2" i="5" a="1"/>
  <c r="C2" i="5"/>
  <c r="B2" i="5" a="1"/>
  <c r="B2" i="5"/>
  <c r="L6" i="10" l="1"/>
  <c r="L7" i="10" s="1"/>
  <c r="J6" i="10"/>
  <c r="H4" i="9" a="1"/>
  <c r="H4" i="9" s="1"/>
  <c r="F4" i="9"/>
  <c r="B4" i="9" a="1"/>
  <c r="B4" i="9" s="1"/>
  <c r="C4" i="9" a="1"/>
  <c r="C4" i="9" s="1"/>
  <c r="A5" i="8"/>
  <c r="B5" i="8" a="1"/>
  <c r="B5" i="8" s="1"/>
  <c r="C5" i="8" a="1"/>
  <c r="C5" i="8" s="1"/>
  <c r="D5" i="8" a="1"/>
  <c r="D5" i="8" s="1"/>
  <c r="E5" i="8" a="1"/>
  <c r="E5" i="8" s="1"/>
  <c r="F5" i="8" a="1"/>
  <c r="D2" i="5" a="1"/>
  <c r="D2" i="5" s="1"/>
  <c r="G2" i="5" a="1"/>
  <c r="G2" i="5" s="1"/>
  <c r="H2" i="5" a="1"/>
  <c r="H2" i="5" s="1"/>
  <c r="F5" i="8" l="1"/>
  <c r="G5" i="8" a="1"/>
  <c r="G5" i="8"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<sst xmlns="http://schemas.openxmlformats.org/spreadsheetml/2006/main" count="19293" uniqueCount="107">
  <si>
    <t>Ireland's Hospital Waiting Lists 2023–2026: Who Is Waiting, Where, and for How Long?</t>
  </si>
  <si>
    <t>Source: National Treatment Purchase Fund (NTPF) Open Data</t>
  </si>
  <si>
    <t>📅 Latest Month</t>
  </si>
  <si>
    <t>👥 Total Waiting</t>
  </si>
  <si>
    <t>🩺 Outpatients</t>
  </si>
  <si>
    <t>🛏️ Inpatient/Day Case</t>
  </si>
  <si>
    <t>⏳ Waiting 12+ Months</t>
  </si>
  <si>
    <t>📈 Change vs Last Year</t>
  </si>
  <si>
    <t>of all patients waiting</t>
  </si>
  <si>
    <t>KEY INSIGHTS
- Waiting lists passed 800,000 in August 2026, up 11.3% in a year.
- The share waiting over 12 months improved in 2023 but has risen again since 2025.
- Beaumont has the largest outpatient list (56,903); the top 3 hospitals hold 23% of all outpatients.
- St. Columcille's has 56.9% of outpatients waiting 18+ months, 7.6 times the national rate.
- Children's lists fell in 2025 while adult lists grew; the gap in long waits has closed.</t>
  </si>
  <si>
    <t>Date</t>
  </si>
  <si>
    <t>Adult_Child</t>
  </si>
  <si>
    <t>HospitalName</t>
  </si>
  <si>
    <t>0-6 Months</t>
  </si>
  <si>
    <t>6-12 Months</t>
  </si>
  <si>
    <t>12-18 Months</t>
  </si>
  <si>
    <t>18 Months +</t>
  </si>
  <si>
    <t>Total</t>
  </si>
  <si>
    <t>Month</t>
  </si>
  <si>
    <t>Waiting 12+ Months</t>
  </si>
  <si>
    <t>List Type</t>
  </si>
  <si>
    <t>Child</t>
  </si>
  <si>
    <t>Our Lady's Hospital Navan</t>
  </si>
  <si>
    <t>Outpatient</t>
  </si>
  <si>
    <t>St. John's Hospital Limerick</t>
  </si>
  <si>
    <t>Mercy University Hospital</t>
  </si>
  <si>
    <t>Inpatient/Day Case</t>
  </si>
  <si>
    <t>Croom Orthopaedic Hospital</t>
  </si>
  <si>
    <t>Mallow General Hospital</t>
  </si>
  <si>
    <t>St. Luke's General Hospital Kilkenny</t>
  </si>
  <si>
    <t>Cork University Maternity Hospital</t>
  </si>
  <si>
    <t>Roscommon University Hospital</t>
  </si>
  <si>
    <t>Tipperary University Hospital</t>
  </si>
  <si>
    <t>Coombe Women and Infants University Hospital</t>
  </si>
  <si>
    <t>Rotunda Hospital</t>
  </si>
  <si>
    <t>Nenagh Hospital</t>
  </si>
  <si>
    <t>Tallaght University Hospital</t>
  </si>
  <si>
    <t>Ennis Hospital</t>
  </si>
  <si>
    <t>National Maternity Hospital (Holles Street)</t>
  </si>
  <si>
    <t>Naas General Hospital</t>
  </si>
  <si>
    <t>Adult</t>
  </si>
  <si>
    <t>Cavan General Hospital</t>
  </si>
  <si>
    <t>Louth County Hospital</t>
  </si>
  <si>
    <t>Midland Regional Hospital Tullamore</t>
  </si>
  <si>
    <t>University Hospital Kerry</t>
  </si>
  <si>
    <t>Midland Regional Hospital Portlaoise</t>
  </si>
  <si>
    <t>Portiuncula University Hospital</t>
  </si>
  <si>
    <t>Mayo University Hospital</t>
  </si>
  <si>
    <t>Beaumont Hospital</t>
  </si>
  <si>
    <t>Wexford General Hospital</t>
  </si>
  <si>
    <t>Bantry General Hospital</t>
  </si>
  <si>
    <t>Midland Regional Hospital Mullingar</t>
  </si>
  <si>
    <t>Our Lady of Lourdes Hospital Drogheda</t>
  </si>
  <si>
    <t>Small Volume Hospitals</t>
  </si>
  <si>
    <t>National Orthopaedic Hospital Cappagh</t>
  </si>
  <si>
    <t>Connolly Hospital Blanchardstown</t>
  </si>
  <si>
    <t>Kilcreene Regional Orthopaedic Hospital</t>
  </si>
  <si>
    <t>Letterkenny University Hospital</t>
  </si>
  <si>
    <t>North Dublin Surgical Hub</t>
  </si>
  <si>
    <t>University Hospital Limerick</t>
  </si>
  <si>
    <t>Sligo University Hospital</t>
  </si>
  <si>
    <t>South Infirmary Victoria University Hospital</t>
  </si>
  <si>
    <t>St. Columcille's Hospital</t>
  </si>
  <si>
    <t>Royal Victoria Eye and Ear Hospital</t>
  </si>
  <si>
    <t>Children's Health Ireland</t>
  </si>
  <si>
    <t>Cork University Hospital</t>
  </si>
  <si>
    <t>Galway University Hospitals</t>
  </si>
  <si>
    <t>University Hospital Waterford</t>
  </si>
  <si>
    <t>Mater Misericordiae University Hospital</t>
  </si>
  <si>
    <t>St. James's Hospital</t>
  </si>
  <si>
    <t>St. Michael's Hospital</t>
  </si>
  <si>
    <t>St. Vincent's University Hospital</t>
  </si>
  <si>
    <t>Months</t>
  </si>
  <si>
    <t>Total Waiting</t>
  </si>
  <si>
    <t>Outpatient 12+ Months</t>
  </si>
  <si>
    <t>Inpatient 12+ Months</t>
  </si>
  <si>
    <t>% Outpatient 12+</t>
  </si>
  <si>
    <t>% Inpatient 12+</t>
  </si>
  <si>
    <t>Sum of Total</t>
  </si>
  <si>
    <t>Grand Total</t>
  </si>
  <si>
    <t>Month:</t>
  </si>
  <si>
    <t>List:</t>
  </si>
  <si>
    <t>Top 10 by % waiting 18+ months (hospitals with 1,000+ patients)</t>
  </si>
  <si>
    <t>Hospital</t>
  </si>
  <si>
    <t>18+ Months</t>
  </si>
  <si>
    <t>% 18+ Months</t>
  </si>
  <si>
    <t>% Adults 12+</t>
  </si>
  <si>
    <t>% Children 12+</t>
  </si>
  <si>
    <t>Adults</t>
  </si>
  <si>
    <t>Children</t>
  </si>
  <si>
    <t>Adults 12+</t>
  </si>
  <si>
    <t>Children 12+</t>
  </si>
  <si>
    <t>Child Share of List</t>
  </si>
  <si>
    <t>How have waiting lists changed?</t>
  </si>
  <si>
    <t>The outpatient waiting list fell from 589,676 in January 2023 to a low of 562,038 in December 2023, but has grown since, reaching 687,839 in August 2026 (+22% from the December 2023 low). The inpatient/day case list grew even faster, from 94,456 in January 2025 to 114,921 in August 2026 (+21.7% in 19 months). In August 2026 the two lists combined passed 800,000 patients (802,760) for the first time in the 2023–2026 period.</t>
  </si>
  <si>
    <t>Monthly Summary</t>
  </si>
  <si>
    <t>How many people wait 12+ months?</t>
  </si>
  <si>
    <t>Long waits improved sharply during 2023: the share of outpatients waiting more than 12 months fell from about 25.8% in January 2023 to about 16% by early 2025, likely reflecting targeted efforts to treat the longest waiters. Since 2025 this progress has reversed for both lists. The outpatient share rose to 17.7% and the inpatient/day case share reached 18.5% in August 2026, its highest level in the period. Waiting lists are now growing in size and in waiting time at the same time.</t>
  </si>
  <si>
    <t>Which hospitals have the longest lists?</t>
  </si>
  <si>
    <t>In August 2026, Beaumont Hospital had the largest outpatient waiting list in Ireland, with 56,903 patients, up 22% from 46,468 in December 2025, overtaking Galway University Hospitals (51,745). The top 3 hospitals (Beaumont, Galway and University Hospital Waterford) accounted for 23.1% of all 687,839 outpatients waiting, and the top 10 for 58%, across 44 hospitals. Inpatient/day case waiting is even more concentrated: Galway (14,548), the Mater (11,536) and Beaumont (11,411) hold 32.6% of all 114,921 patients waiting.</t>
  </si>
  <si>
    <t>Hospitals</t>
  </si>
  <si>
    <t>Which hospitals have the worst long waits?</t>
  </si>
  <si>
    <t>Having the largest waiting list is not the same as having the longest waits. In August 2026, St. Columcille's Hospital had 56.9% of its outpatients waiting more than 18 months, 7.6 times the national rate of 7.5%. With 6,199 patients waiting 18+ months, it had more long waiters than Galway University Hospitals (5,437), despite a list almost five times smaller (10,892 vs 51,745). Beaumont Hospital, which has the largest outpatient list, does not appear in the top 10 for long waits, suggesting that long waits are concentrated in specific hospitals rather than simply in the busiest ones.</t>
  </si>
  <si>
    <t xml:space="preserve">	Long Waits</t>
  </si>
  <si>
    <t>How do adults and children compare?</t>
  </si>
  <si>
    <t>In 2025, waiting lists grew for adults but fell for children. On the outpatient list, adults rose 9.7% (494,617 to 542,556) while children fell 7.0% (74,632 to 69,431), so children's share of the list dropped from 13.1% to 11.3%. The gap was even larger for inpatient/day case treatment: adults rose 16.0% (85,218 to 98,829) while children fell 9.6% (9,238 to 8,352). Children's long waits also improved sharply: the share of children waiting 12+ months for inpatient/day case treatment fell from 23.7% to 17.0%, while for adults it rose from 13.9% to 16.3%. By December 2025 the gap between children and adults had almost closed on both lists, likely reflecting targeted efforts on children's waiting lists, while adult waits are getting worse.</t>
  </si>
  <si>
    <t>Adults vs Children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</si>
</sst>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mmm\ yyyy"/>
    <numFmt numFmtId="165" formatCode="0.0%"/>
  </numFmts>
  <fonts count="13">
    <font>
      <sz val="11"/>
      <color theme="1"/>
      <name val="Calibri"/>
      <charset val="134"/>
      <scheme val="minor"/>
    </font>
    <font>
      <b/>
      <sz val="11"/>
      <color theme="1"/>
      <name val="Calibri"/>
      <charset val="134"/>
      <scheme val="minor"/>
    </font>
    <font>
      <sz val="11"/>
      <color theme="1"/>
      <name val="Segoe UI"/>
    </font>
    <font>
      <b/>
      <sz val="18"/>
      <color rgb="FFFFFFFF"/>
      <name val="Segoe UI"/>
    </font>
    <font>
      <i/>
      <sz val="9"/>
      <color rgb="FF64748B"/>
      <name val="Segoe UI"/>
    </font>
    <font>
      <i/>
      <sz val="11"/>
      <color rgb="FF64748B"/>
      <name val="Segoe UI"/>
    </font>
    <font>
      <b/>
      <sz val="10"/>
      <color rgb="FF64748B"/>
      <name val="Segoe UI"/>
    </font>
    <font>
      <b/>
      <sz val="20"/>
      <color rgb="FF0F766E"/>
      <name val="Segoe UI"/>
    </font>
    <font>
      <b/>
      <sz val="20"/>
      <color rgb="FFE4572E"/>
      <name val="Segoe UI"/>
    </font>
    <font>
      <sz val="11"/>
      <color rgb="FFE4572E"/>
      <name val="Segoe UI"/>
    </font>
    <font>
      <b/>
      <sz val="11"/>
      <color rgb="FF0F766E"/>
      <name val="Segoe UI"/>
    </font>
    <font>
      <sz val="11"/>
      <color theme="0"/>
      <name val="Calibri"/>
      <charset val="134"/>
      <scheme val="minor"/>
    </font>
    <font>
      <i/>
      <sz val="12"/>
      <color rgb="FFFFFFFF"/>
      <name val="Segoe UI"/>
    </font>
  </fonts>
  <fills count="4">
    <fill>
      <patternFill patternType="none"/>
    </fill>
    <fill>
      <patternFill patternType="gray125"/>
    </fill>
    <fill>
      <patternFill patternType="solid">
        <fgColor rgb="FF0F766E"/>
        <bgColor indexed="64"/>
      </patternFill>
    </fill>
    <fill>
      <patternFill patternType="solid">
        <fgColor rgb="FFE8F5F2"/>
        <bgColor indexed="64"/>
      </patternFill>
    </fill>
  </fills>
  <borders count="1">
    <border>
      <left/>
      <right/>
      <top/>
      <bottom/>
      <diagonal/>
    </border>
  </borders>
  <cellStyleXfs count="1">
    <xf numFmtId="0" fontId="0" fillId="0" borderId="0">
      <alignment vertical="center"/>
    </xf>
  </cellStyleXfs>
  <cellXfs count="33">
    <xf numFmtId="0" fontId="0" fillId="0" borderId="0" xfId="0">
      <alignment vertical="center"/>
    </xf>
    <xf numFmtId="14" fontId="0" fillId="0" borderId="0" xfId="0" applyNumberFormat="1">
      <alignment vertical="center"/>
    </xf>
    <xf numFmtId="0" fontId="0" fillId="0" borderId="0" xfId="0" pivotButton="1">
      <alignment vertical="center"/>
    </xf>
    <xf numFmtId="3" fontId="0" fillId="0" borderId="0" xfId="0" applyNumberFormat="1">
      <alignment vertical="center"/>
    </xf>
    <xf numFmtId="164" fontId="0" fillId="0" borderId="0" xfId="0" applyNumberFormat="1">
      <alignment vertical="center"/>
    </xf>
    <xf numFmtId="10" fontId="0" fillId="0" borderId="0" xfId="0" applyNumberFormat="1">
      <alignment vertical="center"/>
    </xf>
    <xf numFmtId="165" fontId="0" fillId="0" borderId="0" xfId="0" applyNumberFormat="1">
      <alignment vertical="center"/>
    </xf>
    <xf numFmtId="164" fontId="1" fillId="0" borderId="0" xfId="0" applyNumberFormat="1" applyFont="1">
      <alignment vertical="center"/>
    </xf>
    <xf numFmtId="3" fontId="1" fillId="0" borderId="0" xfId="0" applyNumberFormat="1" applyFont="1">
      <alignment vertical="center"/>
    </xf>
    <xf numFmtId="165" fontId="1" fillId="0" borderId="0" xfId="0" applyNumberFormat="1" applyFont="1">
      <alignment vertical="center"/>
    </xf>
    <xf numFmtId="0" fontId="1" fillId="0" borderId="0" xfId="0" applyFont="1">
      <alignment vertical="center"/>
    </xf>
    <xf numFmtId="14" fontId="0" fillId="0" borderId="0" xfId="0" applyNumberFormat="1" applyAlignment="1">
      <alignment horizontal="left" vertical="center"/>
    </xf>
    <xf numFmtId="3" fontId="0" fillId="0" borderId="0" xfId="0" applyNumberFormat="1" applyAlignment="1">
      <alignment vertical="top" wrapText="1"/>
    </xf>
    <xf numFmtId="0" fontId="0" fillId="0" borderId="0" xfId="0" applyAlignment="1">
      <alignment vertical="center" wrapText="1"/>
    </xf>
    <xf numFmtId="164" fontId="0" fillId="0" borderId="0" xfId="0" applyNumberFormat="1" applyAlignment="1">
      <alignment vertical="top" wrapText="1"/>
    </xf>
    <xf numFmtId="3" fontId="0" fillId="0" borderId="0" xfId="0" applyNumberFormat="1" applyAlignment="1">
      <alignment vertical="top"/>
    </xf>
    <xf numFmtId="164" fontId="0" fillId="0" borderId="0" xfId="0" applyNumberFormat="1" applyAlignment="1">
      <alignment vertical="top"/>
    </xf>
    <xf numFmtId="0" fontId="1" fillId="0" borderId="0" xfId="0" applyFont="1" applyAlignment="1">
      <alignment vertical="center" wrapText="1"/>
    </xf>
    <xf numFmtId="0" fontId="2" fillId="0" borderId="0" xfId="0" applyFont="1">
      <alignment vertical="center"/>
    </xf>
    <xf numFmtId="0" fontId="3" fillId="2" borderId="0" xfId="0" applyFont="1" applyFill="1" applyAlignment="1">
      <alignment horizontal="center" vertical="center"/>
    </xf>
    <xf numFmtId="0" fontId="4" fillId="0" borderId="0" xfId="0" applyFont="1">
      <alignment vertical="center"/>
    </xf>
    <xf numFmtId="0" fontId="5" fillId="0" borderId="0" xfId="0" applyFont="1">
      <alignment vertical="center"/>
    </xf>
    <xf numFmtId="0" fontId="6" fillId="3" borderId="0" xfId="0" applyFont="1" applyFill="1" applyBorder="1" applyAlignment="1">
      <alignment horizontal="center" vertical="center"/>
    </xf>
    <xf numFmtId="164" fontId="7" fillId="3" borderId="0" xfId="0" applyNumberFormat="1" applyFont="1" applyFill="1" applyBorder="1" applyAlignment="1">
      <alignment horizontal="center" vertical="center"/>
    </xf>
    <xf numFmtId="3" fontId="7" fillId="3" borderId="0" xfId="0" applyNumberFormat="1" applyFont="1" applyFill="1" applyBorder="1" applyAlignment="1">
      <alignment horizontal="center" vertical="center"/>
    </xf>
    <xf numFmtId="165" fontId="7" fillId="3" borderId="0" xfId="0" applyNumberFormat="1" applyFont="1" applyFill="1" applyBorder="1" applyAlignment="1">
      <alignment horizontal="center" vertical="center"/>
    </xf>
    <xf numFmtId="165" fontId="8" fillId="3" borderId="0" xfId="0" applyNumberFormat="1" applyFont="1" applyFill="1" applyBorder="1" applyAlignment="1">
      <alignment horizontal="center" vertical="center"/>
    </xf>
    <xf numFmtId="0" fontId="2" fillId="0" borderId="0" xfId="0" applyFont="1" applyBorder="1" applyAlignment="1">
      <alignment horizontal="center" vertical="center"/>
    </xf>
    <xf numFmtId="0" fontId="10" fillId="3" borderId="0" xfId="0" applyFont="1" applyFill="1" applyBorder="1" applyAlignment="1">
      <alignment horizontal="center" vertical="center"/>
    </xf>
    <xf numFmtId="0" fontId="9" fillId="0" borderId="0" xfId="0" applyFont="1" applyBorder="1" applyAlignment="1">
      <alignment horizontal="center" vertical="center"/>
    </xf>
    <xf numFmtId="0" fontId="0" fillId="0" borderId="0" xfId="0" applyAlignment="1">
      <alignment vertical="center"/>
    </xf>
    <xf numFmtId="0" fontId="11" fillId="2" borderId="0" xfId="0" applyFont="1" applyFill="1" applyAlignment="1">
      <alignment horizontal="left" vertical="top" wrapText="1"/>
    </xf>
    <xf numFmtId="0" fontId="12" fillId="2" borderId="0" xfId="0" applyFont="1" applyFill="1" applyAlignment="1">
      <alignment horizontal="left" vertical="top" wrapText="1"/>
    </xf>
  </cellXfs>
  <cellStyles count="1">
    <cellStyle name="Normal" xfId="0" builtinId="0"/>
  </cellStyles>
  <dxfs count="19">
    <dxf>
      <numFmt numFmtId="19" formatCode="m/d/yyyy"/>
    </dxf>
    <dxf>
      <numFmt numFmtId="19" formatCode="m/d/yyyy"/>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8"/>
      <tableStyleElement type="headerRow" dxfId="17"/>
      <tableStyleElement type="totalRow" dxfId="16"/>
      <tableStyleElement type="firstColumn" dxfId="15"/>
      <tableStyleElement type="lastColumn" dxfId="14"/>
      <tableStyleElement type="firstRowStripe" dxfId="13"/>
      <tableStyleElement type="firstColumnStripe" dxfId="12"/>
    </tableStyle>
    <tableStyle name="PivotStylePreset2_Accent1" table="0" count="10" xr9:uid="{267968C8-6FFD-4C36-ACC1-9EA1FD1885CA}">
      <tableStyleElement type="headerRow" dxfId="11"/>
      <tableStyleElement type="totalRow" dxfId="10"/>
      <tableStyleElement type="firstRowStripe" dxfId="9"/>
      <tableStyleElement type="firstColumnStripe" dxfId="8"/>
      <tableStyleElement type="firstSubtotalRow" dxfId="7"/>
      <tableStyleElement type="secondSubtotalRow" dxfId="6"/>
      <tableStyleElement type="firstRowSubheading" dxfId="5"/>
      <tableStyleElement type="secondRowSubheading" dxfId="4"/>
      <tableStyleElement type="pageFieldLabels" dxfId="3"/>
      <tableStyleElement type="pageFieldValues" dxfId="2"/>
    </tableStyle>
  </tableStyles>
  <colors>
    <mruColors>
      <color rgb="FF0F766E"/>
      <color rgb="FF1F2937"/>
      <color rgb="FFCBD5E1"/>
      <color rgb="FFE8F5F2"/>
      <color rgb="FF9AFCF4"/>
      <color rgb="FFE4572E"/>
      <color rgb="FF64748B"/>
      <color rgb="FF1E366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1F2937"/>
                </a:solidFill>
                <a:latin typeface="+mn-lt"/>
                <a:ea typeface="+mn-ea"/>
                <a:cs typeface="+mn-cs"/>
              </a:defRPr>
            </a:pPr>
            <a:r>
              <a:rPr lang="en-US"/>
              <a:t>Outpatients Waiting</a:t>
            </a:r>
          </a:p>
        </c:rich>
      </c:tx>
      <c:overlay val="0"/>
      <c:spPr>
        <a:noFill/>
        <a:ln w="25400">
          <a:noFill/>
        </a:ln>
        <a:effectLst/>
      </c:spPr>
      <c:txPr>
        <a:bodyPr rot="0" spcFirstLastPara="1" vertOverflow="ellipsis" vert="horz" wrap="square" anchor="ctr" anchorCtr="1"/>
        <a:lstStyle/>
        <a:p>
          <a:pPr>
            <a:defRPr sz="1400" b="1" i="0" u="none" strike="noStrike" kern="1200" spc="0" baseline="0">
              <a:solidFill>
                <a:srgbClr val="1F2937"/>
              </a:solidFill>
              <a:latin typeface="+mn-lt"/>
              <a:ea typeface="+mn-ea"/>
              <a:cs typeface="+mn-cs"/>
            </a:defRPr>
          </a:pPr>
          <a:endParaRPr lang="en-US"/>
        </a:p>
      </c:txPr>
    </c:title>
    <c:autoTitleDeleted val="0"/>
    <c:plotArea>
      <c:layout/>
      <c:lineChart>
        <c:grouping val="standard"/>
        <c:varyColors val="0"/>
        <c:ser>
          <c:idx val="0"/>
          <c:order val="0"/>
          <c:tx>
            <c:strRef>
              <c:f>'Monthly Summary'!$B$1</c:f>
              <c:strCache>
                <c:ptCount val="1"/>
                <c:pt idx="0">
                  <c:v>Outpatient</c:v>
                </c:pt>
              </c:strCache>
            </c:strRef>
          </c:tx>
          <c:spPr>
            <a:ln w="28575" cap="rnd">
              <a:solidFill>
                <a:schemeClr val="accent1"/>
              </a:solidFill>
              <a:round/>
            </a:ln>
            <a:effectLst/>
          </c:spPr>
          <c:marker>
            <c:symbol val="none"/>
          </c:marker>
          <c:cat>
            <c:numRef>
              <c:f>'Monthly Summary'!$A$2:$A$45</c:f>
              <c:numCache>
                <c:formatCode>mmm\ yyyy</c:formatCode>
                <c:ptCount val="4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numCache>
            </c:numRef>
          </c:cat>
          <c:val>
            <c:numRef>
              <c:f>'Monthly Summary'!$B$2:$B$45</c:f>
              <c:numCache>
                <c:formatCode>#,##0</c:formatCode>
                <c:ptCount val="44"/>
                <c:pt idx="0">
                  <c:v>589676</c:v>
                </c:pt>
                <c:pt idx="1">
                  <c:v>596102</c:v>
                </c:pt>
                <c:pt idx="2">
                  <c:v>594861</c:v>
                </c:pt>
                <c:pt idx="3">
                  <c:v>596267</c:v>
                </c:pt>
                <c:pt idx="4">
                  <c:v>600883</c:v>
                </c:pt>
                <c:pt idx="5">
                  <c:v>598221</c:v>
                </c:pt>
                <c:pt idx="6">
                  <c:v>601146</c:v>
                </c:pt>
                <c:pt idx="7">
                  <c:v>600819</c:v>
                </c:pt>
                <c:pt idx="8">
                  <c:v>597082</c:v>
                </c:pt>
                <c:pt idx="9">
                  <c:v>588821</c:v>
                </c:pt>
                <c:pt idx="10">
                  <c:v>580056</c:v>
                </c:pt>
                <c:pt idx="11">
                  <c:v>562038</c:v>
                </c:pt>
                <c:pt idx="12">
                  <c:v>568691</c:v>
                </c:pt>
                <c:pt idx="13">
                  <c:v>578595</c:v>
                </c:pt>
                <c:pt idx="14">
                  <c:v>585030</c:v>
                </c:pt>
                <c:pt idx="15">
                  <c:v>589225</c:v>
                </c:pt>
                <c:pt idx="16">
                  <c:v>593388</c:v>
                </c:pt>
                <c:pt idx="17">
                  <c:v>597948</c:v>
                </c:pt>
                <c:pt idx="18">
                  <c:v>599458</c:v>
                </c:pt>
                <c:pt idx="19">
                  <c:v>601490</c:v>
                </c:pt>
                <c:pt idx="20">
                  <c:v>595575</c:v>
                </c:pt>
                <c:pt idx="21">
                  <c:v>588544</c:v>
                </c:pt>
                <c:pt idx="22">
                  <c:v>572403</c:v>
                </c:pt>
                <c:pt idx="23">
                  <c:v>557187</c:v>
                </c:pt>
                <c:pt idx="24">
                  <c:v>569249</c:v>
                </c:pt>
                <c:pt idx="25">
                  <c:v>575716</c:v>
                </c:pt>
                <c:pt idx="26">
                  <c:v>581736</c:v>
                </c:pt>
                <c:pt idx="27">
                  <c:v>584713</c:v>
                </c:pt>
                <c:pt idx="28">
                  <c:v>586917</c:v>
                </c:pt>
                <c:pt idx="29">
                  <c:v>600390</c:v>
                </c:pt>
                <c:pt idx="30">
                  <c:v>614470</c:v>
                </c:pt>
                <c:pt idx="31">
                  <c:v>623008</c:v>
                </c:pt>
                <c:pt idx="32">
                  <c:v>626521</c:v>
                </c:pt>
                <c:pt idx="33">
                  <c:v>626960</c:v>
                </c:pt>
                <c:pt idx="34">
                  <c:v>623819</c:v>
                </c:pt>
                <c:pt idx="35">
                  <c:v>611987</c:v>
                </c:pt>
                <c:pt idx="36">
                  <c:v>631608</c:v>
                </c:pt>
                <c:pt idx="37">
                  <c:v>642158</c:v>
                </c:pt>
                <c:pt idx="38">
                  <c:v>650632</c:v>
                </c:pt>
                <c:pt idx="39">
                  <c:v>660296</c:v>
                </c:pt>
                <c:pt idx="40">
                  <c:v>669506</c:v>
                </c:pt>
                <c:pt idx="41">
                  <c:v>673754</c:v>
                </c:pt>
                <c:pt idx="42">
                  <c:v>683548</c:v>
                </c:pt>
                <c:pt idx="43">
                  <c:v>687839</c:v>
                </c:pt>
              </c:numCache>
            </c:numRef>
          </c:val>
          <c:smooth val="0"/>
          <c:extLst>
            <c:ext xmlns:c16="http://schemas.microsoft.com/office/drawing/2014/chart" uri="{C3380CC4-5D6E-409C-BE32-E72D297353CC}">
              <c16:uniqueId val="{00000000-D4E8-4AD9-89C4-5474DFD66960}"/>
            </c:ext>
          </c:extLst>
        </c:ser>
        <c:dLbls>
          <c:showLegendKey val="0"/>
          <c:showVal val="0"/>
          <c:showCatName val="0"/>
          <c:showSerName val="0"/>
          <c:showPercent val="0"/>
          <c:showBubbleSize val="0"/>
        </c:dLbls>
        <c:smooth val="0"/>
        <c:axId val="1472576520"/>
        <c:axId val="1474744328"/>
      </c:lineChart>
      <c:dateAx>
        <c:axId val="1472576520"/>
        <c:scaling>
          <c:orientation val="minMax"/>
        </c:scaling>
        <c:delete val="0"/>
        <c:axPos val="b"/>
        <c:numFmt formatCode="mmm\ 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4744328"/>
        <c:crosses val="autoZero"/>
        <c:auto val="1"/>
        <c:lblOffset val="100"/>
        <c:baseTimeUnit val="months"/>
      </c:dateAx>
      <c:valAx>
        <c:axId val="14747443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5765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1F2937"/>
                </a:solidFill>
                <a:latin typeface="+mn-lt"/>
                <a:ea typeface="+mn-ea"/>
                <a:cs typeface="+mn-cs"/>
              </a:defRPr>
            </a:pPr>
            <a:r>
              <a:rPr lang="en-US"/>
              <a:t>Inpatients/Day Cases Waiting</a:t>
            </a:r>
          </a:p>
        </c:rich>
      </c:tx>
      <c:overlay val="0"/>
      <c:spPr>
        <a:noFill/>
        <a:ln w="25400">
          <a:noFill/>
        </a:ln>
        <a:effectLst/>
      </c:spPr>
      <c:txPr>
        <a:bodyPr rot="0" spcFirstLastPara="1" vertOverflow="ellipsis" vert="horz" wrap="square" anchor="ctr" anchorCtr="1"/>
        <a:lstStyle/>
        <a:p>
          <a:pPr>
            <a:defRPr sz="1400" b="1" i="0" u="none" strike="noStrike" kern="1200" spc="0" baseline="0">
              <a:solidFill>
                <a:srgbClr val="1F2937"/>
              </a:solidFill>
              <a:latin typeface="+mn-lt"/>
              <a:ea typeface="+mn-ea"/>
              <a:cs typeface="+mn-cs"/>
            </a:defRPr>
          </a:pPr>
          <a:endParaRPr lang="en-US"/>
        </a:p>
      </c:txPr>
    </c:title>
    <c:autoTitleDeleted val="0"/>
    <c:plotArea>
      <c:layout/>
      <c:lineChart>
        <c:grouping val="standard"/>
        <c:varyColors val="0"/>
        <c:ser>
          <c:idx val="0"/>
          <c:order val="0"/>
          <c:tx>
            <c:strRef>
              <c:f>'Monthly Summary'!$C$1</c:f>
              <c:strCache>
                <c:ptCount val="1"/>
                <c:pt idx="0">
                  <c:v>Inpatient/Day Case</c:v>
                </c:pt>
              </c:strCache>
            </c:strRef>
          </c:tx>
          <c:spPr>
            <a:ln w="28575" cap="rnd" cmpd="sng" algn="ctr">
              <a:solidFill>
                <a:srgbClr val="EE822F"/>
              </a:solidFill>
              <a:prstDash val="solid"/>
              <a:round/>
              <a:headEnd type="none" w="med" len="med"/>
              <a:tailEnd type="none" w="med" len="med"/>
            </a:ln>
            <a:effectLst/>
          </c:spPr>
          <c:marker>
            <c:symbol val="none"/>
          </c:marker>
          <c:cat>
            <c:numRef>
              <c:f>'Monthly Summary'!$A$2:$A$45</c:f>
              <c:numCache>
                <c:formatCode>mmm\ yyyy</c:formatCode>
                <c:ptCount val="4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numCache>
            </c:numRef>
          </c:cat>
          <c:val>
            <c:numRef>
              <c:f>'Monthly Summary'!$C$2:$C$45</c:f>
              <c:numCache>
                <c:formatCode>#,##0</c:formatCode>
                <c:ptCount val="44"/>
                <c:pt idx="0">
                  <c:v>83474</c:v>
                </c:pt>
                <c:pt idx="1">
                  <c:v>83720</c:v>
                </c:pt>
                <c:pt idx="2">
                  <c:v>85064</c:v>
                </c:pt>
                <c:pt idx="3">
                  <c:v>84789</c:v>
                </c:pt>
                <c:pt idx="4">
                  <c:v>84446</c:v>
                </c:pt>
                <c:pt idx="5">
                  <c:v>84004</c:v>
                </c:pt>
                <c:pt idx="6">
                  <c:v>83138</c:v>
                </c:pt>
                <c:pt idx="7">
                  <c:v>83292</c:v>
                </c:pt>
                <c:pt idx="8">
                  <c:v>83182</c:v>
                </c:pt>
                <c:pt idx="9">
                  <c:v>82843</c:v>
                </c:pt>
                <c:pt idx="10">
                  <c:v>84282</c:v>
                </c:pt>
                <c:pt idx="11">
                  <c:v>85750</c:v>
                </c:pt>
                <c:pt idx="12">
                  <c:v>86288</c:v>
                </c:pt>
                <c:pt idx="13">
                  <c:v>86625</c:v>
                </c:pt>
                <c:pt idx="14">
                  <c:v>86813</c:v>
                </c:pt>
                <c:pt idx="15">
                  <c:v>86827</c:v>
                </c:pt>
                <c:pt idx="16">
                  <c:v>87709</c:v>
                </c:pt>
                <c:pt idx="17">
                  <c:v>88815</c:v>
                </c:pt>
                <c:pt idx="18">
                  <c:v>88063</c:v>
                </c:pt>
                <c:pt idx="19">
                  <c:v>87100</c:v>
                </c:pt>
                <c:pt idx="20">
                  <c:v>87022</c:v>
                </c:pt>
                <c:pt idx="21">
                  <c:v>87753</c:v>
                </c:pt>
                <c:pt idx="22">
                  <c:v>88296</c:v>
                </c:pt>
                <c:pt idx="23">
                  <c:v>91031</c:v>
                </c:pt>
                <c:pt idx="24">
                  <c:v>94456</c:v>
                </c:pt>
                <c:pt idx="25">
                  <c:v>95983</c:v>
                </c:pt>
                <c:pt idx="26">
                  <c:v>97040</c:v>
                </c:pt>
                <c:pt idx="27">
                  <c:v>100273</c:v>
                </c:pt>
                <c:pt idx="28">
                  <c:v>100150</c:v>
                </c:pt>
                <c:pt idx="29">
                  <c:v>99863</c:v>
                </c:pt>
                <c:pt idx="30">
                  <c:v>100019</c:v>
                </c:pt>
                <c:pt idx="31">
                  <c:v>98468</c:v>
                </c:pt>
                <c:pt idx="32">
                  <c:v>100045</c:v>
                </c:pt>
                <c:pt idx="33">
                  <c:v>103573</c:v>
                </c:pt>
                <c:pt idx="34">
                  <c:v>104844</c:v>
                </c:pt>
                <c:pt idx="35">
                  <c:v>107181</c:v>
                </c:pt>
                <c:pt idx="36">
                  <c:v>112023</c:v>
                </c:pt>
                <c:pt idx="37">
                  <c:v>114219</c:v>
                </c:pt>
                <c:pt idx="38">
                  <c:v>115216</c:v>
                </c:pt>
                <c:pt idx="39">
                  <c:v>115759</c:v>
                </c:pt>
                <c:pt idx="40">
                  <c:v>115450</c:v>
                </c:pt>
                <c:pt idx="41">
                  <c:v>116365</c:v>
                </c:pt>
                <c:pt idx="42">
                  <c:v>116243</c:v>
                </c:pt>
                <c:pt idx="43">
                  <c:v>114921</c:v>
                </c:pt>
              </c:numCache>
            </c:numRef>
          </c:val>
          <c:smooth val="0"/>
          <c:extLst>
            <c:ext xmlns:c16="http://schemas.microsoft.com/office/drawing/2014/chart" uri="{C3380CC4-5D6E-409C-BE32-E72D297353CC}">
              <c16:uniqueId val="{00000000-7D4A-404C-ADA8-25D96BF77007}"/>
            </c:ext>
          </c:extLst>
        </c:ser>
        <c:dLbls>
          <c:showLegendKey val="0"/>
          <c:showVal val="0"/>
          <c:showCatName val="0"/>
          <c:showSerName val="0"/>
          <c:showPercent val="0"/>
          <c:showBubbleSize val="0"/>
        </c:dLbls>
        <c:smooth val="0"/>
        <c:axId val="1591377928"/>
        <c:axId val="1591379976"/>
      </c:lineChart>
      <c:dateAx>
        <c:axId val="1591377928"/>
        <c:scaling>
          <c:orientation val="minMax"/>
        </c:scaling>
        <c:delete val="0"/>
        <c:axPos val="b"/>
        <c:numFmt formatCode="mmm\ 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1379976"/>
        <c:crosses val="autoZero"/>
        <c:auto val="1"/>
        <c:lblOffset val="100"/>
        <c:baseTimeUnit val="months"/>
      </c:dateAx>
      <c:valAx>
        <c:axId val="15913799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13779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1F2937"/>
                </a:solidFill>
                <a:latin typeface="+mn-lt"/>
                <a:ea typeface="+mn-ea"/>
                <a:cs typeface="+mn-cs"/>
              </a:defRPr>
            </a:pPr>
            <a:r>
              <a:rPr lang="en-US"/>
              <a:t>% Waiting 12+ Months</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1F2937"/>
              </a:solidFill>
              <a:latin typeface="+mn-lt"/>
              <a:ea typeface="+mn-ea"/>
              <a:cs typeface="+mn-cs"/>
            </a:defRPr>
          </a:pPr>
          <a:endParaRPr lang="en-US"/>
        </a:p>
      </c:txPr>
    </c:title>
    <c:autoTitleDeleted val="0"/>
    <c:plotArea>
      <c:layout/>
      <c:lineChart>
        <c:grouping val="standard"/>
        <c:varyColors val="0"/>
        <c:ser>
          <c:idx val="0"/>
          <c:order val="0"/>
          <c:tx>
            <c:strRef>
              <c:f>'Monthly Summary'!$G$1</c:f>
              <c:strCache>
                <c:ptCount val="1"/>
                <c:pt idx="0">
                  <c:v>% Outpatient 12+</c:v>
                </c:pt>
              </c:strCache>
            </c:strRef>
          </c:tx>
          <c:spPr>
            <a:ln w="28575" cap="rnd">
              <a:solidFill>
                <a:schemeClr val="accent1"/>
              </a:solidFill>
              <a:round/>
            </a:ln>
            <a:effectLst/>
          </c:spPr>
          <c:marker>
            <c:symbol val="none"/>
          </c:marker>
          <c:cat>
            <c:numRef>
              <c:f>'Monthly Summary'!$A$2:$A$45</c:f>
              <c:numCache>
                <c:formatCode>mmm\ yyyy</c:formatCode>
                <c:ptCount val="4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numCache>
            </c:numRef>
          </c:cat>
          <c:val>
            <c:numRef>
              <c:f>'Monthly Summary'!$G$2:$G$45</c:f>
              <c:numCache>
                <c:formatCode>0.0%</c:formatCode>
                <c:ptCount val="44"/>
                <c:pt idx="0">
                  <c:v>0.26213378194126946</c:v>
                </c:pt>
                <c:pt idx="1">
                  <c:v>0.25892548590677433</c:v>
                </c:pt>
                <c:pt idx="2">
                  <c:v>0.24900102713070785</c:v>
                </c:pt>
                <c:pt idx="3">
                  <c:v>0.244927188658772</c:v>
                </c:pt>
                <c:pt idx="4">
                  <c:v>0.24212201044130055</c:v>
                </c:pt>
                <c:pt idx="5">
                  <c:v>0.23382830091220469</c:v>
                </c:pt>
                <c:pt idx="6">
                  <c:v>0.22855845335409369</c:v>
                </c:pt>
                <c:pt idx="7">
                  <c:v>0.2215692246749853</c:v>
                </c:pt>
                <c:pt idx="8">
                  <c:v>0.21667040707976459</c:v>
                </c:pt>
                <c:pt idx="9">
                  <c:v>0.21020819569954197</c:v>
                </c:pt>
                <c:pt idx="10">
                  <c:v>0.19667928613789012</c:v>
                </c:pt>
                <c:pt idx="11">
                  <c:v>0.18400713119041773</c:v>
                </c:pt>
                <c:pt idx="12">
                  <c:v>0.17998878125379161</c:v>
                </c:pt>
                <c:pt idx="13">
                  <c:v>0.18039561351204211</c:v>
                </c:pt>
                <c:pt idx="14">
                  <c:v>0.18103003264789841</c:v>
                </c:pt>
                <c:pt idx="15">
                  <c:v>0.1811667868810726</c:v>
                </c:pt>
                <c:pt idx="16">
                  <c:v>0.18239330758289685</c:v>
                </c:pt>
                <c:pt idx="17">
                  <c:v>0.18226501301116485</c:v>
                </c:pt>
                <c:pt idx="18">
                  <c:v>0.18118700559505421</c:v>
                </c:pt>
                <c:pt idx="19">
                  <c:v>0.1798118006949409</c:v>
                </c:pt>
                <c:pt idx="20">
                  <c:v>0.17795239894219872</c:v>
                </c:pt>
                <c:pt idx="21">
                  <c:v>0.17392752283601565</c:v>
                </c:pt>
                <c:pt idx="22">
                  <c:v>0.16712351263008754</c:v>
                </c:pt>
                <c:pt idx="23">
                  <c:v>0.16058163596781691</c:v>
                </c:pt>
                <c:pt idx="24">
                  <c:v>0.16056066852994033</c:v>
                </c:pt>
                <c:pt idx="25">
                  <c:v>0.16366923969457162</c:v>
                </c:pt>
                <c:pt idx="26">
                  <c:v>0.16356904162712982</c:v>
                </c:pt>
                <c:pt idx="27">
                  <c:v>0.16646970394022367</c:v>
                </c:pt>
                <c:pt idx="28">
                  <c:v>0.16734563831001659</c:v>
                </c:pt>
                <c:pt idx="29">
                  <c:v>0.16763270540815137</c:v>
                </c:pt>
                <c:pt idx="30">
                  <c:v>0.1685224665158592</c:v>
                </c:pt>
                <c:pt idx="31">
                  <c:v>0.16968481945657199</c:v>
                </c:pt>
                <c:pt idx="32">
                  <c:v>0.17096952855530781</c:v>
                </c:pt>
                <c:pt idx="33">
                  <c:v>0.17254689294372846</c:v>
                </c:pt>
                <c:pt idx="34">
                  <c:v>0.16803752370479258</c:v>
                </c:pt>
                <c:pt idx="35">
                  <c:v>0.16377798874812699</c:v>
                </c:pt>
                <c:pt idx="36">
                  <c:v>0.16725880609491964</c:v>
                </c:pt>
                <c:pt idx="37">
                  <c:v>0.16618807209440667</c:v>
                </c:pt>
                <c:pt idx="38">
                  <c:v>0.16954591843008029</c:v>
                </c:pt>
                <c:pt idx="39">
                  <c:v>0.17022820068575306</c:v>
                </c:pt>
                <c:pt idx="40">
                  <c:v>0.17298127275931807</c:v>
                </c:pt>
                <c:pt idx="41">
                  <c:v>0.17440490149223603</c:v>
                </c:pt>
                <c:pt idx="42">
                  <c:v>0.17783096432145218</c:v>
                </c:pt>
                <c:pt idx="43">
                  <c:v>0.17737581032770749</c:v>
                </c:pt>
              </c:numCache>
            </c:numRef>
          </c:val>
          <c:smooth val="0"/>
          <c:extLst>
            <c:ext xmlns:c16="http://schemas.microsoft.com/office/drawing/2014/chart" uri="{C3380CC4-5D6E-409C-BE32-E72D297353CC}">
              <c16:uniqueId val="{00000000-3D25-4223-898D-4B54D7967015}"/>
            </c:ext>
          </c:extLst>
        </c:ser>
        <c:ser>
          <c:idx val="1"/>
          <c:order val="1"/>
          <c:tx>
            <c:strRef>
              <c:f>'Monthly Summary'!$H$1</c:f>
              <c:strCache>
                <c:ptCount val="1"/>
                <c:pt idx="0">
                  <c:v>% Inpatient 12+</c:v>
                </c:pt>
              </c:strCache>
            </c:strRef>
          </c:tx>
          <c:spPr>
            <a:ln w="28575" cap="rnd">
              <a:solidFill>
                <a:schemeClr val="accent2"/>
              </a:solidFill>
              <a:round/>
            </a:ln>
            <a:effectLst/>
          </c:spPr>
          <c:marker>
            <c:symbol val="none"/>
          </c:marker>
          <c:cat>
            <c:numRef>
              <c:f>'Monthly Summary'!$A$2:$A$45</c:f>
              <c:numCache>
                <c:formatCode>mmm\ yyyy</c:formatCode>
                <c:ptCount val="4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numCache>
            </c:numRef>
          </c:cat>
          <c:val>
            <c:numRef>
              <c:f>'Monthly Summary'!$H$2:$H$45</c:f>
              <c:numCache>
                <c:formatCode>0.0%</c:formatCode>
                <c:ptCount val="44"/>
                <c:pt idx="0">
                  <c:v>0.16467403023696001</c:v>
                </c:pt>
                <c:pt idx="1">
                  <c:v>0.17136884854276158</c:v>
                </c:pt>
                <c:pt idx="2">
                  <c:v>0.17231731402238315</c:v>
                </c:pt>
                <c:pt idx="3">
                  <c:v>0.17357204354338415</c:v>
                </c:pt>
                <c:pt idx="4">
                  <c:v>0.17915591028586317</c:v>
                </c:pt>
                <c:pt idx="5">
                  <c:v>0.17670587114899292</c:v>
                </c:pt>
                <c:pt idx="6">
                  <c:v>0.17405999663210567</c:v>
                </c:pt>
                <c:pt idx="7">
                  <c:v>0.17547903760265091</c:v>
                </c:pt>
                <c:pt idx="8">
                  <c:v>0.16957995720227934</c:v>
                </c:pt>
                <c:pt idx="9">
                  <c:v>0.16251222191374046</c:v>
                </c:pt>
                <c:pt idx="10">
                  <c:v>0.15750694098383997</c:v>
                </c:pt>
                <c:pt idx="11">
                  <c:v>0.14901457725947523</c:v>
                </c:pt>
                <c:pt idx="12">
                  <c:v>0.15046124605970704</c:v>
                </c:pt>
                <c:pt idx="13">
                  <c:v>0.15158441558441557</c:v>
                </c:pt>
                <c:pt idx="14">
                  <c:v>0.1536290647714052</c:v>
                </c:pt>
                <c:pt idx="15">
                  <c:v>0.1546984233015076</c:v>
                </c:pt>
                <c:pt idx="16">
                  <c:v>0.15700783271956129</c:v>
                </c:pt>
                <c:pt idx="17">
                  <c:v>0.1561110172831166</c:v>
                </c:pt>
                <c:pt idx="18">
                  <c:v>0.15604737517459091</c:v>
                </c:pt>
                <c:pt idx="19">
                  <c:v>0.15709529276693457</c:v>
                </c:pt>
                <c:pt idx="20">
                  <c:v>0.15709820505159613</c:v>
                </c:pt>
                <c:pt idx="21">
                  <c:v>0.15500324775221361</c:v>
                </c:pt>
                <c:pt idx="22">
                  <c:v>0.15100344296457371</c:v>
                </c:pt>
                <c:pt idx="23">
                  <c:v>0.14090804231525525</c:v>
                </c:pt>
                <c:pt idx="24">
                  <c:v>0.14831244177183028</c:v>
                </c:pt>
                <c:pt idx="25">
                  <c:v>0.15549628580061053</c:v>
                </c:pt>
                <c:pt idx="26">
                  <c:v>0.16009892827699918</c:v>
                </c:pt>
                <c:pt idx="27">
                  <c:v>0.16954713631785226</c:v>
                </c:pt>
                <c:pt idx="28">
                  <c:v>0.17116325511732403</c:v>
                </c:pt>
                <c:pt idx="29">
                  <c:v>0.1756105865035098</c:v>
                </c:pt>
                <c:pt idx="30">
                  <c:v>0.17549665563542927</c:v>
                </c:pt>
                <c:pt idx="31">
                  <c:v>0.17423934679286671</c:v>
                </c:pt>
                <c:pt idx="32">
                  <c:v>0.17413164076165724</c:v>
                </c:pt>
                <c:pt idx="33">
                  <c:v>0.17735317119326466</c:v>
                </c:pt>
                <c:pt idx="34">
                  <c:v>0.17118766929914922</c:v>
                </c:pt>
                <c:pt idx="35">
                  <c:v>0.16309793713438017</c:v>
                </c:pt>
                <c:pt idx="36">
                  <c:v>0.16712639368701071</c:v>
                </c:pt>
                <c:pt idx="37">
                  <c:v>0.17050578275068071</c:v>
                </c:pt>
                <c:pt idx="38">
                  <c:v>0.17291001249826413</c:v>
                </c:pt>
                <c:pt idx="39">
                  <c:v>0.17851743708912482</c:v>
                </c:pt>
                <c:pt idx="40">
                  <c:v>0.17735816370723256</c:v>
                </c:pt>
                <c:pt idx="41">
                  <c:v>0.17897134017960728</c:v>
                </c:pt>
                <c:pt idx="42">
                  <c:v>0.18081088753731409</c:v>
                </c:pt>
                <c:pt idx="43">
                  <c:v>0.18482261727621582</c:v>
                </c:pt>
              </c:numCache>
            </c:numRef>
          </c:val>
          <c:smooth val="0"/>
          <c:extLst>
            <c:ext xmlns:c16="http://schemas.microsoft.com/office/drawing/2014/chart" uri="{C3380CC4-5D6E-409C-BE32-E72D297353CC}">
              <c16:uniqueId val="{00000001-3D25-4223-898D-4B54D7967015}"/>
            </c:ext>
          </c:extLst>
        </c:ser>
        <c:dLbls>
          <c:showLegendKey val="0"/>
          <c:showVal val="0"/>
          <c:showCatName val="0"/>
          <c:showSerName val="0"/>
          <c:showPercent val="0"/>
          <c:showBubbleSize val="0"/>
        </c:dLbls>
        <c:smooth val="0"/>
        <c:axId val="1293274632"/>
        <c:axId val="1369977352"/>
      </c:lineChart>
      <c:dateAx>
        <c:axId val="1293274632"/>
        <c:scaling>
          <c:orientation val="minMax"/>
        </c:scaling>
        <c:delete val="0"/>
        <c:axPos val="b"/>
        <c:numFmt formatCode="mmm\ 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977352"/>
        <c:crosses val="autoZero"/>
        <c:auto val="1"/>
        <c:lblOffset val="100"/>
        <c:baseTimeUnit val="months"/>
      </c:dateAx>
      <c:valAx>
        <c:axId val="136997735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2746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[hospital_waiting_lists.xlsx]Hospitals!PivotTable3</c:name>
    <c:fmtId val="10"/>
  </c:pivotSource>
  <c:chart>
    <c:title>
      <c:tx>
        <c:rich>
          <a:bodyPr rot="0" spcFirstLastPara="1" vertOverflow="ellipsis" vert="horz" wrap="square" anchor="ctr" anchorCtr="1"/>
          <a:lstStyle/>
          <a:p>
            <a:pPr>
              <a:defRPr sz="1400" b="1" i="0" u="none" strike="noStrike" kern="1200" spc="0" baseline="0">
                <a:solidFill>
                  <a:srgbClr val="1F2937"/>
                </a:solidFill>
                <a:latin typeface="+mn-lt"/>
                <a:ea typeface="+mn-ea"/>
                <a:cs typeface="+mn-cs"/>
              </a:defRPr>
            </a:pPr>
            <a:r>
              <a:rPr lang="en-US"/>
              <a:t>Largest Outpatient Lists (Aug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1F2937"/>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Hospitals!$B$4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Hospitals!$A$5:$A$15</c:f>
              <c:strCache>
                <c:ptCount val="10"/>
                <c:pt idx="0">
                  <c:v>Beaumont Hospital</c:v>
                </c:pt>
                <c:pt idx="1">
                  <c:v>Galway University Hospitals</c:v>
                </c:pt>
                <c:pt idx="2">
                  <c:v>University Hospital Waterford</c:v>
                </c:pt>
                <c:pt idx="3">
                  <c:v>Mater Misericordiae University Hospital</c:v>
                </c:pt>
                <c:pt idx="4">
                  <c:v>St. Vincent's University Hospital</c:v>
                </c:pt>
                <c:pt idx="5">
                  <c:v>University Hospital Limerick</c:v>
                </c:pt>
                <c:pt idx="6">
                  <c:v>South Infirmary Victoria University Hospital</c:v>
                </c:pt>
                <c:pt idx="7">
                  <c:v>Children's Health Ireland</c:v>
                </c:pt>
                <c:pt idx="8">
                  <c:v>Tallaght University Hospital</c:v>
                </c:pt>
                <c:pt idx="9">
                  <c:v>St. James's Hospital</c:v>
                </c:pt>
              </c:strCache>
            </c:strRef>
          </c:cat>
          <c:val>
            <c:numRef>
              <c:f>Hospitals!$B$5:$B$15</c:f>
              <c:numCache>
                <c:formatCode>General</c:formatCode>
                <c:ptCount val="10"/>
                <c:pt idx="0">
                  <c:v>56903</c:v>
                </c:pt>
                <c:pt idx="1">
                  <c:v>51745</c:v>
                </c:pt>
                <c:pt idx="2">
                  <c:v>49911</c:v>
                </c:pt>
                <c:pt idx="3">
                  <c:v>43655</c:v>
                </c:pt>
                <c:pt idx="4">
                  <c:v>35498</c:v>
                </c:pt>
                <c:pt idx="5">
                  <c:v>35183</c:v>
                </c:pt>
                <c:pt idx="6">
                  <c:v>33672</c:v>
                </c:pt>
                <c:pt idx="7">
                  <c:v>32763</c:v>
                </c:pt>
                <c:pt idx="8">
                  <c:v>31681</c:v>
                </c:pt>
                <c:pt idx="9">
                  <c:v>29647</c:v>
                </c:pt>
              </c:numCache>
            </c:numRef>
          </c:val>
          <c:extLst>
            <c:ext xmlns:c16="http://schemas.microsoft.com/office/drawing/2014/chart" uri="{C3380CC4-5D6E-409C-BE32-E72D297353CC}">
              <c16:uniqueId val="{00000000-7EAF-46FC-BF93-B52B358DA411}"/>
            </c:ext>
          </c:extLst>
        </c:ser>
        <c:dLbls>
          <c:showLegendKey val="0"/>
          <c:showVal val="0"/>
          <c:showCatName val="0"/>
          <c:showSerName val="0"/>
          <c:showPercent val="0"/>
          <c:showBubbleSize val="0"/>
        </c:dLbls>
        <c:gapWidth val="182"/>
        <c:axId val="1371235336"/>
        <c:axId val="1371238408"/>
      </c:barChart>
      <c:catAx>
        <c:axId val="137123533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238408"/>
        <c:crosses val="autoZero"/>
        <c:auto val="1"/>
        <c:lblAlgn val="ctr"/>
        <c:lblOffset val="100"/>
        <c:noMultiLvlLbl val="0"/>
      </c:catAx>
      <c:valAx>
        <c:axId val="1371238408"/>
        <c:scaling>
          <c:orientation val="minMax"/>
        </c:scaling>
        <c:delete val="0"/>
        <c:axPos val="t"/>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2353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1F2937"/>
                </a:solidFill>
                <a:latin typeface="+mn-lt"/>
                <a:ea typeface="+mn-ea"/>
                <a:cs typeface="+mn-cs"/>
              </a:defRPr>
            </a:pPr>
            <a:r>
              <a:rPr lang="en-US"/>
              <a:t>Longest Waits by Hospital (Aug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1F2937"/>
              </a:solidFill>
              <a:latin typeface="+mn-lt"/>
              <a:ea typeface="+mn-ea"/>
              <a:cs typeface="+mn-cs"/>
            </a:defRPr>
          </a:pPr>
          <a:endParaRPr lang="en-US"/>
        </a:p>
      </c:txPr>
    </c:title>
    <c:autoTitleDeleted val="0"/>
    <c:plotArea>
      <c:layout/>
      <c:barChart>
        <c:barDir val="bar"/>
        <c:grouping val="percentStacked"/>
        <c:varyColors val="0"/>
        <c:ser>
          <c:idx val="0"/>
          <c:order val="0"/>
          <c:tx>
            <c:strRef>
              <c:f>'Long Waits'!$J$4</c:f>
              <c:strCache>
                <c:ptCount val="1"/>
                <c:pt idx="0">
                  <c:v>0-6 Months</c:v>
                </c:pt>
              </c:strCache>
            </c:strRef>
          </c:tx>
          <c:spPr>
            <a:solidFill>
              <a:srgbClr val="75BD42"/>
            </a:solidFill>
            <a:ln>
              <a:noFill/>
            </a:ln>
            <a:effectLst/>
          </c:spPr>
          <c:invertIfNegative val="0"/>
          <c:cat>
            <c:strRef>
              <c:f>'Long Waits'!$I$5:$I$14</c:f>
              <c:strCache>
                <c:ptCount val="10"/>
                <c:pt idx="0">
                  <c:v>University Hospital Waterford</c:v>
                </c:pt>
                <c:pt idx="1">
                  <c:v>Sligo University Hospital</c:v>
                </c:pt>
                <c:pt idx="2">
                  <c:v>St. Vincent's University Hospital</c:v>
                </c:pt>
                <c:pt idx="3">
                  <c:v>Galway University Hospitals</c:v>
                </c:pt>
                <c:pt idx="4">
                  <c:v>South Infirmary Victoria University Hospital</c:v>
                </c:pt>
                <c:pt idx="5">
                  <c:v>Naas General Hospital</c:v>
                </c:pt>
                <c:pt idx="6">
                  <c:v>Royal Victoria Eye and Ear Hospital</c:v>
                </c:pt>
                <c:pt idx="7">
                  <c:v>Ennis Hospital</c:v>
                </c:pt>
                <c:pt idx="8">
                  <c:v>Nenagh Hospital</c:v>
                </c:pt>
                <c:pt idx="9">
                  <c:v>St. Columcille's Hospital</c:v>
                </c:pt>
              </c:strCache>
            </c:strRef>
          </c:cat>
          <c:val>
            <c:numRef>
              <c:f>'Long Waits'!$J$5:$J$14</c:f>
              <c:numCache>
                <c:formatCode>#,##0</c:formatCode>
                <c:ptCount val="10"/>
                <c:pt idx="0">
                  <c:v>26443</c:v>
                </c:pt>
                <c:pt idx="1">
                  <c:v>11395</c:v>
                </c:pt>
                <c:pt idx="2">
                  <c:v>20274</c:v>
                </c:pt>
                <c:pt idx="3">
                  <c:v>30574</c:v>
                </c:pt>
                <c:pt idx="4">
                  <c:v>17815</c:v>
                </c:pt>
                <c:pt idx="5">
                  <c:v>7153</c:v>
                </c:pt>
                <c:pt idx="6">
                  <c:v>6340</c:v>
                </c:pt>
                <c:pt idx="7">
                  <c:v>417</c:v>
                </c:pt>
                <c:pt idx="8">
                  <c:v>473</c:v>
                </c:pt>
                <c:pt idx="9">
                  <c:v>2175</c:v>
                </c:pt>
              </c:numCache>
            </c:numRef>
          </c:val>
          <c:extLst>
            <c:ext xmlns:c16="http://schemas.microsoft.com/office/drawing/2014/chart" uri="{C3380CC4-5D6E-409C-BE32-E72D297353CC}">
              <c16:uniqueId val="{00000000-5145-4035-91D0-8A93C0056A4F}"/>
            </c:ext>
          </c:extLst>
        </c:ser>
        <c:ser>
          <c:idx val="1"/>
          <c:order val="1"/>
          <c:tx>
            <c:strRef>
              <c:f>'Long Waits'!$K$4</c:f>
              <c:strCache>
                <c:ptCount val="1"/>
                <c:pt idx="0">
                  <c:v>6-12 Months</c:v>
                </c:pt>
              </c:strCache>
            </c:strRef>
          </c:tx>
          <c:spPr>
            <a:solidFill>
              <a:srgbClr val="FEDB61"/>
            </a:solidFill>
            <a:ln>
              <a:noFill/>
            </a:ln>
            <a:effectLst/>
          </c:spPr>
          <c:invertIfNegative val="0"/>
          <c:cat>
            <c:strRef>
              <c:f>'Long Waits'!$I$5:$I$14</c:f>
              <c:strCache>
                <c:ptCount val="10"/>
                <c:pt idx="0">
                  <c:v>University Hospital Waterford</c:v>
                </c:pt>
                <c:pt idx="1">
                  <c:v>Sligo University Hospital</c:v>
                </c:pt>
                <c:pt idx="2">
                  <c:v>St. Vincent's University Hospital</c:v>
                </c:pt>
                <c:pt idx="3">
                  <c:v>Galway University Hospitals</c:v>
                </c:pt>
                <c:pt idx="4">
                  <c:v>South Infirmary Victoria University Hospital</c:v>
                </c:pt>
                <c:pt idx="5">
                  <c:v>Naas General Hospital</c:v>
                </c:pt>
                <c:pt idx="6">
                  <c:v>Royal Victoria Eye and Ear Hospital</c:v>
                </c:pt>
                <c:pt idx="7">
                  <c:v>Ennis Hospital</c:v>
                </c:pt>
                <c:pt idx="8">
                  <c:v>Nenagh Hospital</c:v>
                </c:pt>
                <c:pt idx="9">
                  <c:v>St. Columcille's Hospital</c:v>
                </c:pt>
              </c:strCache>
            </c:strRef>
          </c:cat>
          <c:val>
            <c:numRef>
              <c:f>'Long Waits'!$K$5:$K$14</c:f>
              <c:numCache>
                <c:formatCode>#,##0</c:formatCode>
                <c:ptCount val="10"/>
                <c:pt idx="0">
                  <c:v>12808</c:v>
                </c:pt>
                <c:pt idx="1">
                  <c:v>3827</c:v>
                </c:pt>
                <c:pt idx="2">
                  <c:v>7385</c:v>
                </c:pt>
                <c:pt idx="3">
                  <c:v>10267</c:v>
                </c:pt>
                <c:pt idx="4">
                  <c:v>7902</c:v>
                </c:pt>
                <c:pt idx="5">
                  <c:v>3189</c:v>
                </c:pt>
                <c:pt idx="6">
                  <c:v>5065</c:v>
                </c:pt>
                <c:pt idx="7">
                  <c:v>302</c:v>
                </c:pt>
                <c:pt idx="8">
                  <c:v>270</c:v>
                </c:pt>
                <c:pt idx="9">
                  <c:v>1381</c:v>
                </c:pt>
              </c:numCache>
            </c:numRef>
          </c:val>
          <c:extLst>
            <c:ext xmlns:c16="http://schemas.microsoft.com/office/drawing/2014/chart" uri="{C3380CC4-5D6E-409C-BE32-E72D297353CC}">
              <c16:uniqueId val="{00000001-5145-4035-91D0-8A93C0056A4F}"/>
            </c:ext>
          </c:extLst>
        </c:ser>
        <c:ser>
          <c:idx val="2"/>
          <c:order val="2"/>
          <c:tx>
            <c:strRef>
              <c:f>'Long Waits'!$L$4</c:f>
              <c:strCache>
                <c:ptCount val="1"/>
                <c:pt idx="0">
                  <c:v>12-18 Months</c:v>
                </c:pt>
              </c:strCache>
            </c:strRef>
          </c:tx>
          <c:spPr>
            <a:solidFill>
              <a:srgbClr val="EE822F"/>
            </a:solidFill>
            <a:ln>
              <a:noFill/>
            </a:ln>
            <a:effectLst/>
          </c:spPr>
          <c:invertIfNegative val="0"/>
          <c:cat>
            <c:strRef>
              <c:f>'Long Waits'!$I$5:$I$14</c:f>
              <c:strCache>
                <c:ptCount val="10"/>
                <c:pt idx="0">
                  <c:v>University Hospital Waterford</c:v>
                </c:pt>
                <c:pt idx="1">
                  <c:v>Sligo University Hospital</c:v>
                </c:pt>
                <c:pt idx="2">
                  <c:v>St. Vincent's University Hospital</c:v>
                </c:pt>
                <c:pt idx="3">
                  <c:v>Galway University Hospitals</c:v>
                </c:pt>
                <c:pt idx="4">
                  <c:v>South Infirmary Victoria University Hospital</c:v>
                </c:pt>
                <c:pt idx="5">
                  <c:v>Naas General Hospital</c:v>
                </c:pt>
                <c:pt idx="6">
                  <c:v>Royal Victoria Eye and Ear Hospital</c:v>
                </c:pt>
                <c:pt idx="7">
                  <c:v>Ennis Hospital</c:v>
                </c:pt>
                <c:pt idx="8">
                  <c:v>Nenagh Hospital</c:v>
                </c:pt>
                <c:pt idx="9">
                  <c:v>St. Columcille's Hospital</c:v>
                </c:pt>
              </c:strCache>
            </c:strRef>
          </c:cat>
          <c:val>
            <c:numRef>
              <c:f>'Long Waits'!$L$5:$L$14</c:f>
              <c:numCache>
                <c:formatCode>#,##0</c:formatCode>
                <c:ptCount val="10"/>
                <c:pt idx="0">
                  <c:v>6024</c:v>
                </c:pt>
                <c:pt idx="1">
                  <c:v>1222</c:v>
                </c:pt>
                <c:pt idx="2">
                  <c:v>4311</c:v>
                </c:pt>
                <c:pt idx="3">
                  <c:v>5466</c:v>
                </c:pt>
                <c:pt idx="4">
                  <c:v>3778</c:v>
                </c:pt>
                <c:pt idx="5">
                  <c:v>2319</c:v>
                </c:pt>
                <c:pt idx="6">
                  <c:v>3229</c:v>
                </c:pt>
                <c:pt idx="7">
                  <c:v>296</c:v>
                </c:pt>
                <c:pt idx="8">
                  <c:v>286</c:v>
                </c:pt>
                <c:pt idx="9">
                  <c:v>1137</c:v>
                </c:pt>
              </c:numCache>
            </c:numRef>
          </c:val>
          <c:extLst>
            <c:ext xmlns:c16="http://schemas.microsoft.com/office/drawing/2014/chart" uri="{C3380CC4-5D6E-409C-BE32-E72D297353CC}">
              <c16:uniqueId val="{00000002-5145-4035-91D0-8A93C0056A4F}"/>
            </c:ext>
          </c:extLst>
        </c:ser>
        <c:ser>
          <c:idx val="3"/>
          <c:order val="3"/>
          <c:tx>
            <c:strRef>
              <c:f>'Long Waits'!$M$4</c:f>
              <c:strCache>
                <c:ptCount val="1"/>
                <c:pt idx="0">
                  <c:v>18+ Months</c:v>
                </c:pt>
              </c:strCache>
            </c:strRef>
          </c:tx>
          <c:spPr>
            <a:solidFill>
              <a:srgbClr val="FF0000"/>
            </a:solidFill>
            <a:ln>
              <a:noFill/>
            </a:ln>
            <a:effectLst/>
          </c:spPr>
          <c:invertIfNegative val="0"/>
          <c:cat>
            <c:strRef>
              <c:f>'Long Waits'!$I$5:$I$14</c:f>
              <c:strCache>
                <c:ptCount val="10"/>
                <c:pt idx="0">
                  <c:v>University Hospital Waterford</c:v>
                </c:pt>
                <c:pt idx="1">
                  <c:v>Sligo University Hospital</c:v>
                </c:pt>
                <c:pt idx="2">
                  <c:v>St. Vincent's University Hospital</c:v>
                </c:pt>
                <c:pt idx="3">
                  <c:v>Galway University Hospitals</c:v>
                </c:pt>
                <c:pt idx="4">
                  <c:v>South Infirmary Victoria University Hospital</c:v>
                </c:pt>
                <c:pt idx="5">
                  <c:v>Naas General Hospital</c:v>
                </c:pt>
                <c:pt idx="6">
                  <c:v>Royal Victoria Eye and Ear Hospital</c:v>
                </c:pt>
                <c:pt idx="7">
                  <c:v>Ennis Hospital</c:v>
                </c:pt>
                <c:pt idx="8">
                  <c:v>Nenagh Hospital</c:v>
                </c:pt>
                <c:pt idx="9">
                  <c:v>St. Columcille's Hospital</c:v>
                </c:pt>
              </c:strCache>
            </c:strRef>
          </c:cat>
          <c:val>
            <c:numRef>
              <c:f>'Long Waits'!$M$5:$M$14</c:f>
              <c:numCache>
                <c:formatCode>#,##0</c:formatCode>
                <c:ptCount val="10"/>
                <c:pt idx="0">
                  <c:v>4637</c:v>
                </c:pt>
                <c:pt idx="1">
                  <c:v>1728</c:v>
                </c:pt>
                <c:pt idx="2">
                  <c:v>3527</c:v>
                </c:pt>
                <c:pt idx="3">
                  <c:v>5437</c:v>
                </c:pt>
                <c:pt idx="4">
                  <c:v>4178</c:v>
                </c:pt>
                <c:pt idx="5">
                  <c:v>1880</c:v>
                </c:pt>
                <c:pt idx="6">
                  <c:v>2403</c:v>
                </c:pt>
                <c:pt idx="7">
                  <c:v>327</c:v>
                </c:pt>
                <c:pt idx="8">
                  <c:v>334</c:v>
                </c:pt>
                <c:pt idx="9">
                  <c:v>6199</c:v>
                </c:pt>
              </c:numCache>
            </c:numRef>
          </c:val>
          <c:extLst>
            <c:ext xmlns:c16="http://schemas.microsoft.com/office/drawing/2014/chart" uri="{C3380CC4-5D6E-409C-BE32-E72D297353CC}">
              <c16:uniqueId val="{00000003-5145-4035-91D0-8A93C0056A4F}"/>
            </c:ext>
          </c:extLst>
        </c:ser>
        <c:dLbls>
          <c:showLegendKey val="0"/>
          <c:showVal val="0"/>
          <c:showCatName val="0"/>
          <c:showSerName val="0"/>
          <c:showPercent val="0"/>
          <c:showBubbleSize val="0"/>
        </c:dLbls>
        <c:gapWidth val="150"/>
        <c:overlap val="100"/>
        <c:axId val="1155621384"/>
        <c:axId val="1155634184"/>
      </c:barChart>
      <c:catAx>
        <c:axId val="1155621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634184"/>
        <c:crosses val="autoZero"/>
        <c:auto val="1"/>
        <c:lblAlgn val="ctr"/>
        <c:lblOffset val="100"/>
        <c:noMultiLvlLbl val="0"/>
      </c:catAx>
      <c:valAx>
        <c:axId val="115563418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6213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1F2937"/>
                </a:solidFill>
                <a:latin typeface="+mn-lt"/>
                <a:ea typeface="+mn-ea"/>
                <a:cs typeface="+mn-cs"/>
              </a:defRPr>
            </a:pPr>
            <a:r>
              <a:rPr lang="en-US"/>
              <a:t>Adults vs Children: % Waiting 12+ (Outpatient)</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1F2937"/>
              </a:solidFill>
              <a:latin typeface="+mn-lt"/>
              <a:ea typeface="+mn-ea"/>
              <a:cs typeface="+mn-cs"/>
            </a:defRPr>
          </a:pPr>
          <a:endParaRPr lang="en-US"/>
        </a:p>
      </c:txPr>
    </c:title>
    <c:autoTitleDeleted val="0"/>
    <c:plotArea>
      <c:layout/>
      <c:lineChart>
        <c:grouping val="standard"/>
        <c:varyColors val="0"/>
        <c:ser>
          <c:idx val="0"/>
          <c:order val="0"/>
          <c:tx>
            <c:strRef>
              <c:f>'Adults vs Children'!$B$3</c:f>
              <c:strCache>
                <c:ptCount val="1"/>
                <c:pt idx="0">
                  <c:v>% Adults 12+</c:v>
                </c:pt>
              </c:strCache>
            </c:strRef>
          </c:tx>
          <c:spPr>
            <a:ln w="28575" cap="rnd">
              <a:solidFill>
                <a:schemeClr val="accent1"/>
              </a:solidFill>
              <a:round/>
            </a:ln>
            <a:effectLst/>
          </c:spPr>
          <c:marker>
            <c:symbol val="none"/>
          </c:marker>
          <c:cat>
            <c:numRef>
              <c:f>'Adults vs Children'!$A$4:$A$47</c:f>
              <c:numCache>
                <c:formatCode>mmm\ yyyy</c:formatCode>
                <c:ptCount val="4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numCache>
            </c:numRef>
          </c:cat>
          <c:val>
            <c:numRef>
              <c:f>'Adults vs Children'!$B$4:$B$47</c:f>
              <c:numCache>
                <c:formatCode>0.0%</c:formatCode>
                <c:ptCount val="44"/>
                <c:pt idx="0">
                  <c:v>0.26297154182878413</c:v>
                </c:pt>
                <c:pt idx="1">
                  <c:v>0.26143693666373852</c:v>
                </c:pt>
                <c:pt idx="2">
                  <c:v>0.25281868090842285</c:v>
                </c:pt>
                <c:pt idx="3">
                  <c:v>0.24806146850131328</c:v>
                </c:pt>
                <c:pt idx="4">
                  <c:v>0.24485523445966587</c:v>
                </c:pt>
                <c:pt idx="5">
                  <c:v>0.23677217708894246</c:v>
                </c:pt>
                <c:pt idx="6">
                  <c:v>0.23091262482445046</c:v>
                </c:pt>
                <c:pt idx="7">
                  <c:v>0.22338627064061178</c:v>
                </c:pt>
                <c:pt idx="8">
                  <c:v>0.21757405262286944</c:v>
                </c:pt>
                <c:pt idx="9">
                  <c:v>0.21033060538403786</c:v>
                </c:pt>
                <c:pt idx="10">
                  <c:v>0.19641247899419931</c:v>
                </c:pt>
                <c:pt idx="11">
                  <c:v>0.18307364196243681</c:v>
                </c:pt>
                <c:pt idx="12">
                  <c:v>0.17806108897742365</c:v>
                </c:pt>
                <c:pt idx="13">
                  <c:v>0.17759042971065306</c:v>
                </c:pt>
                <c:pt idx="14">
                  <c:v>0.17717678913290247</c:v>
                </c:pt>
                <c:pt idx="15">
                  <c:v>0.17696379286194808</c:v>
                </c:pt>
                <c:pt idx="16">
                  <c:v>0.17765217067496614</c:v>
                </c:pt>
                <c:pt idx="17">
                  <c:v>0.1774264289207505</c:v>
                </c:pt>
                <c:pt idx="18">
                  <c:v>0.17607690271010934</c:v>
                </c:pt>
                <c:pt idx="19">
                  <c:v>0.17498869942391107</c:v>
                </c:pt>
                <c:pt idx="20">
                  <c:v>0.17292388516620172</c:v>
                </c:pt>
                <c:pt idx="21">
                  <c:v>0.16925763815519956</c:v>
                </c:pt>
                <c:pt idx="22">
                  <c:v>0.16276746584171178</c:v>
                </c:pt>
                <c:pt idx="23">
                  <c:v>0.15679436021869048</c:v>
                </c:pt>
                <c:pt idx="24">
                  <c:v>0.15676169642369753</c:v>
                </c:pt>
                <c:pt idx="25">
                  <c:v>0.15937895121615062</c:v>
                </c:pt>
                <c:pt idx="26">
                  <c:v>0.1592774262853171</c:v>
                </c:pt>
                <c:pt idx="27">
                  <c:v>0.16283800866666276</c:v>
                </c:pt>
                <c:pt idx="28">
                  <c:v>0.16387220838591024</c:v>
                </c:pt>
                <c:pt idx="29">
                  <c:v>0.16400314532304139</c:v>
                </c:pt>
                <c:pt idx="30">
                  <c:v>0.16535073783150692</c:v>
                </c:pt>
                <c:pt idx="31">
                  <c:v>0.16688584405119838</c:v>
                </c:pt>
                <c:pt idx="32">
                  <c:v>0.16862593740193124</c:v>
                </c:pt>
                <c:pt idx="33">
                  <c:v>0.17093200641869769</c:v>
                </c:pt>
                <c:pt idx="34">
                  <c:v>0.1668021107607624</c:v>
                </c:pt>
                <c:pt idx="35">
                  <c:v>0.16262468758985246</c:v>
                </c:pt>
                <c:pt idx="36">
                  <c:v>0.16699719216949085</c:v>
                </c:pt>
                <c:pt idx="37">
                  <c:v>0.16595139675100709</c:v>
                </c:pt>
                <c:pt idx="38">
                  <c:v>0.17024193576271832</c:v>
                </c:pt>
                <c:pt idx="39">
                  <c:v>0.17149214044716207</c:v>
                </c:pt>
                <c:pt idx="40">
                  <c:v>0.1750777571022632</c:v>
                </c:pt>
                <c:pt idx="41">
                  <c:v>0.17707632789767014</c:v>
                </c:pt>
                <c:pt idx="42">
                  <c:v>0.18103651547404617</c:v>
                </c:pt>
                <c:pt idx="43">
                  <c:v>0.181544368156875</c:v>
                </c:pt>
              </c:numCache>
            </c:numRef>
          </c:val>
          <c:smooth val="0"/>
          <c:extLst>
            <c:ext xmlns:c16="http://schemas.microsoft.com/office/drawing/2014/chart" uri="{C3380CC4-5D6E-409C-BE32-E72D297353CC}">
              <c16:uniqueId val="{00000000-C6C3-4E8F-8044-B5FE3E842119}"/>
            </c:ext>
          </c:extLst>
        </c:ser>
        <c:ser>
          <c:idx val="1"/>
          <c:order val="1"/>
          <c:tx>
            <c:strRef>
              <c:f>'Adults vs Children'!$C$3</c:f>
              <c:strCache>
                <c:ptCount val="1"/>
                <c:pt idx="0">
                  <c:v>% Children 12+</c:v>
                </c:pt>
              </c:strCache>
            </c:strRef>
          </c:tx>
          <c:spPr>
            <a:ln w="28575" cap="rnd">
              <a:solidFill>
                <a:schemeClr val="accent2"/>
              </a:solidFill>
              <a:round/>
            </a:ln>
            <a:effectLst/>
          </c:spPr>
          <c:marker>
            <c:symbol val="none"/>
          </c:marker>
          <c:cat>
            <c:numRef>
              <c:f>'Adults vs Children'!$A$4:$A$47</c:f>
              <c:numCache>
                <c:formatCode>mmm\ yyyy</c:formatCode>
                <c:ptCount val="4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numCache>
            </c:numRef>
          </c:cat>
          <c:val>
            <c:numRef>
              <c:f>'Adults vs Children'!$C$4:$C$47</c:f>
              <c:numCache>
                <c:formatCode>0.0%</c:formatCode>
                <c:ptCount val="44"/>
                <c:pt idx="0">
                  <c:v>0.25709938545294614</c:v>
                </c:pt>
                <c:pt idx="1">
                  <c:v>0.24381862473962318</c:v>
                </c:pt>
                <c:pt idx="2">
                  <c:v>0.22639204049572351</c:v>
                </c:pt>
                <c:pt idx="3">
                  <c:v>0.2263524109331258</c:v>
                </c:pt>
                <c:pt idx="4">
                  <c:v>0.22595899394804059</c:v>
                </c:pt>
                <c:pt idx="5">
                  <c:v>0.21621432323586062</c:v>
                </c:pt>
                <c:pt idx="6">
                  <c:v>0.21438415360538179</c:v>
                </c:pt>
                <c:pt idx="7">
                  <c:v>0.21045462083343205</c:v>
                </c:pt>
                <c:pt idx="8">
                  <c:v>0.21110671605115849</c:v>
                </c:pt>
                <c:pt idx="9">
                  <c:v>0.20944467661446939</c:v>
                </c:pt>
                <c:pt idx="10">
                  <c:v>0.19835676327592056</c:v>
                </c:pt>
                <c:pt idx="11">
                  <c:v>0.18982762837759556</c:v>
                </c:pt>
                <c:pt idx="12">
                  <c:v>0.19189560959604246</c:v>
                </c:pt>
                <c:pt idx="13">
                  <c:v>0.19765601819800219</c:v>
                </c:pt>
                <c:pt idx="14">
                  <c:v>0.20466545538795469</c:v>
                </c:pt>
                <c:pt idx="15">
                  <c:v>0.20704187718616401</c:v>
                </c:pt>
                <c:pt idx="16">
                  <c:v>0.2114845769947688</c:v>
                </c:pt>
                <c:pt idx="17">
                  <c:v>0.21242620729700959</c:v>
                </c:pt>
                <c:pt idx="18">
                  <c:v>0.21342273697043584</c:v>
                </c:pt>
                <c:pt idx="19">
                  <c:v>0.21053856994056735</c:v>
                </c:pt>
                <c:pt idx="20">
                  <c:v>0.21030492904127712</c:v>
                </c:pt>
                <c:pt idx="21">
                  <c:v>0.20432535885167463</c:v>
                </c:pt>
                <c:pt idx="22">
                  <c:v>0.19562266935473244</c:v>
                </c:pt>
                <c:pt idx="23">
                  <c:v>0.18540209316197603</c:v>
                </c:pt>
                <c:pt idx="24">
                  <c:v>0.18573802122413977</c:v>
                </c:pt>
                <c:pt idx="25">
                  <c:v>0.19227746773398688</c:v>
                </c:pt>
                <c:pt idx="26">
                  <c:v>0.19242206999097233</c:v>
                </c:pt>
                <c:pt idx="27">
                  <c:v>0.19134824521360866</c:v>
                </c:pt>
                <c:pt idx="28">
                  <c:v>0.19135569456427956</c:v>
                </c:pt>
                <c:pt idx="29">
                  <c:v>0.19349338241264513</c:v>
                </c:pt>
                <c:pt idx="30">
                  <c:v>0.19199223555786424</c:v>
                </c:pt>
                <c:pt idx="31">
                  <c:v>0.19069989757596451</c:v>
                </c:pt>
                <c:pt idx="32">
                  <c:v>0.18900129053744641</c:v>
                </c:pt>
                <c:pt idx="33">
                  <c:v>0.18517528557762647</c:v>
                </c:pt>
                <c:pt idx="34">
                  <c:v>0.17779838767211242</c:v>
                </c:pt>
                <c:pt idx="35">
                  <c:v>0.17279025219282454</c:v>
                </c:pt>
                <c:pt idx="36">
                  <c:v>0.16931179873650001</c:v>
                </c:pt>
                <c:pt idx="37">
                  <c:v>0.16804936294742073</c:v>
                </c:pt>
                <c:pt idx="38">
                  <c:v>0.16397097515717174</c:v>
                </c:pt>
                <c:pt idx="39">
                  <c:v>0.16003733289412281</c:v>
                </c:pt>
                <c:pt idx="40">
                  <c:v>0.15612594852961031</c:v>
                </c:pt>
                <c:pt idx="41">
                  <c:v>0.1524305080104067</c:v>
                </c:pt>
                <c:pt idx="42">
                  <c:v>0.15095815945530419</c:v>
                </c:pt>
                <c:pt idx="43">
                  <c:v>0.14206243201189706</c:v>
                </c:pt>
              </c:numCache>
            </c:numRef>
          </c:val>
          <c:smooth val="0"/>
          <c:extLst>
            <c:ext xmlns:c16="http://schemas.microsoft.com/office/drawing/2014/chart" uri="{C3380CC4-5D6E-409C-BE32-E72D297353CC}">
              <c16:uniqueId val="{00000001-C6C3-4E8F-8044-B5FE3E842119}"/>
            </c:ext>
          </c:extLst>
        </c:ser>
        <c:dLbls>
          <c:showLegendKey val="0"/>
          <c:showVal val="0"/>
          <c:showCatName val="0"/>
          <c:showSerName val="0"/>
          <c:showPercent val="0"/>
          <c:showBubbleSize val="0"/>
        </c:dLbls>
        <c:smooth val="0"/>
        <c:axId val="1290739720"/>
        <c:axId val="1378262536"/>
      </c:lineChart>
      <c:dateAx>
        <c:axId val="1290739720"/>
        <c:scaling>
          <c:orientation val="minMax"/>
        </c:scaling>
        <c:delete val="0"/>
        <c:axPos val="b"/>
        <c:numFmt formatCode="mmm\ 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262536"/>
        <c:crosses val="autoZero"/>
        <c:auto val="1"/>
        <c:lblOffset val="100"/>
        <c:baseTimeUnit val="months"/>
      </c:dateAx>
      <c:valAx>
        <c:axId val="137826253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7397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152400</xdr:colOff>
      <xdr:row>8</xdr:row>
      <xdr:rowOff>66675</xdr:rowOff>
    </xdr:from>
    <xdr:to>
      <xdr:col>5</xdr:col>
      <xdr:colOff>257175</xdr:colOff>
      <xdr:row>24</xdr:row>
      <xdr:rowOff>76200</xdr:rowOff>
    </xdr:to>
    <xdr:graphicFrame macro="">
      <xdr:nvGraphicFramePr>
        <xdr:cNvPr id="2" name="Chart 3">
          <a:extLst>
            <a:ext uri="{FF2B5EF4-FFF2-40B4-BE49-F238E27FC236}">
              <a16:creationId xmlns:a16="http://schemas.microsoft.com/office/drawing/2014/main" id="{613997B8-B899-4A05-A28A-824CDFCCBF71}"/>
            </a:ext>
            <a:ext uri="{147F2762-F138-4A5C-976F-8EAC2B608ADB}">
              <a16:predDERef xmlns:a16="http://schemas.microsoft.com/office/drawing/2014/main" pred="{9BCADC4A-ED2F-6272-9D73-C588026E02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628650</xdr:colOff>
      <xdr:row>8</xdr:row>
      <xdr:rowOff>57150</xdr:rowOff>
    </xdr:from>
    <xdr:to>
      <xdr:col>10</xdr:col>
      <xdr:colOff>504825</xdr:colOff>
      <xdr:row>24</xdr:row>
      <xdr:rowOff>38100</xdr:rowOff>
    </xdr:to>
    <xdr:graphicFrame macro="">
      <xdr:nvGraphicFramePr>
        <xdr:cNvPr id="3" name="Chart 4">
          <a:extLst>
            <a:ext uri="{FF2B5EF4-FFF2-40B4-BE49-F238E27FC236}">
              <a16:creationId xmlns:a16="http://schemas.microsoft.com/office/drawing/2014/main" id="{D061C231-F2F3-4D09-A5D9-9C768C190A07}"/>
            </a:ext>
            <a:ext uri="{147F2762-F138-4A5C-976F-8EAC2B608ADB}">
              <a16:predDERef xmlns:a16="http://schemas.microsoft.com/office/drawing/2014/main" pred="{613997B8-B899-4A05-A28A-824CDFCCBF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447675</xdr:colOff>
      <xdr:row>8</xdr:row>
      <xdr:rowOff>28575</xdr:rowOff>
    </xdr:from>
    <xdr:to>
      <xdr:col>16</xdr:col>
      <xdr:colOff>523875</xdr:colOff>
      <xdr:row>24</xdr:row>
      <xdr:rowOff>0</xdr:rowOff>
    </xdr:to>
    <xdr:graphicFrame macro="">
      <xdr:nvGraphicFramePr>
        <xdr:cNvPr id="4" name="Chart 2">
          <a:extLst>
            <a:ext uri="{FF2B5EF4-FFF2-40B4-BE49-F238E27FC236}">
              <a16:creationId xmlns:a16="http://schemas.microsoft.com/office/drawing/2014/main" id="{0BBC0859-36BC-4082-8A82-AD23D4E8BE57}"/>
            </a:ext>
            <a:ext uri="{147F2762-F138-4A5C-976F-8EAC2B608ADB}">
              <a16:predDERef xmlns:a16="http://schemas.microsoft.com/office/drawing/2014/main" pred="{D061C231-F2F3-4D09-A5D9-9C768C190A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123825</xdr:colOff>
      <xdr:row>26</xdr:row>
      <xdr:rowOff>114300</xdr:rowOff>
    </xdr:from>
    <xdr:to>
      <xdr:col>5</xdr:col>
      <xdr:colOff>209550</xdr:colOff>
      <xdr:row>41</xdr:row>
      <xdr:rowOff>133350</xdr:rowOff>
    </xdr:to>
    <xdr:graphicFrame macro="">
      <xdr:nvGraphicFramePr>
        <xdr:cNvPr id="5" name="Chart 1">
          <a:extLst>
            <a:ext uri="{FF2B5EF4-FFF2-40B4-BE49-F238E27FC236}">
              <a16:creationId xmlns:a16="http://schemas.microsoft.com/office/drawing/2014/main" id="{0542418F-2B44-44E3-8985-3D28F089CB5F}"/>
            </a:ext>
            <a:ext uri="{147F2762-F138-4A5C-976F-8EAC2B608ADB}">
              <a16:predDERef xmlns:a16="http://schemas.microsoft.com/office/drawing/2014/main" pred="{0BBC0859-36BC-4082-8A82-AD23D4E8BE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638175</xdr:colOff>
      <xdr:row>26</xdr:row>
      <xdr:rowOff>85725</xdr:rowOff>
    </xdr:from>
    <xdr:to>
      <xdr:col>10</xdr:col>
      <xdr:colOff>542925</xdr:colOff>
      <xdr:row>41</xdr:row>
      <xdr:rowOff>123825</xdr:rowOff>
    </xdr:to>
    <xdr:graphicFrame macro="">
      <xdr:nvGraphicFramePr>
        <xdr:cNvPr id="7" name="Chart 6">
          <a:extLst>
            <a:ext uri="{FF2B5EF4-FFF2-40B4-BE49-F238E27FC236}">
              <a16:creationId xmlns:a16="http://schemas.microsoft.com/office/drawing/2014/main" id="{5A6B1D0B-2D16-45DF-9CB2-D1C8469367EF}"/>
            </a:ext>
            <a:ext uri="{147F2762-F138-4A5C-976F-8EAC2B608ADB}">
              <a16:predDERef xmlns:a16="http://schemas.microsoft.com/office/drawing/2014/main" pred="{0542418F-2B44-44E3-8985-3D28F089CB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485775</xdr:colOff>
      <xdr:row>26</xdr:row>
      <xdr:rowOff>123825</xdr:rowOff>
    </xdr:from>
    <xdr:to>
      <xdr:col>16</xdr:col>
      <xdr:colOff>590550</xdr:colOff>
      <xdr:row>41</xdr:row>
      <xdr:rowOff>161925</xdr:rowOff>
    </xdr:to>
    <xdr:graphicFrame macro="">
      <xdr:nvGraphicFramePr>
        <xdr:cNvPr id="8" name="Chart 7">
          <a:extLst>
            <a:ext uri="{FF2B5EF4-FFF2-40B4-BE49-F238E27FC236}">
              <a16:creationId xmlns:a16="http://schemas.microsoft.com/office/drawing/2014/main" id="{AE8035B1-3B1C-48BB-99D8-1116FAFBC701}"/>
            </a:ext>
            <a:ext uri="{147F2762-F138-4A5C-976F-8EAC2B608ADB}">
              <a16:predDERef xmlns:a16="http://schemas.microsoft.com/office/drawing/2014/main" pred="{5A6B1D0B-2D16-45DF-9CB2-D1C8469367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300.018274652779" createdVersion="8" refreshedVersion="8" minRefreshableVersion="3" recordCount="6394" xr:uid="{A2EAA152-54D5-4BAC-A3B8-067E0CD14A1C}">
  <cacheSource type="worksheet">
    <worksheetSource name="tblWaitingList"/>
  </cacheSource>
  <cacheFields count="11">
    <cacheField name="Date" numFmtId="14">
      <sharedItems containsSemiMixedTypes="0" containsNonDate="0" containsDate="1" containsString="0" minDate="2023-01-26T00:00:00" maxDate="2026-08-28T00:00:00"/>
    </cacheField>
    <cacheField name="Adult_Child" numFmtId="0">
      <sharedItems/>
    </cacheField>
    <cacheField name="HospitalName" numFmtId="0">
      <sharedItems count="47">
        <s v="Our Lady's Hospital Navan"/>
        <s v="St. John's Hospital Limerick"/>
        <s v="Mercy University Hospital"/>
        <s v="Croom Orthopaedic Hospital"/>
        <s v="Mallow General Hospital"/>
        <s v="St. Luke's General Hospital Kilkenny"/>
        <s v="Cork University Maternity Hospital"/>
        <s v="Roscommon University Hospital"/>
        <s v="Tipperary University Hospital"/>
        <s v="Coombe Women and Infants University Hospital"/>
        <s v="Rotunda Hospital"/>
        <s v="Nenagh Hospital"/>
        <s v="Tallaght University Hospital"/>
        <s v="Ennis Hospital"/>
        <s v="National Maternity Hospital (Holles Street)"/>
        <s v="Naas General Hospital"/>
        <s v="Cavan General Hospital"/>
        <s v="Louth County Hospital"/>
        <s v="Midland Regional Hospital Tullamore"/>
        <s v="University Hospital Kerry"/>
        <s v="Midland Regional Hospital Portlaoise"/>
        <s v="Portiuncula University Hospital"/>
        <s v="Mayo University Hospital"/>
        <s v="Beaumont Hospital"/>
        <s v="Wexford General Hospital"/>
        <s v="Bantry General Hospital"/>
        <s v="Midland Regional Hospital Mullingar"/>
        <s v="Our Lady of Lourdes Hospital Drogheda"/>
        <s v="Small Volume Hospitals"/>
        <s v="National Orthopaedic Hospital Cappagh"/>
        <s v="Connolly Hospital Blanchardstown"/>
        <s v="Kilcreene Regional Orthopaedic Hospital"/>
        <s v="Letterkenny University Hospital"/>
        <s v="North Dublin Surgical Hub"/>
        <s v="University Hospital Limerick"/>
        <s v="Sligo University Hospital"/>
        <s v="South Infirmary Victoria University Hospital"/>
        <s v="St. Columcille's Hospital"/>
        <s v="Royal Victoria Eye and Ear Hospital"/>
        <s v="Children's Health Ireland"/>
        <s v="Cork University Hospital"/>
        <s v="Galway University Hospitals"/>
        <s v="University Hospital Waterford"/>
        <s v="Mater Misericordiae University Hospital"/>
        <s v="St. James's Hospital"/>
        <s v="St. Michael's Hospital"/>
        <s v="St. Vincent's University Hospital"/>
      </sharedItems>
    </cacheField>
    <cacheField name="0-6 Months" numFmtId="0">
      <sharedItems containsSemiMixedTypes="0" containsString="0" containsNumber="1" containsInteger="1" minValue="0" maxValue="32201"/>
    </cacheField>
    <cacheField name="6-12 Months" numFmtId="0">
      <sharedItems containsSemiMixedTypes="0" containsString="0" containsNumber="1" containsInteger="1" minValue="0" maxValue="14487"/>
    </cacheField>
    <cacheField name="12-18 Months" numFmtId="0">
      <sharedItems containsSemiMixedTypes="0" containsString="0" containsNumber="1" containsInteger="1" minValue="0" maxValue="7661"/>
    </cacheField>
    <cacheField name="18 Months +" numFmtId="0">
      <sharedItems containsSemiMixedTypes="0" containsString="0" containsNumber="1" containsInteger="1" minValue="0" maxValue="13740"/>
    </cacheField>
    <cacheField name="Total" numFmtId="0">
      <sharedItems containsSemiMixedTypes="0" containsString="0" containsNumber="1" containsInteger="1" minValue="1" maxValue="57704"/>
    </cacheField>
    <cacheField name="Month" numFmtId="14">
      <sharedItems containsSemiMixedTypes="0" containsNonDate="0" containsDate="1" containsString="0" minDate="2023-01-01T00:00:00" maxDate="2026-08-02T00:00:00" count="44">
        <d v="2024-05-01T00:00:00"/>
        <d v="2024-06-01T00:00:00"/>
        <d v="2024-08-01T00:00:00"/>
        <d v="2024-11-01T00:00:00"/>
        <d v="2024-12-01T00:00:00"/>
        <d v="2025-04-01T00:00:00"/>
        <d v="2026-01-01T00:00:00"/>
        <d v="2026-02-01T00:00:00"/>
        <d v="2026-05-01T00:00:00"/>
        <d v="2026-06-01T00:00:00"/>
        <d v="2026-07-01T00:00:00"/>
        <d v="2026-08-01T00:00:00"/>
        <d v="2024-01-01T00:00:00"/>
        <d v="2024-02-01T00:00:00"/>
        <d v="2024-03-01T00:00:00"/>
        <d v="2024-04-01T00:00:00"/>
        <d v="2024-07-01T00:00:00"/>
        <d v="2024-09-01T00:00:00"/>
        <d v="2025-01-01T00:00:00"/>
        <d v="2025-03-01T00:00:00"/>
        <d v="2025-05-01T00:00:00"/>
        <d v="2025-06-01T00:00:00"/>
        <d v="2025-07-01T00:00:00"/>
        <d v="2025-08-01T00:00:00"/>
        <d v="2025-09-01T00:00:00"/>
        <d v="2025-10-01T00:00:00"/>
        <d v="2025-11-01T00:00:00"/>
        <d v="2025-12-01T00:00:00"/>
        <d v="2026-03-01T00:00:00"/>
        <d v="2026-04-01T00:00:00"/>
        <d v="2023-06-01T00:00:00"/>
        <d v="2023-07-01T00:00:00"/>
        <d v="2023-08-01T00:00:00"/>
        <d v="2023-09-01T00:00:00"/>
        <d v="2024-10-01T00:00:00"/>
        <d v="2025-02-01T00:00:00"/>
        <d v="2023-01-01T00:00:00"/>
        <d v="2023-02-01T00:00:00"/>
        <d v="2023-03-01T00:00:00"/>
        <d v="2023-04-01T00:00:00"/>
        <d v="2023-05-01T00:00:00"/>
        <d v="2023-10-01T00:00:00"/>
        <d v="2023-11-01T00:00:00"/>
        <d v="2023-12-01T00:00:00"/>
      </sharedItems>
    </cacheField>
    <cacheField name="Waiting 12+ Months" numFmtId="0">
      <sharedItems containsSemiMixedTypes="0" containsString="0" containsNumber="1" containsInteger="1" minValue="0" maxValue="20463"/>
    </cacheField>
    <cacheField name="List Type" numFmtId="0">
      <sharedItems count="2">
        <s v="Outpatient"/>
        <s v="Inpatient/Day Case"/>
      </sharedItems>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94">
  <r>
    <d v="2024-05-30T00:00:00"/>
    <s v="Child"/>
    <x v="0"/>
    <n v="1"/>
    <n v="0"/>
    <n v="0"/>
    <n v="0"/>
    <n v="1"/>
    <x v="0"/>
    <n v="0"/>
    <x v="0"/>
  </r>
  <r>
    <d v="2024-06-27T00:00:00"/>
    <s v="Child"/>
    <x v="0"/>
    <n v="1"/>
    <n v="0"/>
    <n v="0"/>
    <n v="0"/>
    <n v="1"/>
    <x v="1"/>
    <n v="0"/>
    <x v="0"/>
  </r>
  <r>
    <d v="2024-06-27T00:00:00"/>
    <s v="Child"/>
    <x v="1"/>
    <n v="1"/>
    <n v="0"/>
    <n v="0"/>
    <n v="0"/>
    <n v="1"/>
    <x v="1"/>
    <n v="0"/>
    <x v="0"/>
  </r>
  <r>
    <d v="2024-08-29T00:00:00"/>
    <s v="Child"/>
    <x v="2"/>
    <n v="1"/>
    <n v="0"/>
    <n v="0"/>
    <n v="0"/>
    <n v="1"/>
    <x v="2"/>
    <n v="0"/>
    <x v="0"/>
  </r>
  <r>
    <d v="2024-11-28T00:00:00"/>
    <s v="Child"/>
    <x v="2"/>
    <n v="1"/>
    <n v="0"/>
    <n v="0"/>
    <n v="0"/>
    <n v="1"/>
    <x v="3"/>
    <n v="0"/>
    <x v="0"/>
  </r>
  <r>
    <d v="2024-12-19T00:00:00"/>
    <s v="Child"/>
    <x v="2"/>
    <n v="1"/>
    <n v="0"/>
    <n v="0"/>
    <n v="0"/>
    <n v="1"/>
    <x v="4"/>
    <n v="0"/>
    <x v="0"/>
  </r>
  <r>
    <d v="2025-04-24T00:00:00"/>
    <s v="Child"/>
    <x v="2"/>
    <n v="1"/>
    <n v="0"/>
    <n v="0"/>
    <n v="0"/>
    <n v="1"/>
    <x v="5"/>
    <n v="0"/>
    <x v="0"/>
  </r>
  <r>
    <d v="2026-01-29T00:00:00"/>
    <s v="Child"/>
    <x v="1"/>
    <n v="1"/>
    <n v="0"/>
    <n v="0"/>
    <n v="0"/>
    <n v="1"/>
    <x v="6"/>
    <n v="0"/>
    <x v="0"/>
  </r>
  <r>
    <d v="2026-02-26T00:00:00"/>
    <s v="Child"/>
    <x v="1"/>
    <n v="1"/>
    <n v="0"/>
    <n v="0"/>
    <n v="0"/>
    <n v="1"/>
    <x v="7"/>
    <n v="0"/>
    <x v="0"/>
  </r>
  <r>
    <d v="2026-05-28T00:00:00"/>
    <s v="Child"/>
    <x v="1"/>
    <n v="1"/>
    <n v="0"/>
    <n v="0"/>
    <n v="0"/>
    <n v="1"/>
    <x v="8"/>
    <n v="0"/>
    <x v="0"/>
  </r>
  <r>
    <d v="2026-06-25T00:00:00"/>
    <s v="Child"/>
    <x v="0"/>
    <n v="1"/>
    <n v="0"/>
    <n v="0"/>
    <n v="0"/>
    <n v="1"/>
    <x v="9"/>
    <n v="0"/>
    <x v="0"/>
  </r>
  <r>
    <d v="2026-06-25T00:00:00"/>
    <s v="Child"/>
    <x v="1"/>
    <n v="1"/>
    <n v="0"/>
    <n v="0"/>
    <n v="0"/>
    <n v="1"/>
    <x v="9"/>
    <n v="0"/>
    <x v="0"/>
  </r>
  <r>
    <d v="2026-07-30T00:00:00"/>
    <s v="Child"/>
    <x v="2"/>
    <n v="1"/>
    <n v="0"/>
    <n v="0"/>
    <n v="0"/>
    <n v="1"/>
    <x v="10"/>
    <n v="0"/>
    <x v="0"/>
  </r>
  <r>
    <d v="2026-07-30T00:00:00"/>
    <s v="Child"/>
    <x v="1"/>
    <n v="1"/>
    <n v="0"/>
    <n v="0"/>
    <n v="0"/>
    <n v="1"/>
    <x v="10"/>
    <n v="0"/>
    <x v="0"/>
  </r>
  <r>
    <d v="2026-08-27T00:00:00"/>
    <s v="Child"/>
    <x v="2"/>
    <n v="1"/>
    <n v="0"/>
    <n v="0"/>
    <n v="0"/>
    <n v="1"/>
    <x v="11"/>
    <n v="0"/>
    <x v="0"/>
  </r>
  <r>
    <d v="2026-08-27T00:00:00"/>
    <s v="Child"/>
    <x v="0"/>
    <n v="1"/>
    <n v="0"/>
    <n v="0"/>
    <n v="0"/>
    <n v="1"/>
    <x v="11"/>
    <n v="0"/>
    <x v="0"/>
  </r>
  <r>
    <d v="2024-01-25T00:00:00"/>
    <s v="Child"/>
    <x v="1"/>
    <n v="1"/>
    <n v="0"/>
    <n v="0"/>
    <n v="0"/>
    <n v="1"/>
    <x v="12"/>
    <n v="0"/>
    <x v="1"/>
  </r>
  <r>
    <d v="2024-02-29T00:00:00"/>
    <s v="Child"/>
    <x v="3"/>
    <n v="1"/>
    <n v="0"/>
    <n v="0"/>
    <n v="0"/>
    <n v="1"/>
    <x v="13"/>
    <n v="0"/>
    <x v="1"/>
  </r>
  <r>
    <d v="2024-02-29T00:00:00"/>
    <s v="Child"/>
    <x v="1"/>
    <n v="1"/>
    <n v="0"/>
    <n v="0"/>
    <n v="0"/>
    <n v="1"/>
    <x v="13"/>
    <n v="0"/>
    <x v="1"/>
  </r>
  <r>
    <d v="2024-03-28T00:00:00"/>
    <s v="Child"/>
    <x v="4"/>
    <n v="1"/>
    <n v="0"/>
    <n v="0"/>
    <n v="0"/>
    <n v="1"/>
    <x v="14"/>
    <n v="0"/>
    <x v="1"/>
  </r>
  <r>
    <d v="2024-03-28T00:00:00"/>
    <s v="Child"/>
    <x v="1"/>
    <n v="1"/>
    <n v="0"/>
    <n v="0"/>
    <n v="0"/>
    <n v="1"/>
    <x v="14"/>
    <n v="0"/>
    <x v="1"/>
  </r>
  <r>
    <d v="2024-04-25T00:00:00"/>
    <s v="Child"/>
    <x v="4"/>
    <n v="1"/>
    <n v="0"/>
    <n v="0"/>
    <n v="0"/>
    <n v="1"/>
    <x v="15"/>
    <n v="0"/>
    <x v="1"/>
  </r>
  <r>
    <d v="2024-04-25T00:00:00"/>
    <s v="Child"/>
    <x v="1"/>
    <n v="1"/>
    <n v="0"/>
    <n v="0"/>
    <n v="0"/>
    <n v="1"/>
    <x v="15"/>
    <n v="0"/>
    <x v="1"/>
  </r>
  <r>
    <d v="2024-04-25T00:00:00"/>
    <s v="Child"/>
    <x v="5"/>
    <n v="1"/>
    <n v="0"/>
    <n v="0"/>
    <n v="0"/>
    <n v="1"/>
    <x v="15"/>
    <n v="0"/>
    <x v="1"/>
  </r>
  <r>
    <d v="2024-05-30T00:00:00"/>
    <s v="Child"/>
    <x v="6"/>
    <n v="1"/>
    <n v="0"/>
    <n v="0"/>
    <n v="0"/>
    <n v="1"/>
    <x v="0"/>
    <n v="0"/>
    <x v="1"/>
  </r>
  <r>
    <d v="2024-05-30T00:00:00"/>
    <s v="Child"/>
    <x v="3"/>
    <n v="1"/>
    <n v="0"/>
    <n v="0"/>
    <n v="0"/>
    <n v="1"/>
    <x v="0"/>
    <n v="0"/>
    <x v="1"/>
  </r>
  <r>
    <d v="2024-05-30T00:00:00"/>
    <s v="Child"/>
    <x v="4"/>
    <n v="1"/>
    <n v="0"/>
    <n v="0"/>
    <n v="0"/>
    <n v="1"/>
    <x v="0"/>
    <n v="0"/>
    <x v="1"/>
  </r>
  <r>
    <d v="2024-05-30T00:00:00"/>
    <s v="Child"/>
    <x v="5"/>
    <n v="1"/>
    <n v="0"/>
    <n v="0"/>
    <n v="0"/>
    <n v="1"/>
    <x v="0"/>
    <n v="0"/>
    <x v="1"/>
  </r>
  <r>
    <d v="2024-07-25T00:00:00"/>
    <s v="Child"/>
    <x v="7"/>
    <n v="1"/>
    <n v="0"/>
    <n v="0"/>
    <n v="0"/>
    <n v="1"/>
    <x v="16"/>
    <n v="0"/>
    <x v="1"/>
  </r>
  <r>
    <d v="2024-08-29T00:00:00"/>
    <s v="Child"/>
    <x v="4"/>
    <n v="1"/>
    <n v="0"/>
    <n v="0"/>
    <n v="0"/>
    <n v="1"/>
    <x v="2"/>
    <n v="0"/>
    <x v="1"/>
  </r>
  <r>
    <d v="2024-08-29T00:00:00"/>
    <s v="Child"/>
    <x v="8"/>
    <n v="1"/>
    <n v="0"/>
    <n v="0"/>
    <n v="0"/>
    <n v="1"/>
    <x v="2"/>
    <n v="0"/>
    <x v="1"/>
  </r>
  <r>
    <d v="2024-09-26T00:00:00"/>
    <s v="Child"/>
    <x v="3"/>
    <n v="1"/>
    <n v="0"/>
    <n v="0"/>
    <n v="0"/>
    <n v="1"/>
    <x v="17"/>
    <n v="0"/>
    <x v="1"/>
  </r>
  <r>
    <d v="2024-09-26T00:00:00"/>
    <s v="Child"/>
    <x v="4"/>
    <n v="1"/>
    <n v="0"/>
    <n v="0"/>
    <n v="0"/>
    <n v="1"/>
    <x v="17"/>
    <n v="0"/>
    <x v="1"/>
  </r>
  <r>
    <d v="2024-09-26T00:00:00"/>
    <s v="Child"/>
    <x v="5"/>
    <n v="1"/>
    <n v="0"/>
    <n v="0"/>
    <n v="0"/>
    <n v="1"/>
    <x v="17"/>
    <n v="0"/>
    <x v="1"/>
  </r>
  <r>
    <d v="2025-01-30T00:00:00"/>
    <s v="Child"/>
    <x v="3"/>
    <n v="1"/>
    <n v="0"/>
    <n v="0"/>
    <n v="0"/>
    <n v="1"/>
    <x v="18"/>
    <n v="0"/>
    <x v="1"/>
  </r>
  <r>
    <d v="2025-03-27T00:00:00"/>
    <s v="Child"/>
    <x v="6"/>
    <n v="1"/>
    <n v="0"/>
    <n v="0"/>
    <n v="0"/>
    <n v="1"/>
    <x v="19"/>
    <n v="0"/>
    <x v="1"/>
  </r>
  <r>
    <d v="2025-04-24T00:00:00"/>
    <s v="Child"/>
    <x v="9"/>
    <n v="1"/>
    <n v="0"/>
    <n v="0"/>
    <n v="0"/>
    <n v="1"/>
    <x v="5"/>
    <n v="0"/>
    <x v="1"/>
  </r>
  <r>
    <d v="2025-04-24T00:00:00"/>
    <s v="Child"/>
    <x v="10"/>
    <n v="1"/>
    <n v="0"/>
    <n v="0"/>
    <n v="0"/>
    <n v="1"/>
    <x v="5"/>
    <n v="0"/>
    <x v="1"/>
  </r>
  <r>
    <d v="2025-05-29T00:00:00"/>
    <s v="Child"/>
    <x v="7"/>
    <n v="1"/>
    <n v="0"/>
    <n v="0"/>
    <n v="0"/>
    <n v="1"/>
    <x v="20"/>
    <n v="0"/>
    <x v="1"/>
  </r>
  <r>
    <d v="2025-06-26T00:00:00"/>
    <s v="Child"/>
    <x v="7"/>
    <n v="1"/>
    <n v="0"/>
    <n v="0"/>
    <n v="0"/>
    <n v="1"/>
    <x v="21"/>
    <n v="0"/>
    <x v="1"/>
  </r>
  <r>
    <d v="2025-07-31T00:00:00"/>
    <s v="Child"/>
    <x v="4"/>
    <n v="1"/>
    <n v="0"/>
    <n v="0"/>
    <n v="0"/>
    <n v="1"/>
    <x v="22"/>
    <n v="0"/>
    <x v="1"/>
  </r>
  <r>
    <d v="2025-08-28T00:00:00"/>
    <s v="Child"/>
    <x v="9"/>
    <n v="1"/>
    <n v="0"/>
    <n v="0"/>
    <n v="0"/>
    <n v="1"/>
    <x v="23"/>
    <n v="0"/>
    <x v="1"/>
  </r>
  <r>
    <d v="2025-08-28T00:00:00"/>
    <s v="Child"/>
    <x v="4"/>
    <n v="1"/>
    <n v="0"/>
    <n v="0"/>
    <n v="0"/>
    <n v="1"/>
    <x v="23"/>
    <n v="0"/>
    <x v="1"/>
  </r>
  <r>
    <d v="2025-08-28T00:00:00"/>
    <s v="Child"/>
    <x v="11"/>
    <n v="1"/>
    <n v="0"/>
    <n v="0"/>
    <n v="0"/>
    <n v="1"/>
    <x v="23"/>
    <n v="0"/>
    <x v="1"/>
  </r>
  <r>
    <d v="2025-08-28T00:00:00"/>
    <s v="Child"/>
    <x v="0"/>
    <n v="1"/>
    <n v="0"/>
    <n v="0"/>
    <n v="0"/>
    <n v="1"/>
    <x v="23"/>
    <n v="0"/>
    <x v="1"/>
  </r>
  <r>
    <d v="2025-09-25T00:00:00"/>
    <s v="Child"/>
    <x v="9"/>
    <n v="1"/>
    <n v="0"/>
    <n v="0"/>
    <n v="0"/>
    <n v="1"/>
    <x v="24"/>
    <n v="0"/>
    <x v="1"/>
  </r>
  <r>
    <d v="2025-09-25T00:00:00"/>
    <s v="Child"/>
    <x v="6"/>
    <n v="1"/>
    <n v="0"/>
    <n v="0"/>
    <n v="0"/>
    <n v="1"/>
    <x v="24"/>
    <n v="0"/>
    <x v="1"/>
  </r>
  <r>
    <d v="2025-09-25T00:00:00"/>
    <s v="Child"/>
    <x v="3"/>
    <n v="1"/>
    <n v="0"/>
    <n v="0"/>
    <n v="0"/>
    <n v="1"/>
    <x v="24"/>
    <n v="0"/>
    <x v="1"/>
  </r>
  <r>
    <d v="2025-09-25T00:00:00"/>
    <s v="Child"/>
    <x v="0"/>
    <n v="1"/>
    <n v="0"/>
    <n v="0"/>
    <n v="0"/>
    <n v="1"/>
    <x v="24"/>
    <n v="0"/>
    <x v="1"/>
  </r>
  <r>
    <d v="2025-10-30T00:00:00"/>
    <s v="Child"/>
    <x v="9"/>
    <n v="1"/>
    <n v="0"/>
    <n v="0"/>
    <n v="0"/>
    <n v="1"/>
    <x v="25"/>
    <n v="0"/>
    <x v="1"/>
  </r>
  <r>
    <d v="2025-10-30T00:00:00"/>
    <s v="Child"/>
    <x v="4"/>
    <n v="1"/>
    <n v="0"/>
    <n v="0"/>
    <n v="0"/>
    <n v="1"/>
    <x v="25"/>
    <n v="0"/>
    <x v="1"/>
  </r>
  <r>
    <d v="2025-10-30T00:00:00"/>
    <s v="Child"/>
    <x v="10"/>
    <n v="1"/>
    <n v="0"/>
    <n v="0"/>
    <n v="0"/>
    <n v="1"/>
    <x v="25"/>
    <n v="0"/>
    <x v="1"/>
  </r>
  <r>
    <d v="2025-10-30T00:00:00"/>
    <s v="Child"/>
    <x v="12"/>
    <n v="1"/>
    <n v="0"/>
    <n v="0"/>
    <n v="0"/>
    <n v="1"/>
    <x v="25"/>
    <n v="0"/>
    <x v="1"/>
  </r>
  <r>
    <d v="2025-11-27T00:00:00"/>
    <s v="Child"/>
    <x v="9"/>
    <n v="1"/>
    <n v="0"/>
    <n v="0"/>
    <n v="0"/>
    <n v="1"/>
    <x v="26"/>
    <n v="0"/>
    <x v="1"/>
  </r>
  <r>
    <d v="2025-11-27T00:00:00"/>
    <s v="Child"/>
    <x v="4"/>
    <n v="1"/>
    <n v="0"/>
    <n v="0"/>
    <n v="0"/>
    <n v="1"/>
    <x v="26"/>
    <n v="0"/>
    <x v="1"/>
  </r>
  <r>
    <d v="2025-11-27T00:00:00"/>
    <s v="Child"/>
    <x v="12"/>
    <n v="1"/>
    <n v="0"/>
    <n v="0"/>
    <n v="0"/>
    <n v="1"/>
    <x v="26"/>
    <n v="0"/>
    <x v="1"/>
  </r>
  <r>
    <d v="2025-12-18T00:00:00"/>
    <s v="Child"/>
    <x v="9"/>
    <n v="1"/>
    <n v="0"/>
    <n v="0"/>
    <n v="0"/>
    <n v="1"/>
    <x v="27"/>
    <n v="0"/>
    <x v="1"/>
  </r>
  <r>
    <d v="2025-12-18T00:00:00"/>
    <s v="Child"/>
    <x v="6"/>
    <n v="1"/>
    <n v="0"/>
    <n v="0"/>
    <n v="0"/>
    <n v="1"/>
    <x v="27"/>
    <n v="0"/>
    <x v="1"/>
  </r>
  <r>
    <d v="2025-12-18T00:00:00"/>
    <s v="Child"/>
    <x v="4"/>
    <n v="1"/>
    <n v="0"/>
    <n v="0"/>
    <n v="0"/>
    <n v="1"/>
    <x v="27"/>
    <n v="0"/>
    <x v="1"/>
  </r>
  <r>
    <d v="2025-12-18T00:00:00"/>
    <s v="Child"/>
    <x v="12"/>
    <n v="1"/>
    <n v="0"/>
    <n v="0"/>
    <n v="0"/>
    <n v="1"/>
    <x v="27"/>
    <n v="0"/>
    <x v="1"/>
  </r>
  <r>
    <d v="2026-01-29T00:00:00"/>
    <s v="Child"/>
    <x v="6"/>
    <n v="1"/>
    <n v="0"/>
    <n v="0"/>
    <n v="0"/>
    <n v="1"/>
    <x v="6"/>
    <n v="0"/>
    <x v="1"/>
  </r>
  <r>
    <d v="2026-01-29T00:00:00"/>
    <s v="Child"/>
    <x v="13"/>
    <n v="1"/>
    <n v="0"/>
    <n v="0"/>
    <n v="0"/>
    <n v="1"/>
    <x v="6"/>
    <n v="0"/>
    <x v="1"/>
  </r>
  <r>
    <d v="2026-02-26T00:00:00"/>
    <s v="Child"/>
    <x v="14"/>
    <n v="1"/>
    <n v="0"/>
    <n v="0"/>
    <n v="0"/>
    <n v="1"/>
    <x v="7"/>
    <n v="0"/>
    <x v="1"/>
  </r>
  <r>
    <d v="2026-03-26T00:00:00"/>
    <s v="Child"/>
    <x v="6"/>
    <n v="1"/>
    <n v="0"/>
    <n v="0"/>
    <n v="0"/>
    <n v="1"/>
    <x v="28"/>
    <n v="0"/>
    <x v="1"/>
  </r>
  <r>
    <d v="2026-03-26T00:00:00"/>
    <s v="Child"/>
    <x v="14"/>
    <n v="1"/>
    <n v="0"/>
    <n v="0"/>
    <n v="0"/>
    <n v="1"/>
    <x v="28"/>
    <n v="0"/>
    <x v="1"/>
  </r>
  <r>
    <d v="2026-04-30T00:00:00"/>
    <s v="Child"/>
    <x v="14"/>
    <n v="1"/>
    <n v="0"/>
    <n v="0"/>
    <n v="0"/>
    <n v="1"/>
    <x v="29"/>
    <n v="0"/>
    <x v="1"/>
  </r>
  <r>
    <d v="2026-05-28T00:00:00"/>
    <s v="Child"/>
    <x v="12"/>
    <n v="1"/>
    <n v="0"/>
    <n v="0"/>
    <n v="0"/>
    <n v="1"/>
    <x v="8"/>
    <n v="0"/>
    <x v="1"/>
  </r>
  <r>
    <d v="2026-06-25T00:00:00"/>
    <s v="Child"/>
    <x v="13"/>
    <n v="1"/>
    <n v="0"/>
    <n v="0"/>
    <n v="0"/>
    <n v="1"/>
    <x v="9"/>
    <n v="0"/>
    <x v="1"/>
  </r>
  <r>
    <d v="2026-06-25T00:00:00"/>
    <s v="Child"/>
    <x v="12"/>
    <n v="1"/>
    <n v="0"/>
    <n v="0"/>
    <n v="0"/>
    <n v="1"/>
    <x v="9"/>
    <n v="0"/>
    <x v="1"/>
  </r>
  <r>
    <d v="2026-07-30T00:00:00"/>
    <s v="Child"/>
    <x v="12"/>
    <n v="1"/>
    <n v="0"/>
    <n v="0"/>
    <n v="0"/>
    <n v="1"/>
    <x v="10"/>
    <n v="0"/>
    <x v="1"/>
  </r>
  <r>
    <d v="2026-08-27T00:00:00"/>
    <s v="Child"/>
    <x v="3"/>
    <n v="1"/>
    <n v="0"/>
    <n v="0"/>
    <n v="0"/>
    <n v="1"/>
    <x v="11"/>
    <n v="0"/>
    <x v="1"/>
  </r>
  <r>
    <d v="2026-08-27T00:00:00"/>
    <s v="Child"/>
    <x v="13"/>
    <n v="1"/>
    <n v="0"/>
    <n v="0"/>
    <n v="0"/>
    <n v="1"/>
    <x v="11"/>
    <n v="0"/>
    <x v="1"/>
  </r>
  <r>
    <d v="2023-06-29T00:00:00"/>
    <s v="Child"/>
    <x v="6"/>
    <n v="47"/>
    <n v="0"/>
    <n v="0"/>
    <n v="0"/>
    <n v="47"/>
    <x v="30"/>
    <n v="0"/>
    <x v="0"/>
  </r>
  <r>
    <d v="2023-07-27T00:00:00"/>
    <s v="Child"/>
    <x v="6"/>
    <n v="43"/>
    <n v="0"/>
    <n v="0"/>
    <n v="0"/>
    <n v="43"/>
    <x v="31"/>
    <n v="0"/>
    <x v="0"/>
  </r>
  <r>
    <d v="2023-08-31T00:00:00"/>
    <s v="Child"/>
    <x v="6"/>
    <n v="43"/>
    <n v="0"/>
    <n v="0"/>
    <n v="0"/>
    <n v="43"/>
    <x v="32"/>
    <n v="0"/>
    <x v="0"/>
  </r>
  <r>
    <d v="2023-09-28T00:00:00"/>
    <s v="Child"/>
    <x v="6"/>
    <n v="46"/>
    <n v="0"/>
    <n v="0"/>
    <n v="0"/>
    <n v="46"/>
    <x v="33"/>
    <n v="0"/>
    <x v="0"/>
  </r>
  <r>
    <d v="2024-01-25T00:00:00"/>
    <s v="Child"/>
    <x v="15"/>
    <n v="2"/>
    <n v="0"/>
    <n v="0"/>
    <n v="0"/>
    <n v="2"/>
    <x v="12"/>
    <n v="0"/>
    <x v="0"/>
  </r>
  <r>
    <d v="2024-02-29T00:00:00"/>
    <s v="Child"/>
    <x v="6"/>
    <n v="46"/>
    <n v="0"/>
    <n v="0"/>
    <n v="0"/>
    <n v="46"/>
    <x v="13"/>
    <n v="0"/>
    <x v="0"/>
  </r>
  <r>
    <d v="2024-02-29T00:00:00"/>
    <s v="Child"/>
    <x v="15"/>
    <n v="3"/>
    <n v="0"/>
    <n v="0"/>
    <n v="0"/>
    <n v="3"/>
    <x v="13"/>
    <n v="0"/>
    <x v="0"/>
  </r>
  <r>
    <d v="2024-02-29T00:00:00"/>
    <s v="Child"/>
    <x v="10"/>
    <n v="23"/>
    <n v="0"/>
    <n v="0"/>
    <n v="0"/>
    <n v="23"/>
    <x v="13"/>
    <n v="0"/>
    <x v="0"/>
  </r>
  <r>
    <d v="2024-02-29T00:00:00"/>
    <s v="Child"/>
    <x v="1"/>
    <n v="4"/>
    <n v="0"/>
    <n v="0"/>
    <n v="0"/>
    <n v="4"/>
    <x v="13"/>
    <n v="0"/>
    <x v="0"/>
  </r>
  <r>
    <d v="2024-03-28T00:00:00"/>
    <s v="Child"/>
    <x v="6"/>
    <n v="38"/>
    <n v="0"/>
    <n v="0"/>
    <n v="0"/>
    <n v="38"/>
    <x v="14"/>
    <n v="0"/>
    <x v="0"/>
  </r>
  <r>
    <d v="2024-03-28T00:00:00"/>
    <s v="Child"/>
    <x v="15"/>
    <n v="2"/>
    <n v="0"/>
    <n v="0"/>
    <n v="0"/>
    <n v="2"/>
    <x v="14"/>
    <n v="0"/>
    <x v="0"/>
  </r>
  <r>
    <d v="2024-03-28T00:00:00"/>
    <s v="Child"/>
    <x v="10"/>
    <n v="25"/>
    <n v="0"/>
    <n v="0"/>
    <n v="0"/>
    <n v="25"/>
    <x v="14"/>
    <n v="0"/>
    <x v="0"/>
  </r>
  <r>
    <d v="2024-03-28T00:00:00"/>
    <s v="Child"/>
    <x v="1"/>
    <n v="3"/>
    <n v="0"/>
    <n v="0"/>
    <n v="0"/>
    <n v="3"/>
    <x v="14"/>
    <n v="0"/>
    <x v="0"/>
  </r>
  <r>
    <d v="2024-04-25T00:00:00"/>
    <s v="Child"/>
    <x v="15"/>
    <n v="2"/>
    <n v="0"/>
    <n v="0"/>
    <n v="0"/>
    <n v="2"/>
    <x v="15"/>
    <n v="0"/>
    <x v="0"/>
  </r>
  <r>
    <d v="2024-04-25T00:00:00"/>
    <s v="Child"/>
    <x v="10"/>
    <n v="22"/>
    <n v="0"/>
    <n v="0"/>
    <n v="0"/>
    <n v="22"/>
    <x v="15"/>
    <n v="0"/>
    <x v="0"/>
  </r>
  <r>
    <d v="2024-04-25T00:00:00"/>
    <s v="Child"/>
    <x v="1"/>
    <n v="4"/>
    <n v="0"/>
    <n v="0"/>
    <n v="0"/>
    <n v="4"/>
    <x v="15"/>
    <n v="0"/>
    <x v="0"/>
  </r>
  <r>
    <d v="2024-05-30T00:00:00"/>
    <s v="Child"/>
    <x v="6"/>
    <n v="54"/>
    <n v="0"/>
    <n v="0"/>
    <n v="0"/>
    <n v="54"/>
    <x v="0"/>
    <n v="0"/>
    <x v="0"/>
  </r>
  <r>
    <d v="2024-05-30T00:00:00"/>
    <s v="Child"/>
    <x v="15"/>
    <n v="5"/>
    <n v="0"/>
    <n v="0"/>
    <n v="0"/>
    <n v="5"/>
    <x v="0"/>
    <n v="0"/>
    <x v="0"/>
  </r>
  <r>
    <d v="2024-05-30T00:00:00"/>
    <s v="Child"/>
    <x v="10"/>
    <n v="11"/>
    <n v="0"/>
    <n v="0"/>
    <n v="0"/>
    <n v="11"/>
    <x v="0"/>
    <n v="0"/>
    <x v="0"/>
  </r>
  <r>
    <d v="2024-05-30T00:00:00"/>
    <s v="Child"/>
    <x v="1"/>
    <n v="5"/>
    <n v="0"/>
    <n v="0"/>
    <n v="0"/>
    <n v="5"/>
    <x v="0"/>
    <n v="0"/>
    <x v="0"/>
  </r>
  <r>
    <d v="2024-06-27T00:00:00"/>
    <s v="Child"/>
    <x v="6"/>
    <n v="57"/>
    <n v="0"/>
    <n v="0"/>
    <n v="0"/>
    <n v="57"/>
    <x v="1"/>
    <n v="0"/>
    <x v="0"/>
  </r>
  <r>
    <d v="2024-06-27T00:00:00"/>
    <s v="Child"/>
    <x v="10"/>
    <n v="10"/>
    <n v="0"/>
    <n v="0"/>
    <n v="0"/>
    <n v="10"/>
    <x v="1"/>
    <n v="0"/>
    <x v="0"/>
  </r>
  <r>
    <d v="2024-07-25T00:00:00"/>
    <s v="Child"/>
    <x v="6"/>
    <n v="60"/>
    <n v="0"/>
    <n v="0"/>
    <n v="0"/>
    <n v="60"/>
    <x v="16"/>
    <n v="0"/>
    <x v="0"/>
  </r>
  <r>
    <d v="2024-07-25T00:00:00"/>
    <s v="Child"/>
    <x v="0"/>
    <n v="2"/>
    <n v="0"/>
    <n v="0"/>
    <n v="0"/>
    <n v="2"/>
    <x v="16"/>
    <n v="0"/>
    <x v="0"/>
  </r>
  <r>
    <d v="2024-08-29T00:00:00"/>
    <s v="Child"/>
    <x v="6"/>
    <n v="50"/>
    <n v="0"/>
    <n v="0"/>
    <n v="0"/>
    <n v="50"/>
    <x v="2"/>
    <n v="0"/>
    <x v="0"/>
  </r>
  <r>
    <d v="2024-08-29T00:00:00"/>
    <s v="Child"/>
    <x v="0"/>
    <n v="2"/>
    <n v="0"/>
    <n v="0"/>
    <n v="0"/>
    <n v="2"/>
    <x v="2"/>
    <n v="0"/>
    <x v="0"/>
  </r>
  <r>
    <d v="2024-09-26T00:00:00"/>
    <s v="Child"/>
    <x v="6"/>
    <n v="62"/>
    <n v="0"/>
    <n v="0"/>
    <n v="0"/>
    <n v="62"/>
    <x v="17"/>
    <n v="0"/>
    <x v="0"/>
  </r>
  <r>
    <d v="2024-09-26T00:00:00"/>
    <s v="Child"/>
    <x v="0"/>
    <n v="3"/>
    <n v="0"/>
    <n v="0"/>
    <n v="0"/>
    <n v="3"/>
    <x v="17"/>
    <n v="0"/>
    <x v="0"/>
  </r>
  <r>
    <d v="2024-09-26T00:00:00"/>
    <s v="Child"/>
    <x v="10"/>
    <n v="21"/>
    <n v="0"/>
    <n v="0"/>
    <n v="0"/>
    <n v="21"/>
    <x v="17"/>
    <n v="0"/>
    <x v="0"/>
  </r>
  <r>
    <d v="2024-10-31T00:00:00"/>
    <s v="Child"/>
    <x v="6"/>
    <n v="70"/>
    <n v="0"/>
    <n v="0"/>
    <n v="0"/>
    <n v="70"/>
    <x v="34"/>
    <n v="0"/>
    <x v="0"/>
  </r>
  <r>
    <d v="2024-10-31T00:00:00"/>
    <s v="Child"/>
    <x v="15"/>
    <n v="3"/>
    <n v="0"/>
    <n v="0"/>
    <n v="0"/>
    <n v="3"/>
    <x v="34"/>
    <n v="0"/>
    <x v="0"/>
  </r>
  <r>
    <d v="2024-10-31T00:00:00"/>
    <s v="Child"/>
    <x v="10"/>
    <n v="21"/>
    <n v="0"/>
    <n v="0"/>
    <n v="0"/>
    <n v="21"/>
    <x v="34"/>
    <n v="0"/>
    <x v="0"/>
  </r>
  <r>
    <d v="2024-11-28T00:00:00"/>
    <s v="Child"/>
    <x v="6"/>
    <n v="69"/>
    <n v="0"/>
    <n v="0"/>
    <n v="0"/>
    <n v="69"/>
    <x v="3"/>
    <n v="0"/>
    <x v="0"/>
  </r>
  <r>
    <d v="2024-11-28T00:00:00"/>
    <s v="Child"/>
    <x v="15"/>
    <n v="3"/>
    <n v="0"/>
    <n v="0"/>
    <n v="0"/>
    <n v="3"/>
    <x v="3"/>
    <n v="0"/>
    <x v="0"/>
  </r>
  <r>
    <d v="2024-11-28T00:00:00"/>
    <s v="Child"/>
    <x v="0"/>
    <n v="4"/>
    <n v="0"/>
    <n v="0"/>
    <n v="0"/>
    <n v="4"/>
    <x v="3"/>
    <n v="0"/>
    <x v="0"/>
  </r>
  <r>
    <d v="2024-11-28T00:00:00"/>
    <s v="Child"/>
    <x v="10"/>
    <n v="15"/>
    <n v="0"/>
    <n v="0"/>
    <n v="0"/>
    <n v="15"/>
    <x v="3"/>
    <n v="0"/>
    <x v="0"/>
  </r>
  <r>
    <d v="2024-12-19T00:00:00"/>
    <s v="Child"/>
    <x v="6"/>
    <n v="56"/>
    <n v="0"/>
    <n v="0"/>
    <n v="0"/>
    <n v="56"/>
    <x v="4"/>
    <n v="0"/>
    <x v="0"/>
  </r>
  <r>
    <d v="2024-12-19T00:00:00"/>
    <s v="Child"/>
    <x v="15"/>
    <n v="3"/>
    <n v="0"/>
    <n v="0"/>
    <n v="0"/>
    <n v="3"/>
    <x v="4"/>
    <n v="0"/>
    <x v="0"/>
  </r>
  <r>
    <d v="2024-12-19T00:00:00"/>
    <s v="Child"/>
    <x v="0"/>
    <n v="4"/>
    <n v="0"/>
    <n v="0"/>
    <n v="0"/>
    <n v="4"/>
    <x v="4"/>
    <n v="0"/>
    <x v="0"/>
  </r>
  <r>
    <d v="2024-12-19T00:00:00"/>
    <s v="Child"/>
    <x v="10"/>
    <n v="16"/>
    <n v="0"/>
    <n v="0"/>
    <n v="0"/>
    <n v="16"/>
    <x v="4"/>
    <n v="0"/>
    <x v="0"/>
  </r>
  <r>
    <d v="2025-01-30T00:00:00"/>
    <s v="Child"/>
    <x v="6"/>
    <n v="47"/>
    <n v="0"/>
    <n v="0"/>
    <n v="0"/>
    <n v="47"/>
    <x v="18"/>
    <n v="0"/>
    <x v="0"/>
  </r>
  <r>
    <d v="2025-01-30T00:00:00"/>
    <s v="Child"/>
    <x v="2"/>
    <n v="2"/>
    <n v="0"/>
    <n v="0"/>
    <n v="0"/>
    <n v="2"/>
    <x v="18"/>
    <n v="0"/>
    <x v="0"/>
  </r>
  <r>
    <d v="2025-01-30T00:00:00"/>
    <s v="Child"/>
    <x v="15"/>
    <n v="4"/>
    <n v="0"/>
    <n v="0"/>
    <n v="0"/>
    <n v="4"/>
    <x v="18"/>
    <n v="0"/>
    <x v="0"/>
  </r>
  <r>
    <d v="2025-01-30T00:00:00"/>
    <s v="Child"/>
    <x v="0"/>
    <n v="4"/>
    <n v="0"/>
    <n v="0"/>
    <n v="0"/>
    <n v="4"/>
    <x v="18"/>
    <n v="0"/>
    <x v="0"/>
  </r>
  <r>
    <d v="2025-02-27T00:00:00"/>
    <s v="Child"/>
    <x v="6"/>
    <n v="45"/>
    <n v="0"/>
    <n v="0"/>
    <n v="0"/>
    <n v="45"/>
    <x v="35"/>
    <n v="0"/>
    <x v="0"/>
  </r>
  <r>
    <d v="2025-02-27T00:00:00"/>
    <s v="Child"/>
    <x v="2"/>
    <n v="2"/>
    <n v="0"/>
    <n v="0"/>
    <n v="0"/>
    <n v="2"/>
    <x v="35"/>
    <n v="0"/>
    <x v="0"/>
  </r>
  <r>
    <d v="2025-02-27T00:00:00"/>
    <s v="Child"/>
    <x v="15"/>
    <n v="5"/>
    <n v="0"/>
    <n v="0"/>
    <n v="0"/>
    <n v="5"/>
    <x v="35"/>
    <n v="0"/>
    <x v="0"/>
  </r>
  <r>
    <d v="2025-02-27T00:00:00"/>
    <s v="Child"/>
    <x v="14"/>
    <n v="33"/>
    <n v="0"/>
    <n v="0"/>
    <n v="0"/>
    <n v="33"/>
    <x v="35"/>
    <n v="0"/>
    <x v="0"/>
  </r>
  <r>
    <d v="2025-02-27T00:00:00"/>
    <s v="Child"/>
    <x v="0"/>
    <n v="2"/>
    <n v="0"/>
    <n v="0"/>
    <n v="0"/>
    <n v="2"/>
    <x v="35"/>
    <n v="0"/>
    <x v="0"/>
  </r>
  <r>
    <d v="2025-02-27T00:00:00"/>
    <s v="Child"/>
    <x v="10"/>
    <n v="17"/>
    <n v="0"/>
    <n v="0"/>
    <n v="0"/>
    <n v="17"/>
    <x v="35"/>
    <n v="0"/>
    <x v="0"/>
  </r>
  <r>
    <d v="2025-03-27T00:00:00"/>
    <s v="Child"/>
    <x v="6"/>
    <n v="36"/>
    <n v="0"/>
    <n v="0"/>
    <n v="0"/>
    <n v="36"/>
    <x v="19"/>
    <n v="0"/>
    <x v="0"/>
  </r>
  <r>
    <d v="2025-03-27T00:00:00"/>
    <s v="Child"/>
    <x v="2"/>
    <n v="3"/>
    <n v="0"/>
    <n v="0"/>
    <n v="0"/>
    <n v="3"/>
    <x v="19"/>
    <n v="0"/>
    <x v="0"/>
  </r>
  <r>
    <d v="2025-03-27T00:00:00"/>
    <s v="Child"/>
    <x v="15"/>
    <n v="7"/>
    <n v="0"/>
    <n v="0"/>
    <n v="0"/>
    <n v="7"/>
    <x v="19"/>
    <n v="0"/>
    <x v="0"/>
  </r>
  <r>
    <d v="2025-03-27T00:00:00"/>
    <s v="Child"/>
    <x v="14"/>
    <n v="25"/>
    <n v="0"/>
    <n v="0"/>
    <n v="0"/>
    <n v="25"/>
    <x v="19"/>
    <n v="0"/>
    <x v="0"/>
  </r>
  <r>
    <d v="2025-03-27T00:00:00"/>
    <s v="Child"/>
    <x v="10"/>
    <n v="14"/>
    <n v="0"/>
    <n v="0"/>
    <n v="0"/>
    <n v="14"/>
    <x v="19"/>
    <n v="0"/>
    <x v="0"/>
  </r>
  <r>
    <d v="2025-04-24T00:00:00"/>
    <s v="Child"/>
    <x v="9"/>
    <n v="28"/>
    <n v="0"/>
    <n v="0"/>
    <n v="0"/>
    <n v="28"/>
    <x v="5"/>
    <n v="0"/>
    <x v="0"/>
  </r>
  <r>
    <d v="2025-04-24T00:00:00"/>
    <s v="Child"/>
    <x v="6"/>
    <n v="28"/>
    <n v="0"/>
    <n v="0"/>
    <n v="0"/>
    <n v="28"/>
    <x v="5"/>
    <n v="0"/>
    <x v="0"/>
  </r>
  <r>
    <d v="2025-04-24T00:00:00"/>
    <s v="Child"/>
    <x v="15"/>
    <n v="8"/>
    <n v="0"/>
    <n v="0"/>
    <n v="0"/>
    <n v="8"/>
    <x v="5"/>
    <n v="0"/>
    <x v="0"/>
  </r>
  <r>
    <d v="2025-04-24T00:00:00"/>
    <s v="Child"/>
    <x v="14"/>
    <n v="31"/>
    <n v="0"/>
    <n v="0"/>
    <n v="0"/>
    <n v="31"/>
    <x v="5"/>
    <n v="0"/>
    <x v="0"/>
  </r>
  <r>
    <d v="2025-04-24T00:00:00"/>
    <s v="Child"/>
    <x v="10"/>
    <n v="13"/>
    <n v="0"/>
    <n v="0"/>
    <n v="0"/>
    <n v="13"/>
    <x v="5"/>
    <n v="0"/>
    <x v="0"/>
  </r>
  <r>
    <d v="2025-05-29T00:00:00"/>
    <s v="Child"/>
    <x v="6"/>
    <n v="42"/>
    <n v="0"/>
    <n v="0"/>
    <n v="0"/>
    <n v="42"/>
    <x v="20"/>
    <n v="0"/>
    <x v="0"/>
  </r>
  <r>
    <d v="2025-05-29T00:00:00"/>
    <s v="Child"/>
    <x v="2"/>
    <n v="6"/>
    <n v="0"/>
    <n v="0"/>
    <n v="0"/>
    <n v="6"/>
    <x v="20"/>
    <n v="0"/>
    <x v="0"/>
  </r>
  <r>
    <d v="2025-05-29T00:00:00"/>
    <s v="Child"/>
    <x v="15"/>
    <n v="12"/>
    <n v="0"/>
    <n v="0"/>
    <n v="0"/>
    <n v="12"/>
    <x v="20"/>
    <n v="0"/>
    <x v="0"/>
  </r>
  <r>
    <d v="2025-05-29T00:00:00"/>
    <s v="Child"/>
    <x v="14"/>
    <n v="29"/>
    <n v="0"/>
    <n v="0"/>
    <n v="0"/>
    <n v="29"/>
    <x v="20"/>
    <n v="0"/>
    <x v="0"/>
  </r>
  <r>
    <d v="2025-05-29T00:00:00"/>
    <s v="Child"/>
    <x v="10"/>
    <n v="18"/>
    <n v="0"/>
    <n v="0"/>
    <n v="0"/>
    <n v="18"/>
    <x v="20"/>
    <n v="0"/>
    <x v="0"/>
  </r>
  <r>
    <d v="2025-06-26T00:00:00"/>
    <s v="Child"/>
    <x v="2"/>
    <n v="7"/>
    <n v="0"/>
    <n v="0"/>
    <n v="0"/>
    <n v="7"/>
    <x v="21"/>
    <n v="0"/>
    <x v="0"/>
  </r>
  <r>
    <d v="2025-06-26T00:00:00"/>
    <s v="Child"/>
    <x v="15"/>
    <n v="11"/>
    <n v="0"/>
    <n v="0"/>
    <n v="0"/>
    <n v="11"/>
    <x v="21"/>
    <n v="0"/>
    <x v="0"/>
  </r>
  <r>
    <d v="2025-06-26T00:00:00"/>
    <s v="Child"/>
    <x v="14"/>
    <n v="31"/>
    <n v="0"/>
    <n v="0"/>
    <n v="0"/>
    <n v="31"/>
    <x v="21"/>
    <n v="0"/>
    <x v="0"/>
  </r>
  <r>
    <d v="2025-06-26T00:00:00"/>
    <s v="Child"/>
    <x v="0"/>
    <n v="2"/>
    <n v="0"/>
    <n v="0"/>
    <n v="0"/>
    <n v="2"/>
    <x v="21"/>
    <n v="0"/>
    <x v="0"/>
  </r>
  <r>
    <d v="2025-06-26T00:00:00"/>
    <s v="Child"/>
    <x v="10"/>
    <n v="15"/>
    <n v="0"/>
    <n v="0"/>
    <n v="0"/>
    <n v="15"/>
    <x v="21"/>
    <n v="0"/>
    <x v="0"/>
  </r>
  <r>
    <d v="2025-07-31T00:00:00"/>
    <s v="Child"/>
    <x v="14"/>
    <n v="27"/>
    <n v="0"/>
    <n v="0"/>
    <n v="0"/>
    <n v="27"/>
    <x v="22"/>
    <n v="0"/>
    <x v="0"/>
  </r>
  <r>
    <d v="2025-07-31T00:00:00"/>
    <s v="Child"/>
    <x v="0"/>
    <n v="3"/>
    <n v="0"/>
    <n v="0"/>
    <n v="0"/>
    <n v="3"/>
    <x v="22"/>
    <n v="0"/>
    <x v="0"/>
  </r>
  <r>
    <d v="2025-07-31T00:00:00"/>
    <s v="Child"/>
    <x v="10"/>
    <n v="19"/>
    <n v="0"/>
    <n v="0"/>
    <n v="0"/>
    <n v="19"/>
    <x v="22"/>
    <n v="0"/>
    <x v="0"/>
  </r>
  <r>
    <d v="2025-08-28T00:00:00"/>
    <s v="Child"/>
    <x v="14"/>
    <n v="29"/>
    <n v="0"/>
    <n v="0"/>
    <n v="0"/>
    <n v="29"/>
    <x v="23"/>
    <n v="0"/>
    <x v="0"/>
  </r>
  <r>
    <d v="2025-08-28T00:00:00"/>
    <s v="Child"/>
    <x v="0"/>
    <n v="3"/>
    <n v="0"/>
    <n v="0"/>
    <n v="0"/>
    <n v="3"/>
    <x v="23"/>
    <n v="0"/>
    <x v="0"/>
  </r>
  <r>
    <d v="2025-09-25T00:00:00"/>
    <s v="Child"/>
    <x v="14"/>
    <n v="35"/>
    <n v="0"/>
    <n v="0"/>
    <n v="0"/>
    <n v="35"/>
    <x v="24"/>
    <n v="0"/>
    <x v="0"/>
  </r>
  <r>
    <d v="2025-09-25T00:00:00"/>
    <s v="Child"/>
    <x v="0"/>
    <n v="2"/>
    <n v="0"/>
    <n v="0"/>
    <n v="0"/>
    <n v="2"/>
    <x v="24"/>
    <n v="0"/>
    <x v="0"/>
  </r>
  <r>
    <d v="2025-10-30T00:00:00"/>
    <s v="Child"/>
    <x v="6"/>
    <n v="43"/>
    <n v="0"/>
    <n v="0"/>
    <n v="0"/>
    <n v="43"/>
    <x v="25"/>
    <n v="0"/>
    <x v="0"/>
  </r>
  <r>
    <d v="2025-10-30T00:00:00"/>
    <s v="Child"/>
    <x v="14"/>
    <n v="38"/>
    <n v="0"/>
    <n v="0"/>
    <n v="0"/>
    <n v="38"/>
    <x v="25"/>
    <n v="0"/>
    <x v="0"/>
  </r>
  <r>
    <d v="2025-10-30T00:00:00"/>
    <s v="Child"/>
    <x v="0"/>
    <n v="2"/>
    <n v="0"/>
    <n v="0"/>
    <n v="0"/>
    <n v="2"/>
    <x v="25"/>
    <n v="0"/>
    <x v="0"/>
  </r>
  <r>
    <d v="2025-10-30T00:00:00"/>
    <s v="Child"/>
    <x v="10"/>
    <n v="31"/>
    <n v="0"/>
    <n v="0"/>
    <n v="0"/>
    <n v="31"/>
    <x v="25"/>
    <n v="0"/>
    <x v="0"/>
  </r>
  <r>
    <d v="2025-11-27T00:00:00"/>
    <s v="Child"/>
    <x v="6"/>
    <n v="40"/>
    <n v="0"/>
    <n v="0"/>
    <n v="0"/>
    <n v="40"/>
    <x v="26"/>
    <n v="0"/>
    <x v="0"/>
  </r>
  <r>
    <d v="2025-11-27T00:00:00"/>
    <s v="Child"/>
    <x v="14"/>
    <n v="44"/>
    <n v="0"/>
    <n v="0"/>
    <n v="0"/>
    <n v="44"/>
    <x v="26"/>
    <n v="0"/>
    <x v="0"/>
  </r>
  <r>
    <d v="2025-11-27T00:00:00"/>
    <s v="Child"/>
    <x v="0"/>
    <n v="2"/>
    <n v="0"/>
    <n v="0"/>
    <n v="0"/>
    <n v="2"/>
    <x v="26"/>
    <n v="0"/>
    <x v="0"/>
  </r>
  <r>
    <d v="2025-11-27T00:00:00"/>
    <s v="Child"/>
    <x v="10"/>
    <n v="37"/>
    <n v="0"/>
    <n v="0"/>
    <n v="0"/>
    <n v="37"/>
    <x v="26"/>
    <n v="0"/>
    <x v="0"/>
  </r>
  <r>
    <d v="2025-12-18T00:00:00"/>
    <s v="Adult"/>
    <x v="16"/>
    <n v="4274"/>
    <n v="0"/>
    <n v="0"/>
    <n v="0"/>
    <n v="4274"/>
    <x v="27"/>
    <n v="0"/>
    <x v="0"/>
  </r>
  <r>
    <d v="2025-12-18T00:00:00"/>
    <s v="Child"/>
    <x v="16"/>
    <n v="411"/>
    <n v="0"/>
    <n v="0"/>
    <n v="0"/>
    <n v="411"/>
    <x v="27"/>
    <n v="0"/>
    <x v="0"/>
  </r>
  <r>
    <d v="2025-12-18T00:00:00"/>
    <s v="Child"/>
    <x v="9"/>
    <n v="30"/>
    <n v="0"/>
    <n v="0"/>
    <n v="0"/>
    <n v="30"/>
    <x v="27"/>
    <n v="0"/>
    <x v="0"/>
  </r>
  <r>
    <d v="2025-12-18T00:00:00"/>
    <s v="Child"/>
    <x v="6"/>
    <n v="56"/>
    <n v="0"/>
    <n v="0"/>
    <n v="0"/>
    <n v="56"/>
    <x v="27"/>
    <n v="0"/>
    <x v="0"/>
  </r>
  <r>
    <d v="2025-12-18T00:00:00"/>
    <s v="Child"/>
    <x v="14"/>
    <n v="53"/>
    <n v="0"/>
    <n v="0"/>
    <n v="0"/>
    <n v="53"/>
    <x v="27"/>
    <n v="0"/>
    <x v="0"/>
  </r>
  <r>
    <d v="2025-12-18T00:00:00"/>
    <s v="Child"/>
    <x v="10"/>
    <n v="42"/>
    <n v="0"/>
    <n v="0"/>
    <n v="0"/>
    <n v="42"/>
    <x v="27"/>
    <n v="0"/>
    <x v="0"/>
  </r>
  <r>
    <d v="2026-01-29T00:00:00"/>
    <s v="Child"/>
    <x v="9"/>
    <n v="27"/>
    <n v="0"/>
    <n v="0"/>
    <n v="0"/>
    <n v="27"/>
    <x v="6"/>
    <n v="0"/>
    <x v="0"/>
  </r>
  <r>
    <d v="2026-01-29T00:00:00"/>
    <s v="Child"/>
    <x v="6"/>
    <n v="52"/>
    <n v="0"/>
    <n v="0"/>
    <n v="0"/>
    <n v="52"/>
    <x v="6"/>
    <n v="0"/>
    <x v="0"/>
  </r>
  <r>
    <d v="2026-01-29T00:00:00"/>
    <s v="Child"/>
    <x v="0"/>
    <n v="3"/>
    <n v="0"/>
    <n v="0"/>
    <n v="0"/>
    <n v="3"/>
    <x v="6"/>
    <n v="0"/>
    <x v="0"/>
  </r>
  <r>
    <d v="2026-02-26T00:00:00"/>
    <s v="Child"/>
    <x v="9"/>
    <n v="29"/>
    <n v="0"/>
    <n v="0"/>
    <n v="0"/>
    <n v="29"/>
    <x v="7"/>
    <n v="0"/>
    <x v="0"/>
  </r>
  <r>
    <d v="2026-02-26T00:00:00"/>
    <s v="Child"/>
    <x v="6"/>
    <n v="58"/>
    <n v="0"/>
    <n v="0"/>
    <n v="0"/>
    <n v="58"/>
    <x v="7"/>
    <n v="0"/>
    <x v="0"/>
  </r>
  <r>
    <d v="2026-02-26T00:00:00"/>
    <s v="Child"/>
    <x v="0"/>
    <n v="4"/>
    <n v="0"/>
    <n v="0"/>
    <n v="0"/>
    <n v="4"/>
    <x v="7"/>
    <n v="0"/>
    <x v="0"/>
  </r>
  <r>
    <d v="2026-03-26T00:00:00"/>
    <s v="Child"/>
    <x v="9"/>
    <n v="26"/>
    <n v="0"/>
    <n v="0"/>
    <n v="0"/>
    <n v="26"/>
    <x v="28"/>
    <n v="0"/>
    <x v="0"/>
  </r>
  <r>
    <d v="2026-03-26T00:00:00"/>
    <s v="Child"/>
    <x v="6"/>
    <n v="60"/>
    <n v="0"/>
    <n v="0"/>
    <n v="0"/>
    <n v="60"/>
    <x v="28"/>
    <n v="0"/>
    <x v="0"/>
  </r>
  <r>
    <d v="2026-03-26T00:00:00"/>
    <s v="Child"/>
    <x v="2"/>
    <n v="5"/>
    <n v="0"/>
    <n v="0"/>
    <n v="0"/>
    <n v="5"/>
    <x v="28"/>
    <n v="0"/>
    <x v="0"/>
  </r>
  <r>
    <d v="2026-03-26T00:00:00"/>
    <s v="Child"/>
    <x v="0"/>
    <n v="3"/>
    <n v="0"/>
    <n v="0"/>
    <n v="0"/>
    <n v="3"/>
    <x v="28"/>
    <n v="0"/>
    <x v="0"/>
  </r>
  <r>
    <d v="2026-04-30T00:00:00"/>
    <s v="Child"/>
    <x v="9"/>
    <n v="27"/>
    <n v="0"/>
    <n v="0"/>
    <n v="0"/>
    <n v="27"/>
    <x v="29"/>
    <n v="0"/>
    <x v="0"/>
  </r>
  <r>
    <d v="2026-04-30T00:00:00"/>
    <s v="Child"/>
    <x v="6"/>
    <n v="54"/>
    <n v="0"/>
    <n v="0"/>
    <n v="0"/>
    <n v="54"/>
    <x v="29"/>
    <n v="0"/>
    <x v="0"/>
  </r>
  <r>
    <d v="2026-04-30T00:00:00"/>
    <s v="Child"/>
    <x v="2"/>
    <n v="4"/>
    <n v="0"/>
    <n v="0"/>
    <n v="0"/>
    <n v="4"/>
    <x v="29"/>
    <n v="0"/>
    <x v="0"/>
  </r>
  <r>
    <d v="2026-04-30T00:00:00"/>
    <s v="Child"/>
    <x v="0"/>
    <n v="3"/>
    <n v="0"/>
    <n v="0"/>
    <n v="0"/>
    <n v="3"/>
    <x v="29"/>
    <n v="0"/>
    <x v="0"/>
  </r>
  <r>
    <d v="2026-05-28T00:00:00"/>
    <s v="Child"/>
    <x v="9"/>
    <n v="16"/>
    <n v="0"/>
    <n v="0"/>
    <n v="0"/>
    <n v="16"/>
    <x v="8"/>
    <n v="0"/>
    <x v="0"/>
  </r>
  <r>
    <d v="2026-05-28T00:00:00"/>
    <s v="Child"/>
    <x v="6"/>
    <n v="57"/>
    <n v="0"/>
    <n v="0"/>
    <n v="0"/>
    <n v="57"/>
    <x v="8"/>
    <n v="0"/>
    <x v="0"/>
  </r>
  <r>
    <d v="2026-05-28T00:00:00"/>
    <s v="Child"/>
    <x v="2"/>
    <n v="4"/>
    <n v="0"/>
    <n v="0"/>
    <n v="0"/>
    <n v="4"/>
    <x v="8"/>
    <n v="0"/>
    <x v="0"/>
  </r>
  <r>
    <d v="2026-05-28T00:00:00"/>
    <s v="Child"/>
    <x v="0"/>
    <n v="2"/>
    <n v="0"/>
    <n v="0"/>
    <n v="0"/>
    <n v="2"/>
    <x v="8"/>
    <n v="0"/>
    <x v="0"/>
  </r>
  <r>
    <d v="2026-06-25T00:00:00"/>
    <s v="Child"/>
    <x v="6"/>
    <n v="57"/>
    <n v="0"/>
    <n v="0"/>
    <n v="0"/>
    <n v="57"/>
    <x v="9"/>
    <n v="0"/>
    <x v="0"/>
  </r>
  <r>
    <d v="2026-06-25T00:00:00"/>
    <s v="Child"/>
    <x v="13"/>
    <n v="8"/>
    <n v="0"/>
    <n v="0"/>
    <n v="0"/>
    <n v="8"/>
    <x v="9"/>
    <n v="0"/>
    <x v="0"/>
  </r>
  <r>
    <d v="2026-07-30T00:00:00"/>
    <s v="Child"/>
    <x v="6"/>
    <n v="60"/>
    <n v="0"/>
    <n v="0"/>
    <n v="0"/>
    <n v="60"/>
    <x v="10"/>
    <n v="0"/>
    <x v="0"/>
  </r>
  <r>
    <d v="2026-07-30T00:00:00"/>
    <s v="Child"/>
    <x v="0"/>
    <n v="2"/>
    <n v="0"/>
    <n v="0"/>
    <n v="0"/>
    <n v="2"/>
    <x v="10"/>
    <n v="0"/>
    <x v="0"/>
  </r>
  <r>
    <d v="2026-08-27T00:00:00"/>
    <s v="Child"/>
    <x v="6"/>
    <n v="63"/>
    <n v="0"/>
    <n v="0"/>
    <n v="0"/>
    <n v="63"/>
    <x v="11"/>
    <n v="0"/>
    <x v="0"/>
  </r>
  <r>
    <d v="2026-08-27T00:00:00"/>
    <s v="Child"/>
    <x v="1"/>
    <n v="2"/>
    <n v="0"/>
    <n v="0"/>
    <n v="0"/>
    <n v="2"/>
    <x v="11"/>
    <n v="0"/>
    <x v="0"/>
  </r>
  <r>
    <d v="2023-01-26T00:00:00"/>
    <s v="Child"/>
    <x v="13"/>
    <n v="28"/>
    <n v="0"/>
    <n v="0"/>
    <n v="0"/>
    <n v="28"/>
    <x v="36"/>
    <n v="0"/>
    <x v="1"/>
  </r>
  <r>
    <d v="2023-02-23T00:00:00"/>
    <s v="Adult"/>
    <x v="3"/>
    <n v="306"/>
    <n v="0"/>
    <n v="0"/>
    <n v="0"/>
    <n v="306"/>
    <x v="37"/>
    <n v="0"/>
    <x v="1"/>
  </r>
  <r>
    <d v="2023-03-30T00:00:00"/>
    <s v="Child"/>
    <x v="11"/>
    <n v="21"/>
    <n v="0"/>
    <n v="0"/>
    <n v="0"/>
    <n v="21"/>
    <x v="38"/>
    <n v="0"/>
    <x v="1"/>
  </r>
  <r>
    <d v="2023-04-27T00:00:00"/>
    <s v="Adult"/>
    <x v="3"/>
    <n v="274"/>
    <n v="0"/>
    <n v="0"/>
    <n v="0"/>
    <n v="274"/>
    <x v="39"/>
    <n v="0"/>
    <x v="1"/>
  </r>
  <r>
    <d v="2023-04-27T00:00:00"/>
    <s v="Adult"/>
    <x v="17"/>
    <n v="433"/>
    <n v="0"/>
    <n v="0"/>
    <n v="0"/>
    <n v="433"/>
    <x v="39"/>
    <n v="0"/>
    <x v="1"/>
  </r>
  <r>
    <d v="2023-04-27T00:00:00"/>
    <s v="Child"/>
    <x v="13"/>
    <n v="26"/>
    <n v="0"/>
    <n v="0"/>
    <n v="0"/>
    <n v="26"/>
    <x v="39"/>
    <n v="0"/>
    <x v="1"/>
  </r>
  <r>
    <d v="2023-05-25T00:00:00"/>
    <s v="Adult"/>
    <x v="3"/>
    <n v="244"/>
    <n v="0"/>
    <n v="0"/>
    <n v="0"/>
    <n v="244"/>
    <x v="40"/>
    <n v="0"/>
    <x v="1"/>
  </r>
  <r>
    <d v="2023-05-25T00:00:00"/>
    <s v="Child"/>
    <x v="13"/>
    <n v="20"/>
    <n v="0"/>
    <n v="0"/>
    <n v="0"/>
    <n v="20"/>
    <x v="40"/>
    <n v="0"/>
    <x v="1"/>
  </r>
  <r>
    <d v="2023-06-29T00:00:00"/>
    <s v="Adult"/>
    <x v="16"/>
    <n v="349"/>
    <n v="0"/>
    <n v="0"/>
    <n v="0"/>
    <n v="349"/>
    <x v="30"/>
    <n v="0"/>
    <x v="1"/>
  </r>
  <r>
    <d v="2023-06-29T00:00:00"/>
    <s v="Child"/>
    <x v="11"/>
    <n v="29"/>
    <n v="0"/>
    <n v="0"/>
    <n v="0"/>
    <n v="29"/>
    <x v="30"/>
    <n v="0"/>
    <x v="1"/>
  </r>
  <r>
    <d v="2023-07-27T00:00:00"/>
    <s v="Adult"/>
    <x v="16"/>
    <n v="353"/>
    <n v="0"/>
    <n v="0"/>
    <n v="0"/>
    <n v="353"/>
    <x v="31"/>
    <n v="0"/>
    <x v="1"/>
  </r>
  <r>
    <d v="2023-07-27T00:00:00"/>
    <s v="Adult"/>
    <x v="17"/>
    <n v="389"/>
    <n v="0"/>
    <n v="0"/>
    <n v="0"/>
    <n v="389"/>
    <x v="31"/>
    <n v="0"/>
    <x v="1"/>
  </r>
  <r>
    <d v="2023-07-27T00:00:00"/>
    <s v="Child"/>
    <x v="18"/>
    <n v="141"/>
    <n v="0"/>
    <n v="0"/>
    <n v="0"/>
    <n v="141"/>
    <x v="31"/>
    <n v="0"/>
    <x v="1"/>
  </r>
  <r>
    <d v="2023-07-27T00:00:00"/>
    <s v="Child"/>
    <x v="11"/>
    <n v="31"/>
    <n v="0"/>
    <n v="0"/>
    <n v="0"/>
    <n v="31"/>
    <x v="31"/>
    <n v="0"/>
    <x v="1"/>
  </r>
  <r>
    <d v="2023-08-31T00:00:00"/>
    <s v="Child"/>
    <x v="18"/>
    <n v="114"/>
    <n v="0"/>
    <n v="0"/>
    <n v="0"/>
    <n v="114"/>
    <x v="32"/>
    <n v="0"/>
    <x v="1"/>
  </r>
  <r>
    <d v="2023-09-28T00:00:00"/>
    <s v="Adult"/>
    <x v="16"/>
    <n v="224"/>
    <n v="0"/>
    <n v="0"/>
    <n v="0"/>
    <n v="224"/>
    <x v="33"/>
    <n v="0"/>
    <x v="1"/>
  </r>
  <r>
    <d v="2023-09-28T00:00:00"/>
    <s v="Adult"/>
    <x v="17"/>
    <n v="297"/>
    <n v="0"/>
    <n v="0"/>
    <n v="0"/>
    <n v="297"/>
    <x v="33"/>
    <n v="0"/>
    <x v="1"/>
  </r>
  <r>
    <d v="2023-09-28T00:00:00"/>
    <s v="Adult"/>
    <x v="19"/>
    <n v="160"/>
    <n v="0"/>
    <n v="0"/>
    <n v="0"/>
    <n v="160"/>
    <x v="33"/>
    <n v="0"/>
    <x v="1"/>
  </r>
  <r>
    <d v="2023-09-28T00:00:00"/>
    <s v="Child"/>
    <x v="13"/>
    <n v="28"/>
    <n v="0"/>
    <n v="0"/>
    <n v="0"/>
    <n v="28"/>
    <x v="33"/>
    <n v="0"/>
    <x v="1"/>
  </r>
  <r>
    <d v="2023-09-28T00:00:00"/>
    <s v="Child"/>
    <x v="18"/>
    <n v="140"/>
    <n v="0"/>
    <n v="0"/>
    <n v="0"/>
    <n v="140"/>
    <x v="33"/>
    <n v="0"/>
    <x v="1"/>
  </r>
  <r>
    <d v="2023-09-28T00:00:00"/>
    <s v="Child"/>
    <x v="11"/>
    <n v="41"/>
    <n v="0"/>
    <n v="0"/>
    <n v="0"/>
    <n v="41"/>
    <x v="33"/>
    <n v="0"/>
    <x v="1"/>
  </r>
  <r>
    <d v="2023-10-26T00:00:00"/>
    <s v="Adult"/>
    <x v="3"/>
    <n v="223"/>
    <n v="0"/>
    <n v="0"/>
    <n v="0"/>
    <n v="223"/>
    <x v="41"/>
    <n v="0"/>
    <x v="1"/>
  </r>
  <r>
    <d v="2023-10-26T00:00:00"/>
    <s v="Child"/>
    <x v="18"/>
    <n v="121"/>
    <n v="0"/>
    <n v="0"/>
    <n v="0"/>
    <n v="121"/>
    <x v="41"/>
    <n v="0"/>
    <x v="1"/>
  </r>
  <r>
    <d v="2023-11-30T00:00:00"/>
    <s v="Adult"/>
    <x v="16"/>
    <n v="356"/>
    <n v="0"/>
    <n v="0"/>
    <n v="0"/>
    <n v="356"/>
    <x v="42"/>
    <n v="0"/>
    <x v="1"/>
  </r>
  <r>
    <d v="2023-11-30T00:00:00"/>
    <s v="Child"/>
    <x v="16"/>
    <n v="22"/>
    <n v="0"/>
    <n v="0"/>
    <n v="0"/>
    <n v="22"/>
    <x v="42"/>
    <n v="0"/>
    <x v="1"/>
  </r>
  <r>
    <d v="2023-11-30T00:00:00"/>
    <s v="Child"/>
    <x v="18"/>
    <n v="147"/>
    <n v="0"/>
    <n v="0"/>
    <n v="0"/>
    <n v="147"/>
    <x v="42"/>
    <n v="0"/>
    <x v="1"/>
  </r>
  <r>
    <d v="2023-12-28T00:00:00"/>
    <s v="Adult"/>
    <x v="3"/>
    <n v="239"/>
    <n v="0"/>
    <n v="0"/>
    <n v="0"/>
    <n v="239"/>
    <x v="43"/>
    <n v="0"/>
    <x v="1"/>
  </r>
  <r>
    <d v="2023-12-28T00:00:00"/>
    <s v="Child"/>
    <x v="18"/>
    <n v="172"/>
    <n v="0"/>
    <n v="0"/>
    <n v="0"/>
    <n v="172"/>
    <x v="43"/>
    <n v="0"/>
    <x v="1"/>
  </r>
  <r>
    <d v="2024-01-25T00:00:00"/>
    <s v="Child"/>
    <x v="3"/>
    <n v="5"/>
    <n v="0"/>
    <n v="0"/>
    <n v="0"/>
    <n v="5"/>
    <x v="12"/>
    <n v="0"/>
    <x v="1"/>
  </r>
  <r>
    <d v="2024-01-25T00:00:00"/>
    <s v="Child"/>
    <x v="13"/>
    <n v="13"/>
    <n v="0"/>
    <n v="0"/>
    <n v="0"/>
    <n v="13"/>
    <x v="12"/>
    <n v="0"/>
    <x v="1"/>
  </r>
  <r>
    <d v="2024-01-25T00:00:00"/>
    <s v="Child"/>
    <x v="20"/>
    <n v="7"/>
    <n v="0"/>
    <n v="0"/>
    <n v="0"/>
    <n v="7"/>
    <x v="12"/>
    <n v="0"/>
    <x v="1"/>
  </r>
  <r>
    <d v="2024-01-25T00:00:00"/>
    <s v="Child"/>
    <x v="11"/>
    <n v="8"/>
    <n v="0"/>
    <n v="0"/>
    <n v="0"/>
    <n v="8"/>
    <x v="12"/>
    <n v="0"/>
    <x v="1"/>
  </r>
  <r>
    <d v="2024-01-25T00:00:00"/>
    <s v="Child"/>
    <x v="21"/>
    <n v="46"/>
    <n v="0"/>
    <n v="0"/>
    <n v="0"/>
    <n v="46"/>
    <x v="12"/>
    <n v="0"/>
    <x v="1"/>
  </r>
  <r>
    <d v="2024-01-25T00:00:00"/>
    <s v="Child"/>
    <x v="5"/>
    <n v="3"/>
    <n v="0"/>
    <n v="0"/>
    <n v="0"/>
    <n v="3"/>
    <x v="12"/>
    <n v="0"/>
    <x v="1"/>
  </r>
  <r>
    <d v="2024-01-25T00:00:00"/>
    <s v="Child"/>
    <x v="8"/>
    <n v="7"/>
    <n v="0"/>
    <n v="0"/>
    <n v="0"/>
    <n v="7"/>
    <x v="12"/>
    <n v="0"/>
    <x v="1"/>
  </r>
  <r>
    <d v="2024-01-25T00:00:00"/>
    <s v="Child"/>
    <x v="19"/>
    <n v="20"/>
    <n v="0"/>
    <n v="0"/>
    <n v="0"/>
    <n v="20"/>
    <x v="12"/>
    <n v="0"/>
    <x v="1"/>
  </r>
  <r>
    <d v="2024-02-29T00:00:00"/>
    <s v="Child"/>
    <x v="13"/>
    <n v="10"/>
    <n v="0"/>
    <n v="0"/>
    <n v="0"/>
    <n v="10"/>
    <x v="13"/>
    <n v="0"/>
    <x v="1"/>
  </r>
  <r>
    <d v="2024-02-29T00:00:00"/>
    <s v="Child"/>
    <x v="20"/>
    <n v="19"/>
    <n v="0"/>
    <n v="0"/>
    <n v="0"/>
    <n v="19"/>
    <x v="13"/>
    <n v="0"/>
    <x v="1"/>
  </r>
  <r>
    <d v="2024-02-29T00:00:00"/>
    <s v="Child"/>
    <x v="11"/>
    <n v="6"/>
    <n v="0"/>
    <n v="0"/>
    <n v="0"/>
    <n v="6"/>
    <x v="13"/>
    <n v="0"/>
    <x v="1"/>
  </r>
  <r>
    <d v="2024-02-29T00:00:00"/>
    <s v="Child"/>
    <x v="8"/>
    <n v="5"/>
    <n v="0"/>
    <n v="0"/>
    <n v="0"/>
    <n v="5"/>
    <x v="13"/>
    <n v="0"/>
    <x v="1"/>
  </r>
  <r>
    <d v="2024-02-29T00:00:00"/>
    <s v="Child"/>
    <x v="19"/>
    <n v="21"/>
    <n v="0"/>
    <n v="0"/>
    <n v="0"/>
    <n v="21"/>
    <x v="13"/>
    <n v="0"/>
    <x v="1"/>
  </r>
  <r>
    <d v="2024-03-28T00:00:00"/>
    <s v="Child"/>
    <x v="16"/>
    <n v="7"/>
    <n v="0"/>
    <n v="0"/>
    <n v="0"/>
    <n v="7"/>
    <x v="14"/>
    <n v="0"/>
    <x v="1"/>
  </r>
  <r>
    <d v="2024-03-28T00:00:00"/>
    <s v="Child"/>
    <x v="13"/>
    <n v="14"/>
    <n v="0"/>
    <n v="0"/>
    <n v="0"/>
    <n v="14"/>
    <x v="14"/>
    <n v="0"/>
    <x v="1"/>
  </r>
  <r>
    <d v="2024-03-28T00:00:00"/>
    <s v="Child"/>
    <x v="22"/>
    <n v="7"/>
    <n v="0"/>
    <n v="0"/>
    <n v="0"/>
    <n v="7"/>
    <x v="14"/>
    <n v="0"/>
    <x v="1"/>
  </r>
  <r>
    <d v="2024-03-28T00:00:00"/>
    <s v="Child"/>
    <x v="20"/>
    <n v="5"/>
    <n v="0"/>
    <n v="0"/>
    <n v="0"/>
    <n v="5"/>
    <x v="14"/>
    <n v="0"/>
    <x v="1"/>
  </r>
  <r>
    <d v="2024-03-28T00:00:00"/>
    <s v="Child"/>
    <x v="11"/>
    <n v="11"/>
    <n v="0"/>
    <n v="0"/>
    <n v="0"/>
    <n v="11"/>
    <x v="14"/>
    <n v="0"/>
    <x v="1"/>
  </r>
  <r>
    <d v="2024-03-28T00:00:00"/>
    <s v="Child"/>
    <x v="8"/>
    <n v="5"/>
    <n v="0"/>
    <n v="0"/>
    <n v="0"/>
    <n v="5"/>
    <x v="14"/>
    <n v="0"/>
    <x v="1"/>
  </r>
  <r>
    <d v="2024-04-25T00:00:00"/>
    <s v="Adult"/>
    <x v="3"/>
    <n v="551"/>
    <n v="0"/>
    <n v="0"/>
    <n v="0"/>
    <n v="551"/>
    <x v="15"/>
    <n v="0"/>
    <x v="1"/>
  </r>
  <r>
    <d v="2024-04-25T00:00:00"/>
    <s v="Child"/>
    <x v="13"/>
    <n v="5"/>
    <n v="0"/>
    <n v="0"/>
    <n v="0"/>
    <n v="5"/>
    <x v="15"/>
    <n v="0"/>
    <x v="1"/>
  </r>
  <r>
    <d v="2024-04-25T00:00:00"/>
    <s v="Child"/>
    <x v="22"/>
    <n v="4"/>
    <n v="0"/>
    <n v="0"/>
    <n v="0"/>
    <n v="4"/>
    <x v="15"/>
    <n v="0"/>
    <x v="1"/>
  </r>
  <r>
    <d v="2024-04-25T00:00:00"/>
    <s v="Child"/>
    <x v="8"/>
    <n v="4"/>
    <n v="0"/>
    <n v="0"/>
    <n v="0"/>
    <n v="4"/>
    <x v="15"/>
    <n v="0"/>
    <x v="1"/>
  </r>
  <r>
    <d v="2024-05-30T00:00:00"/>
    <s v="Child"/>
    <x v="8"/>
    <n v="4"/>
    <n v="0"/>
    <n v="0"/>
    <n v="0"/>
    <n v="4"/>
    <x v="0"/>
    <n v="0"/>
    <x v="1"/>
  </r>
  <r>
    <d v="2024-06-27T00:00:00"/>
    <s v="Adult"/>
    <x v="3"/>
    <n v="420"/>
    <n v="0"/>
    <n v="0"/>
    <n v="0"/>
    <n v="420"/>
    <x v="1"/>
    <n v="0"/>
    <x v="1"/>
  </r>
  <r>
    <d v="2024-06-27T00:00:00"/>
    <s v="Child"/>
    <x v="4"/>
    <n v="2"/>
    <n v="0"/>
    <n v="0"/>
    <n v="0"/>
    <n v="2"/>
    <x v="1"/>
    <n v="0"/>
    <x v="1"/>
  </r>
  <r>
    <d v="2024-06-27T00:00:00"/>
    <s v="Child"/>
    <x v="22"/>
    <n v="5"/>
    <n v="0"/>
    <n v="0"/>
    <n v="0"/>
    <n v="5"/>
    <x v="1"/>
    <n v="0"/>
    <x v="1"/>
  </r>
  <r>
    <d v="2024-06-27T00:00:00"/>
    <s v="Child"/>
    <x v="5"/>
    <n v="2"/>
    <n v="0"/>
    <n v="0"/>
    <n v="0"/>
    <n v="2"/>
    <x v="1"/>
    <n v="0"/>
    <x v="1"/>
  </r>
  <r>
    <d v="2024-06-27T00:00:00"/>
    <s v="Child"/>
    <x v="8"/>
    <n v="2"/>
    <n v="0"/>
    <n v="0"/>
    <n v="0"/>
    <n v="2"/>
    <x v="1"/>
    <n v="0"/>
    <x v="1"/>
  </r>
  <r>
    <d v="2024-07-25T00:00:00"/>
    <s v="Adult"/>
    <x v="16"/>
    <n v="180"/>
    <n v="0"/>
    <n v="0"/>
    <n v="0"/>
    <n v="180"/>
    <x v="16"/>
    <n v="0"/>
    <x v="1"/>
  </r>
  <r>
    <d v="2024-07-25T00:00:00"/>
    <s v="Adult"/>
    <x v="3"/>
    <n v="369"/>
    <n v="0"/>
    <n v="0"/>
    <n v="0"/>
    <n v="369"/>
    <x v="16"/>
    <n v="0"/>
    <x v="1"/>
  </r>
  <r>
    <d v="2024-07-25T00:00:00"/>
    <s v="Child"/>
    <x v="23"/>
    <n v="11"/>
    <n v="0"/>
    <n v="0"/>
    <n v="0"/>
    <n v="11"/>
    <x v="16"/>
    <n v="0"/>
    <x v="1"/>
  </r>
  <r>
    <d v="2024-07-25T00:00:00"/>
    <s v="Child"/>
    <x v="16"/>
    <n v="4"/>
    <n v="0"/>
    <n v="0"/>
    <n v="0"/>
    <n v="4"/>
    <x v="16"/>
    <n v="0"/>
    <x v="1"/>
  </r>
  <r>
    <d v="2024-07-25T00:00:00"/>
    <s v="Child"/>
    <x v="3"/>
    <n v="2"/>
    <n v="0"/>
    <n v="0"/>
    <n v="0"/>
    <n v="2"/>
    <x v="16"/>
    <n v="0"/>
    <x v="1"/>
  </r>
  <r>
    <d v="2024-07-25T00:00:00"/>
    <s v="Child"/>
    <x v="4"/>
    <n v="2"/>
    <n v="0"/>
    <n v="0"/>
    <n v="0"/>
    <n v="2"/>
    <x v="16"/>
    <n v="0"/>
    <x v="1"/>
  </r>
  <r>
    <d v="2024-07-25T00:00:00"/>
    <s v="Child"/>
    <x v="22"/>
    <n v="3"/>
    <n v="0"/>
    <n v="0"/>
    <n v="0"/>
    <n v="3"/>
    <x v="16"/>
    <n v="0"/>
    <x v="1"/>
  </r>
  <r>
    <d v="2024-07-25T00:00:00"/>
    <s v="Child"/>
    <x v="5"/>
    <n v="2"/>
    <n v="0"/>
    <n v="0"/>
    <n v="0"/>
    <n v="2"/>
    <x v="16"/>
    <n v="0"/>
    <x v="1"/>
  </r>
  <r>
    <d v="2024-08-29T00:00:00"/>
    <s v="Adult"/>
    <x v="17"/>
    <n v="642"/>
    <n v="0"/>
    <n v="0"/>
    <n v="0"/>
    <n v="642"/>
    <x v="2"/>
    <n v="0"/>
    <x v="1"/>
  </r>
  <r>
    <d v="2024-08-29T00:00:00"/>
    <s v="Child"/>
    <x v="23"/>
    <n v="9"/>
    <n v="0"/>
    <n v="0"/>
    <n v="0"/>
    <n v="9"/>
    <x v="2"/>
    <n v="0"/>
    <x v="1"/>
  </r>
  <r>
    <d v="2024-08-29T00:00:00"/>
    <s v="Child"/>
    <x v="16"/>
    <n v="9"/>
    <n v="0"/>
    <n v="0"/>
    <n v="0"/>
    <n v="9"/>
    <x v="2"/>
    <n v="0"/>
    <x v="1"/>
  </r>
  <r>
    <d v="2024-08-29T00:00:00"/>
    <s v="Child"/>
    <x v="22"/>
    <n v="6"/>
    <n v="0"/>
    <n v="0"/>
    <n v="0"/>
    <n v="6"/>
    <x v="2"/>
    <n v="0"/>
    <x v="1"/>
  </r>
  <r>
    <d v="2024-08-29T00:00:00"/>
    <s v="Child"/>
    <x v="20"/>
    <n v="4"/>
    <n v="0"/>
    <n v="0"/>
    <n v="0"/>
    <n v="4"/>
    <x v="2"/>
    <n v="0"/>
    <x v="1"/>
  </r>
  <r>
    <d v="2024-08-29T00:00:00"/>
    <s v="Child"/>
    <x v="5"/>
    <n v="3"/>
    <n v="0"/>
    <n v="0"/>
    <n v="0"/>
    <n v="3"/>
    <x v="2"/>
    <n v="0"/>
    <x v="1"/>
  </r>
  <r>
    <d v="2024-08-29T00:00:00"/>
    <s v="Child"/>
    <x v="24"/>
    <n v="10"/>
    <n v="0"/>
    <n v="0"/>
    <n v="0"/>
    <n v="10"/>
    <x v="2"/>
    <n v="0"/>
    <x v="1"/>
  </r>
  <r>
    <d v="2024-09-26T00:00:00"/>
    <s v="Child"/>
    <x v="16"/>
    <n v="10"/>
    <n v="0"/>
    <n v="0"/>
    <n v="0"/>
    <n v="10"/>
    <x v="17"/>
    <n v="0"/>
    <x v="1"/>
  </r>
  <r>
    <d v="2024-09-26T00:00:00"/>
    <s v="Child"/>
    <x v="13"/>
    <n v="8"/>
    <n v="0"/>
    <n v="0"/>
    <n v="0"/>
    <n v="8"/>
    <x v="17"/>
    <n v="0"/>
    <x v="1"/>
  </r>
  <r>
    <d v="2024-09-26T00:00:00"/>
    <s v="Child"/>
    <x v="22"/>
    <n v="5"/>
    <n v="0"/>
    <n v="0"/>
    <n v="0"/>
    <n v="5"/>
    <x v="17"/>
    <n v="0"/>
    <x v="1"/>
  </r>
  <r>
    <d v="2024-09-26T00:00:00"/>
    <s v="Child"/>
    <x v="20"/>
    <n v="4"/>
    <n v="0"/>
    <n v="0"/>
    <n v="0"/>
    <n v="4"/>
    <x v="17"/>
    <n v="0"/>
    <x v="1"/>
  </r>
  <r>
    <d v="2024-09-26T00:00:00"/>
    <s v="Child"/>
    <x v="8"/>
    <n v="4"/>
    <n v="0"/>
    <n v="0"/>
    <n v="0"/>
    <n v="4"/>
    <x v="17"/>
    <n v="0"/>
    <x v="1"/>
  </r>
  <r>
    <d v="2024-09-26T00:00:00"/>
    <s v="Child"/>
    <x v="24"/>
    <n v="8"/>
    <n v="0"/>
    <n v="0"/>
    <n v="0"/>
    <n v="8"/>
    <x v="17"/>
    <n v="0"/>
    <x v="1"/>
  </r>
  <r>
    <d v="2024-10-31T00:00:00"/>
    <s v="Adult"/>
    <x v="3"/>
    <n v="468"/>
    <n v="0"/>
    <n v="0"/>
    <n v="0"/>
    <n v="468"/>
    <x v="34"/>
    <n v="0"/>
    <x v="1"/>
  </r>
  <r>
    <d v="2024-10-31T00:00:00"/>
    <s v="Child"/>
    <x v="16"/>
    <n v="9"/>
    <n v="0"/>
    <n v="0"/>
    <n v="0"/>
    <n v="9"/>
    <x v="34"/>
    <n v="0"/>
    <x v="1"/>
  </r>
  <r>
    <d v="2024-10-31T00:00:00"/>
    <s v="Child"/>
    <x v="3"/>
    <n v="2"/>
    <n v="0"/>
    <n v="0"/>
    <n v="0"/>
    <n v="2"/>
    <x v="34"/>
    <n v="0"/>
    <x v="1"/>
  </r>
  <r>
    <d v="2024-10-31T00:00:00"/>
    <s v="Child"/>
    <x v="13"/>
    <n v="11"/>
    <n v="0"/>
    <n v="0"/>
    <n v="0"/>
    <n v="11"/>
    <x v="34"/>
    <n v="0"/>
    <x v="1"/>
  </r>
  <r>
    <d v="2024-10-31T00:00:00"/>
    <s v="Child"/>
    <x v="20"/>
    <n v="3"/>
    <n v="0"/>
    <n v="0"/>
    <n v="0"/>
    <n v="3"/>
    <x v="34"/>
    <n v="0"/>
    <x v="1"/>
  </r>
  <r>
    <d v="2024-10-31T00:00:00"/>
    <s v="Child"/>
    <x v="21"/>
    <n v="15"/>
    <n v="0"/>
    <n v="0"/>
    <n v="0"/>
    <n v="15"/>
    <x v="34"/>
    <n v="0"/>
    <x v="1"/>
  </r>
  <r>
    <d v="2024-10-31T00:00:00"/>
    <s v="Child"/>
    <x v="5"/>
    <n v="3"/>
    <n v="0"/>
    <n v="0"/>
    <n v="0"/>
    <n v="3"/>
    <x v="34"/>
    <n v="0"/>
    <x v="1"/>
  </r>
  <r>
    <d v="2024-10-31T00:00:00"/>
    <s v="Child"/>
    <x v="8"/>
    <n v="3"/>
    <n v="0"/>
    <n v="0"/>
    <n v="0"/>
    <n v="3"/>
    <x v="34"/>
    <n v="0"/>
    <x v="1"/>
  </r>
  <r>
    <d v="2024-10-31T00:00:00"/>
    <s v="Child"/>
    <x v="24"/>
    <n v="9"/>
    <n v="0"/>
    <n v="0"/>
    <n v="0"/>
    <n v="9"/>
    <x v="34"/>
    <n v="0"/>
    <x v="1"/>
  </r>
  <r>
    <d v="2024-11-28T00:00:00"/>
    <s v="Child"/>
    <x v="16"/>
    <n v="17"/>
    <n v="0"/>
    <n v="0"/>
    <n v="0"/>
    <n v="17"/>
    <x v="3"/>
    <n v="0"/>
    <x v="1"/>
  </r>
  <r>
    <d v="2024-11-28T00:00:00"/>
    <s v="Child"/>
    <x v="3"/>
    <n v="2"/>
    <n v="0"/>
    <n v="0"/>
    <n v="0"/>
    <n v="2"/>
    <x v="3"/>
    <n v="0"/>
    <x v="1"/>
  </r>
  <r>
    <d v="2024-11-28T00:00:00"/>
    <s v="Child"/>
    <x v="13"/>
    <n v="14"/>
    <n v="0"/>
    <n v="0"/>
    <n v="0"/>
    <n v="14"/>
    <x v="3"/>
    <n v="0"/>
    <x v="1"/>
  </r>
  <r>
    <d v="2024-11-28T00:00:00"/>
    <s v="Child"/>
    <x v="20"/>
    <n v="7"/>
    <n v="0"/>
    <n v="0"/>
    <n v="0"/>
    <n v="7"/>
    <x v="3"/>
    <n v="0"/>
    <x v="1"/>
  </r>
  <r>
    <d v="2024-11-28T00:00:00"/>
    <s v="Child"/>
    <x v="18"/>
    <n v="171"/>
    <n v="0"/>
    <n v="0"/>
    <n v="0"/>
    <n v="171"/>
    <x v="3"/>
    <n v="0"/>
    <x v="1"/>
  </r>
  <r>
    <d v="2024-11-28T00:00:00"/>
    <s v="Child"/>
    <x v="5"/>
    <n v="4"/>
    <n v="0"/>
    <n v="0"/>
    <n v="0"/>
    <n v="4"/>
    <x v="3"/>
    <n v="0"/>
    <x v="1"/>
  </r>
  <r>
    <d v="2024-11-28T00:00:00"/>
    <s v="Child"/>
    <x v="8"/>
    <n v="8"/>
    <n v="0"/>
    <n v="0"/>
    <n v="0"/>
    <n v="8"/>
    <x v="3"/>
    <n v="0"/>
    <x v="1"/>
  </r>
  <r>
    <d v="2024-11-28T00:00:00"/>
    <s v="Child"/>
    <x v="24"/>
    <n v="13"/>
    <n v="0"/>
    <n v="0"/>
    <n v="0"/>
    <n v="13"/>
    <x v="3"/>
    <n v="0"/>
    <x v="1"/>
  </r>
  <r>
    <d v="2024-12-19T00:00:00"/>
    <s v="Adult"/>
    <x v="3"/>
    <n v="518"/>
    <n v="0"/>
    <n v="0"/>
    <n v="0"/>
    <n v="518"/>
    <x v="4"/>
    <n v="0"/>
    <x v="1"/>
  </r>
  <r>
    <d v="2024-12-19T00:00:00"/>
    <s v="Child"/>
    <x v="16"/>
    <n v="17"/>
    <n v="0"/>
    <n v="0"/>
    <n v="0"/>
    <n v="17"/>
    <x v="4"/>
    <n v="0"/>
    <x v="1"/>
  </r>
  <r>
    <d v="2024-12-19T00:00:00"/>
    <s v="Child"/>
    <x v="6"/>
    <n v="2"/>
    <n v="0"/>
    <n v="0"/>
    <n v="0"/>
    <n v="2"/>
    <x v="4"/>
    <n v="0"/>
    <x v="1"/>
  </r>
  <r>
    <d v="2024-12-19T00:00:00"/>
    <s v="Child"/>
    <x v="3"/>
    <n v="4"/>
    <n v="0"/>
    <n v="0"/>
    <n v="0"/>
    <n v="4"/>
    <x v="4"/>
    <n v="0"/>
    <x v="1"/>
  </r>
  <r>
    <d v="2024-12-19T00:00:00"/>
    <s v="Child"/>
    <x v="20"/>
    <n v="7"/>
    <n v="0"/>
    <n v="0"/>
    <n v="0"/>
    <n v="7"/>
    <x v="4"/>
    <n v="0"/>
    <x v="1"/>
  </r>
  <r>
    <d v="2024-12-19T00:00:00"/>
    <s v="Child"/>
    <x v="18"/>
    <n v="232"/>
    <n v="0"/>
    <n v="0"/>
    <n v="0"/>
    <n v="232"/>
    <x v="4"/>
    <n v="0"/>
    <x v="1"/>
  </r>
  <r>
    <d v="2024-12-19T00:00:00"/>
    <s v="Child"/>
    <x v="11"/>
    <n v="7"/>
    <n v="0"/>
    <n v="0"/>
    <n v="0"/>
    <n v="7"/>
    <x v="4"/>
    <n v="0"/>
    <x v="1"/>
  </r>
  <r>
    <d v="2024-12-19T00:00:00"/>
    <s v="Child"/>
    <x v="5"/>
    <n v="3"/>
    <n v="0"/>
    <n v="0"/>
    <n v="0"/>
    <n v="3"/>
    <x v="4"/>
    <n v="0"/>
    <x v="1"/>
  </r>
  <r>
    <d v="2024-12-19T00:00:00"/>
    <s v="Child"/>
    <x v="8"/>
    <n v="6"/>
    <n v="0"/>
    <n v="0"/>
    <n v="0"/>
    <n v="6"/>
    <x v="4"/>
    <n v="0"/>
    <x v="1"/>
  </r>
  <r>
    <d v="2024-12-19T00:00:00"/>
    <s v="Child"/>
    <x v="24"/>
    <n v="13"/>
    <n v="0"/>
    <n v="0"/>
    <n v="0"/>
    <n v="13"/>
    <x v="4"/>
    <n v="0"/>
    <x v="1"/>
  </r>
  <r>
    <d v="2025-01-30T00:00:00"/>
    <s v="Child"/>
    <x v="6"/>
    <n v="3"/>
    <n v="0"/>
    <n v="0"/>
    <n v="0"/>
    <n v="3"/>
    <x v="18"/>
    <n v="0"/>
    <x v="1"/>
  </r>
  <r>
    <d v="2025-01-30T00:00:00"/>
    <s v="Child"/>
    <x v="20"/>
    <n v="4"/>
    <n v="0"/>
    <n v="0"/>
    <n v="0"/>
    <n v="4"/>
    <x v="18"/>
    <n v="0"/>
    <x v="1"/>
  </r>
  <r>
    <d v="2025-01-30T00:00:00"/>
    <s v="Child"/>
    <x v="11"/>
    <n v="8"/>
    <n v="0"/>
    <n v="0"/>
    <n v="0"/>
    <n v="8"/>
    <x v="18"/>
    <n v="0"/>
    <x v="1"/>
  </r>
  <r>
    <d v="2025-01-30T00:00:00"/>
    <s v="Child"/>
    <x v="5"/>
    <n v="6"/>
    <n v="0"/>
    <n v="0"/>
    <n v="0"/>
    <n v="6"/>
    <x v="18"/>
    <n v="0"/>
    <x v="1"/>
  </r>
  <r>
    <d v="2025-01-30T00:00:00"/>
    <s v="Child"/>
    <x v="8"/>
    <n v="3"/>
    <n v="0"/>
    <n v="0"/>
    <n v="0"/>
    <n v="3"/>
    <x v="18"/>
    <n v="0"/>
    <x v="1"/>
  </r>
  <r>
    <d v="2025-01-30T00:00:00"/>
    <s v="Child"/>
    <x v="24"/>
    <n v="17"/>
    <n v="0"/>
    <n v="0"/>
    <n v="0"/>
    <n v="17"/>
    <x v="18"/>
    <n v="0"/>
    <x v="1"/>
  </r>
  <r>
    <d v="2025-02-27T00:00:00"/>
    <s v="Child"/>
    <x v="23"/>
    <n v="6"/>
    <n v="0"/>
    <n v="0"/>
    <n v="0"/>
    <n v="6"/>
    <x v="35"/>
    <n v="0"/>
    <x v="1"/>
  </r>
  <r>
    <d v="2025-02-27T00:00:00"/>
    <s v="Child"/>
    <x v="6"/>
    <n v="3"/>
    <n v="0"/>
    <n v="0"/>
    <n v="0"/>
    <n v="3"/>
    <x v="35"/>
    <n v="0"/>
    <x v="1"/>
  </r>
  <r>
    <d v="2025-02-27T00:00:00"/>
    <s v="Child"/>
    <x v="3"/>
    <n v="2"/>
    <n v="0"/>
    <n v="0"/>
    <n v="0"/>
    <n v="2"/>
    <x v="35"/>
    <n v="0"/>
    <x v="1"/>
  </r>
  <r>
    <d v="2025-02-27T00:00:00"/>
    <s v="Child"/>
    <x v="11"/>
    <n v="7"/>
    <n v="0"/>
    <n v="0"/>
    <n v="0"/>
    <n v="7"/>
    <x v="35"/>
    <n v="0"/>
    <x v="1"/>
  </r>
  <r>
    <d v="2025-02-27T00:00:00"/>
    <s v="Child"/>
    <x v="5"/>
    <n v="6"/>
    <n v="0"/>
    <n v="0"/>
    <n v="0"/>
    <n v="6"/>
    <x v="35"/>
    <n v="0"/>
    <x v="1"/>
  </r>
  <r>
    <d v="2025-02-27T00:00:00"/>
    <s v="Child"/>
    <x v="8"/>
    <n v="7"/>
    <n v="0"/>
    <n v="0"/>
    <n v="0"/>
    <n v="7"/>
    <x v="35"/>
    <n v="0"/>
    <x v="1"/>
  </r>
  <r>
    <d v="2025-02-27T00:00:00"/>
    <s v="Child"/>
    <x v="24"/>
    <n v="13"/>
    <n v="0"/>
    <n v="0"/>
    <n v="0"/>
    <n v="13"/>
    <x v="35"/>
    <n v="0"/>
    <x v="1"/>
  </r>
  <r>
    <d v="2025-03-27T00:00:00"/>
    <s v="Child"/>
    <x v="3"/>
    <n v="3"/>
    <n v="0"/>
    <n v="0"/>
    <n v="0"/>
    <n v="3"/>
    <x v="19"/>
    <n v="0"/>
    <x v="1"/>
  </r>
  <r>
    <d v="2025-03-27T00:00:00"/>
    <s v="Child"/>
    <x v="13"/>
    <n v="5"/>
    <n v="0"/>
    <n v="0"/>
    <n v="0"/>
    <n v="5"/>
    <x v="19"/>
    <n v="0"/>
    <x v="1"/>
  </r>
  <r>
    <d v="2025-03-27T00:00:00"/>
    <s v="Child"/>
    <x v="20"/>
    <n v="2"/>
    <n v="0"/>
    <n v="0"/>
    <n v="0"/>
    <n v="2"/>
    <x v="19"/>
    <n v="0"/>
    <x v="1"/>
  </r>
  <r>
    <d v="2025-03-27T00:00:00"/>
    <s v="Child"/>
    <x v="11"/>
    <n v="6"/>
    <n v="0"/>
    <n v="0"/>
    <n v="0"/>
    <n v="6"/>
    <x v="19"/>
    <n v="0"/>
    <x v="1"/>
  </r>
  <r>
    <d v="2025-03-27T00:00:00"/>
    <s v="Child"/>
    <x v="5"/>
    <n v="11"/>
    <n v="0"/>
    <n v="0"/>
    <n v="0"/>
    <n v="11"/>
    <x v="19"/>
    <n v="0"/>
    <x v="1"/>
  </r>
  <r>
    <d v="2025-03-27T00:00:00"/>
    <s v="Child"/>
    <x v="8"/>
    <n v="7"/>
    <n v="0"/>
    <n v="0"/>
    <n v="0"/>
    <n v="7"/>
    <x v="19"/>
    <n v="0"/>
    <x v="1"/>
  </r>
  <r>
    <d v="2025-03-27T00:00:00"/>
    <s v="Child"/>
    <x v="24"/>
    <n v="15"/>
    <n v="0"/>
    <n v="0"/>
    <n v="0"/>
    <n v="15"/>
    <x v="19"/>
    <n v="0"/>
    <x v="1"/>
  </r>
  <r>
    <d v="2025-04-24T00:00:00"/>
    <s v="Child"/>
    <x v="23"/>
    <n v="3"/>
    <n v="0"/>
    <n v="0"/>
    <n v="0"/>
    <n v="3"/>
    <x v="5"/>
    <n v="0"/>
    <x v="1"/>
  </r>
  <r>
    <d v="2025-04-24T00:00:00"/>
    <s v="Child"/>
    <x v="6"/>
    <n v="2"/>
    <n v="0"/>
    <n v="0"/>
    <n v="0"/>
    <n v="2"/>
    <x v="5"/>
    <n v="0"/>
    <x v="1"/>
  </r>
  <r>
    <d v="2025-04-24T00:00:00"/>
    <s v="Child"/>
    <x v="3"/>
    <n v="4"/>
    <n v="0"/>
    <n v="0"/>
    <n v="0"/>
    <n v="4"/>
    <x v="5"/>
    <n v="0"/>
    <x v="1"/>
  </r>
  <r>
    <d v="2025-04-24T00:00:00"/>
    <s v="Child"/>
    <x v="20"/>
    <n v="3"/>
    <n v="0"/>
    <n v="0"/>
    <n v="0"/>
    <n v="3"/>
    <x v="5"/>
    <n v="0"/>
    <x v="1"/>
  </r>
  <r>
    <d v="2025-04-24T00:00:00"/>
    <s v="Child"/>
    <x v="5"/>
    <n v="9"/>
    <n v="0"/>
    <n v="0"/>
    <n v="0"/>
    <n v="9"/>
    <x v="5"/>
    <n v="0"/>
    <x v="1"/>
  </r>
  <r>
    <d v="2025-04-24T00:00:00"/>
    <s v="Child"/>
    <x v="8"/>
    <n v="8"/>
    <n v="0"/>
    <n v="0"/>
    <n v="0"/>
    <n v="8"/>
    <x v="5"/>
    <n v="0"/>
    <x v="1"/>
  </r>
  <r>
    <d v="2025-04-24T00:00:00"/>
    <s v="Child"/>
    <x v="24"/>
    <n v="10"/>
    <n v="0"/>
    <n v="0"/>
    <n v="0"/>
    <n v="10"/>
    <x v="5"/>
    <n v="0"/>
    <x v="1"/>
  </r>
  <r>
    <d v="2025-05-29T00:00:00"/>
    <s v="Child"/>
    <x v="23"/>
    <n v="3"/>
    <n v="0"/>
    <n v="0"/>
    <n v="0"/>
    <n v="3"/>
    <x v="20"/>
    <n v="0"/>
    <x v="1"/>
  </r>
  <r>
    <d v="2025-05-29T00:00:00"/>
    <s v="Child"/>
    <x v="3"/>
    <n v="4"/>
    <n v="0"/>
    <n v="0"/>
    <n v="0"/>
    <n v="4"/>
    <x v="20"/>
    <n v="0"/>
    <x v="1"/>
  </r>
  <r>
    <d v="2025-05-29T00:00:00"/>
    <s v="Child"/>
    <x v="20"/>
    <n v="3"/>
    <n v="0"/>
    <n v="0"/>
    <n v="0"/>
    <n v="3"/>
    <x v="20"/>
    <n v="0"/>
    <x v="1"/>
  </r>
  <r>
    <d v="2025-05-29T00:00:00"/>
    <s v="Child"/>
    <x v="10"/>
    <n v="4"/>
    <n v="0"/>
    <n v="0"/>
    <n v="0"/>
    <n v="4"/>
    <x v="20"/>
    <n v="0"/>
    <x v="1"/>
  </r>
  <r>
    <d v="2025-05-29T00:00:00"/>
    <s v="Child"/>
    <x v="8"/>
    <n v="7"/>
    <n v="0"/>
    <n v="0"/>
    <n v="0"/>
    <n v="7"/>
    <x v="20"/>
    <n v="0"/>
    <x v="1"/>
  </r>
  <r>
    <d v="2025-05-29T00:00:00"/>
    <s v="Child"/>
    <x v="24"/>
    <n v="10"/>
    <n v="0"/>
    <n v="0"/>
    <n v="0"/>
    <n v="10"/>
    <x v="20"/>
    <n v="0"/>
    <x v="1"/>
  </r>
  <r>
    <d v="2025-06-26T00:00:00"/>
    <s v="Child"/>
    <x v="23"/>
    <n v="4"/>
    <n v="0"/>
    <n v="0"/>
    <n v="0"/>
    <n v="4"/>
    <x v="21"/>
    <n v="0"/>
    <x v="1"/>
  </r>
  <r>
    <d v="2025-06-26T00:00:00"/>
    <s v="Child"/>
    <x v="3"/>
    <n v="2"/>
    <n v="0"/>
    <n v="0"/>
    <n v="0"/>
    <n v="2"/>
    <x v="21"/>
    <n v="0"/>
    <x v="1"/>
  </r>
  <r>
    <d v="2025-06-26T00:00:00"/>
    <s v="Child"/>
    <x v="13"/>
    <n v="3"/>
    <n v="0"/>
    <n v="0"/>
    <n v="0"/>
    <n v="3"/>
    <x v="21"/>
    <n v="0"/>
    <x v="1"/>
  </r>
  <r>
    <d v="2025-06-26T00:00:00"/>
    <s v="Child"/>
    <x v="20"/>
    <n v="2"/>
    <n v="0"/>
    <n v="0"/>
    <n v="0"/>
    <n v="2"/>
    <x v="21"/>
    <n v="0"/>
    <x v="1"/>
  </r>
  <r>
    <d v="2025-06-26T00:00:00"/>
    <s v="Child"/>
    <x v="21"/>
    <n v="20"/>
    <n v="0"/>
    <n v="0"/>
    <n v="0"/>
    <n v="20"/>
    <x v="21"/>
    <n v="0"/>
    <x v="1"/>
  </r>
  <r>
    <d v="2025-06-26T00:00:00"/>
    <s v="Child"/>
    <x v="10"/>
    <n v="3"/>
    <n v="0"/>
    <n v="0"/>
    <n v="0"/>
    <n v="3"/>
    <x v="21"/>
    <n v="0"/>
    <x v="1"/>
  </r>
  <r>
    <d v="2025-06-26T00:00:00"/>
    <s v="Child"/>
    <x v="5"/>
    <n v="8"/>
    <n v="0"/>
    <n v="0"/>
    <n v="0"/>
    <n v="8"/>
    <x v="21"/>
    <n v="0"/>
    <x v="1"/>
  </r>
  <r>
    <d v="2025-06-26T00:00:00"/>
    <s v="Child"/>
    <x v="8"/>
    <n v="7"/>
    <n v="0"/>
    <n v="0"/>
    <n v="0"/>
    <n v="7"/>
    <x v="21"/>
    <n v="0"/>
    <x v="1"/>
  </r>
  <r>
    <d v="2025-06-26T00:00:00"/>
    <s v="Child"/>
    <x v="24"/>
    <n v="10"/>
    <n v="0"/>
    <n v="0"/>
    <n v="0"/>
    <n v="10"/>
    <x v="21"/>
    <n v="0"/>
    <x v="1"/>
  </r>
  <r>
    <d v="2025-07-31T00:00:00"/>
    <s v="Child"/>
    <x v="23"/>
    <n v="5"/>
    <n v="0"/>
    <n v="0"/>
    <n v="0"/>
    <n v="5"/>
    <x v="22"/>
    <n v="0"/>
    <x v="1"/>
  </r>
  <r>
    <d v="2025-07-31T00:00:00"/>
    <s v="Child"/>
    <x v="13"/>
    <n v="4"/>
    <n v="0"/>
    <n v="0"/>
    <n v="0"/>
    <n v="4"/>
    <x v="22"/>
    <n v="0"/>
    <x v="1"/>
  </r>
  <r>
    <d v="2025-07-31T00:00:00"/>
    <s v="Child"/>
    <x v="22"/>
    <n v="3"/>
    <n v="0"/>
    <n v="0"/>
    <n v="0"/>
    <n v="3"/>
    <x v="22"/>
    <n v="0"/>
    <x v="1"/>
  </r>
  <r>
    <d v="2025-07-31T00:00:00"/>
    <s v="Child"/>
    <x v="20"/>
    <n v="3"/>
    <n v="0"/>
    <n v="0"/>
    <n v="0"/>
    <n v="3"/>
    <x v="22"/>
    <n v="0"/>
    <x v="1"/>
  </r>
  <r>
    <d v="2025-07-31T00:00:00"/>
    <s v="Child"/>
    <x v="21"/>
    <n v="16"/>
    <n v="0"/>
    <n v="0"/>
    <n v="0"/>
    <n v="16"/>
    <x v="22"/>
    <n v="0"/>
    <x v="1"/>
  </r>
  <r>
    <d v="2025-07-31T00:00:00"/>
    <s v="Child"/>
    <x v="7"/>
    <n v="2"/>
    <n v="0"/>
    <n v="0"/>
    <n v="0"/>
    <n v="2"/>
    <x v="22"/>
    <n v="0"/>
    <x v="1"/>
  </r>
  <r>
    <d v="2025-07-31T00:00:00"/>
    <s v="Child"/>
    <x v="10"/>
    <n v="2"/>
    <n v="0"/>
    <n v="0"/>
    <n v="0"/>
    <n v="2"/>
    <x v="22"/>
    <n v="0"/>
    <x v="1"/>
  </r>
  <r>
    <d v="2025-07-31T00:00:00"/>
    <s v="Child"/>
    <x v="8"/>
    <n v="16"/>
    <n v="0"/>
    <n v="0"/>
    <n v="0"/>
    <n v="16"/>
    <x v="22"/>
    <n v="0"/>
    <x v="1"/>
  </r>
  <r>
    <d v="2025-07-31T00:00:00"/>
    <s v="Child"/>
    <x v="24"/>
    <n v="9"/>
    <n v="0"/>
    <n v="0"/>
    <n v="0"/>
    <n v="9"/>
    <x v="22"/>
    <n v="0"/>
    <x v="1"/>
  </r>
  <r>
    <d v="2025-08-28T00:00:00"/>
    <s v="Adult"/>
    <x v="25"/>
    <n v="38"/>
    <n v="0"/>
    <n v="0"/>
    <n v="0"/>
    <n v="38"/>
    <x v="23"/>
    <n v="0"/>
    <x v="1"/>
  </r>
  <r>
    <d v="2025-08-28T00:00:00"/>
    <s v="Child"/>
    <x v="23"/>
    <n v="6"/>
    <n v="0"/>
    <n v="0"/>
    <n v="0"/>
    <n v="6"/>
    <x v="23"/>
    <n v="0"/>
    <x v="1"/>
  </r>
  <r>
    <d v="2025-08-28T00:00:00"/>
    <s v="Child"/>
    <x v="16"/>
    <n v="20"/>
    <n v="0"/>
    <n v="0"/>
    <n v="0"/>
    <n v="20"/>
    <x v="23"/>
    <n v="0"/>
    <x v="1"/>
  </r>
  <r>
    <d v="2025-08-28T00:00:00"/>
    <s v="Child"/>
    <x v="3"/>
    <n v="2"/>
    <n v="0"/>
    <n v="0"/>
    <n v="0"/>
    <n v="2"/>
    <x v="23"/>
    <n v="0"/>
    <x v="1"/>
  </r>
  <r>
    <d v="2025-08-28T00:00:00"/>
    <s v="Child"/>
    <x v="13"/>
    <n v="3"/>
    <n v="0"/>
    <n v="0"/>
    <n v="0"/>
    <n v="3"/>
    <x v="23"/>
    <n v="0"/>
    <x v="1"/>
  </r>
  <r>
    <d v="2025-08-28T00:00:00"/>
    <s v="Child"/>
    <x v="20"/>
    <n v="3"/>
    <n v="0"/>
    <n v="0"/>
    <n v="0"/>
    <n v="3"/>
    <x v="23"/>
    <n v="0"/>
    <x v="1"/>
  </r>
  <r>
    <d v="2025-08-28T00:00:00"/>
    <s v="Child"/>
    <x v="21"/>
    <n v="23"/>
    <n v="0"/>
    <n v="0"/>
    <n v="0"/>
    <n v="23"/>
    <x v="23"/>
    <n v="0"/>
    <x v="1"/>
  </r>
  <r>
    <d v="2025-08-28T00:00:00"/>
    <s v="Child"/>
    <x v="7"/>
    <n v="3"/>
    <n v="0"/>
    <n v="0"/>
    <n v="0"/>
    <n v="3"/>
    <x v="23"/>
    <n v="0"/>
    <x v="1"/>
  </r>
  <r>
    <d v="2025-08-28T00:00:00"/>
    <s v="Child"/>
    <x v="24"/>
    <n v="9"/>
    <n v="0"/>
    <n v="0"/>
    <n v="0"/>
    <n v="9"/>
    <x v="23"/>
    <n v="0"/>
    <x v="1"/>
  </r>
  <r>
    <d v="2025-09-25T00:00:00"/>
    <s v="Adult"/>
    <x v="25"/>
    <n v="33"/>
    <n v="0"/>
    <n v="0"/>
    <n v="0"/>
    <n v="33"/>
    <x v="24"/>
    <n v="0"/>
    <x v="1"/>
  </r>
  <r>
    <d v="2025-09-25T00:00:00"/>
    <s v="Child"/>
    <x v="23"/>
    <n v="7"/>
    <n v="0"/>
    <n v="0"/>
    <n v="0"/>
    <n v="7"/>
    <x v="24"/>
    <n v="0"/>
    <x v="1"/>
  </r>
  <r>
    <d v="2025-09-25T00:00:00"/>
    <s v="Child"/>
    <x v="16"/>
    <n v="26"/>
    <n v="0"/>
    <n v="0"/>
    <n v="0"/>
    <n v="26"/>
    <x v="24"/>
    <n v="0"/>
    <x v="1"/>
  </r>
  <r>
    <d v="2025-09-25T00:00:00"/>
    <s v="Child"/>
    <x v="13"/>
    <n v="7"/>
    <n v="0"/>
    <n v="0"/>
    <n v="0"/>
    <n v="7"/>
    <x v="24"/>
    <n v="0"/>
    <x v="1"/>
  </r>
  <r>
    <d v="2025-09-25T00:00:00"/>
    <s v="Child"/>
    <x v="4"/>
    <n v="2"/>
    <n v="0"/>
    <n v="0"/>
    <n v="0"/>
    <n v="2"/>
    <x v="24"/>
    <n v="0"/>
    <x v="1"/>
  </r>
  <r>
    <d v="2025-09-25T00:00:00"/>
    <s v="Child"/>
    <x v="22"/>
    <n v="3"/>
    <n v="0"/>
    <n v="0"/>
    <n v="0"/>
    <n v="3"/>
    <x v="24"/>
    <n v="0"/>
    <x v="1"/>
  </r>
  <r>
    <d v="2025-09-25T00:00:00"/>
    <s v="Child"/>
    <x v="11"/>
    <n v="2"/>
    <n v="0"/>
    <n v="0"/>
    <n v="0"/>
    <n v="2"/>
    <x v="24"/>
    <n v="0"/>
    <x v="1"/>
  </r>
  <r>
    <d v="2025-09-25T00:00:00"/>
    <s v="Child"/>
    <x v="7"/>
    <n v="4"/>
    <n v="0"/>
    <n v="0"/>
    <n v="0"/>
    <n v="4"/>
    <x v="24"/>
    <n v="0"/>
    <x v="1"/>
  </r>
  <r>
    <d v="2025-09-25T00:00:00"/>
    <s v="Child"/>
    <x v="5"/>
    <n v="3"/>
    <n v="0"/>
    <n v="0"/>
    <n v="0"/>
    <n v="3"/>
    <x v="24"/>
    <n v="0"/>
    <x v="1"/>
  </r>
  <r>
    <d v="2025-09-25T00:00:00"/>
    <s v="Child"/>
    <x v="8"/>
    <n v="2"/>
    <n v="0"/>
    <n v="0"/>
    <n v="0"/>
    <n v="2"/>
    <x v="24"/>
    <n v="0"/>
    <x v="1"/>
  </r>
  <r>
    <d v="2025-09-25T00:00:00"/>
    <s v="Child"/>
    <x v="24"/>
    <n v="8"/>
    <n v="0"/>
    <n v="0"/>
    <n v="0"/>
    <n v="8"/>
    <x v="24"/>
    <n v="0"/>
    <x v="1"/>
  </r>
  <r>
    <d v="2025-10-30T00:00:00"/>
    <s v="Adult"/>
    <x v="25"/>
    <n v="54"/>
    <n v="0"/>
    <n v="0"/>
    <n v="0"/>
    <n v="54"/>
    <x v="25"/>
    <n v="0"/>
    <x v="1"/>
  </r>
  <r>
    <d v="2025-10-30T00:00:00"/>
    <s v="Child"/>
    <x v="23"/>
    <n v="4"/>
    <n v="0"/>
    <n v="0"/>
    <n v="0"/>
    <n v="4"/>
    <x v="25"/>
    <n v="0"/>
    <x v="1"/>
  </r>
  <r>
    <d v="2025-10-30T00:00:00"/>
    <s v="Child"/>
    <x v="3"/>
    <n v="2"/>
    <n v="0"/>
    <n v="0"/>
    <n v="0"/>
    <n v="2"/>
    <x v="25"/>
    <n v="0"/>
    <x v="1"/>
  </r>
  <r>
    <d v="2025-10-30T00:00:00"/>
    <s v="Child"/>
    <x v="22"/>
    <n v="7"/>
    <n v="0"/>
    <n v="0"/>
    <n v="0"/>
    <n v="7"/>
    <x v="25"/>
    <n v="0"/>
    <x v="1"/>
  </r>
  <r>
    <d v="2025-10-30T00:00:00"/>
    <s v="Child"/>
    <x v="11"/>
    <n v="3"/>
    <n v="0"/>
    <n v="0"/>
    <n v="0"/>
    <n v="3"/>
    <x v="25"/>
    <n v="0"/>
    <x v="1"/>
  </r>
  <r>
    <d v="2025-10-30T00:00:00"/>
    <s v="Child"/>
    <x v="5"/>
    <n v="7"/>
    <n v="0"/>
    <n v="0"/>
    <n v="0"/>
    <n v="7"/>
    <x v="25"/>
    <n v="0"/>
    <x v="1"/>
  </r>
  <r>
    <d v="2025-10-30T00:00:00"/>
    <s v="Child"/>
    <x v="8"/>
    <n v="8"/>
    <n v="0"/>
    <n v="0"/>
    <n v="0"/>
    <n v="8"/>
    <x v="25"/>
    <n v="0"/>
    <x v="1"/>
  </r>
  <r>
    <d v="2025-10-30T00:00:00"/>
    <s v="Child"/>
    <x v="24"/>
    <n v="18"/>
    <n v="0"/>
    <n v="0"/>
    <n v="0"/>
    <n v="18"/>
    <x v="25"/>
    <n v="0"/>
    <x v="1"/>
  </r>
  <r>
    <d v="2025-11-27T00:00:00"/>
    <s v="Adult"/>
    <x v="25"/>
    <n v="104"/>
    <n v="0"/>
    <n v="0"/>
    <n v="0"/>
    <n v="104"/>
    <x v="26"/>
    <n v="0"/>
    <x v="1"/>
  </r>
  <r>
    <d v="2025-11-27T00:00:00"/>
    <s v="Adult"/>
    <x v="16"/>
    <n v="315"/>
    <n v="0"/>
    <n v="0"/>
    <n v="0"/>
    <n v="315"/>
    <x v="26"/>
    <n v="0"/>
    <x v="1"/>
  </r>
  <r>
    <d v="2025-11-27T00:00:00"/>
    <s v="Child"/>
    <x v="23"/>
    <n v="3"/>
    <n v="0"/>
    <n v="0"/>
    <n v="0"/>
    <n v="3"/>
    <x v="26"/>
    <n v="0"/>
    <x v="1"/>
  </r>
  <r>
    <d v="2025-11-27T00:00:00"/>
    <s v="Child"/>
    <x v="16"/>
    <n v="22"/>
    <n v="0"/>
    <n v="0"/>
    <n v="0"/>
    <n v="22"/>
    <x v="26"/>
    <n v="0"/>
    <x v="1"/>
  </r>
  <r>
    <d v="2025-11-27T00:00:00"/>
    <s v="Child"/>
    <x v="6"/>
    <n v="2"/>
    <n v="0"/>
    <n v="0"/>
    <n v="0"/>
    <n v="2"/>
    <x v="26"/>
    <n v="0"/>
    <x v="1"/>
  </r>
  <r>
    <d v="2025-11-27T00:00:00"/>
    <s v="Child"/>
    <x v="3"/>
    <n v="5"/>
    <n v="0"/>
    <n v="0"/>
    <n v="0"/>
    <n v="5"/>
    <x v="26"/>
    <n v="0"/>
    <x v="1"/>
  </r>
  <r>
    <d v="2025-11-27T00:00:00"/>
    <s v="Child"/>
    <x v="13"/>
    <n v="2"/>
    <n v="0"/>
    <n v="0"/>
    <n v="0"/>
    <n v="2"/>
    <x v="26"/>
    <n v="0"/>
    <x v="1"/>
  </r>
  <r>
    <d v="2025-11-27T00:00:00"/>
    <s v="Child"/>
    <x v="22"/>
    <n v="8"/>
    <n v="0"/>
    <n v="0"/>
    <n v="0"/>
    <n v="8"/>
    <x v="26"/>
    <n v="0"/>
    <x v="1"/>
  </r>
  <r>
    <d v="2025-11-27T00:00:00"/>
    <s v="Child"/>
    <x v="20"/>
    <n v="5"/>
    <n v="0"/>
    <n v="0"/>
    <n v="0"/>
    <n v="5"/>
    <x v="26"/>
    <n v="0"/>
    <x v="1"/>
  </r>
  <r>
    <d v="2025-11-27T00:00:00"/>
    <s v="Child"/>
    <x v="11"/>
    <n v="5"/>
    <n v="0"/>
    <n v="0"/>
    <n v="0"/>
    <n v="5"/>
    <x v="26"/>
    <n v="0"/>
    <x v="1"/>
  </r>
  <r>
    <d v="2025-11-27T00:00:00"/>
    <s v="Child"/>
    <x v="21"/>
    <n v="10"/>
    <n v="0"/>
    <n v="0"/>
    <n v="0"/>
    <n v="10"/>
    <x v="26"/>
    <n v="0"/>
    <x v="1"/>
  </r>
  <r>
    <d v="2025-11-27T00:00:00"/>
    <s v="Child"/>
    <x v="10"/>
    <n v="2"/>
    <n v="0"/>
    <n v="0"/>
    <n v="0"/>
    <n v="2"/>
    <x v="26"/>
    <n v="0"/>
    <x v="1"/>
  </r>
  <r>
    <d v="2025-11-27T00:00:00"/>
    <s v="Child"/>
    <x v="8"/>
    <n v="13"/>
    <n v="0"/>
    <n v="0"/>
    <n v="0"/>
    <n v="13"/>
    <x v="26"/>
    <n v="0"/>
    <x v="1"/>
  </r>
  <r>
    <d v="2025-11-27T00:00:00"/>
    <s v="Child"/>
    <x v="24"/>
    <n v="13"/>
    <n v="0"/>
    <n v="0"/>
    <n v="0"/>
    <n v="13"/>
    <x v="26"/>
    <n v="0"/>
    <x v="1"/>
  </r>
  <r>
    <d v="2025-12-18T00:00:00"/>
    <s v="Adult"/>
    <x v="25"/>
    <n v="172"/>
    <n v="0"/>
    <n v="0"/>
    <n v="0"/>
    <n v="172"/>
    <x v="27"/>
    <n v="0"/>
    <x v="1"/>
  </r>
  <r>
    <d v="2025-12-18T00:00:00"/>
    <s v="Adult"/>
    <x v="16"/>
    <n v="302"/>
    <n v="0"/>
    <n v="0"/>
    <n v="0"/>
    <n v="302"/>
    <x v="27"/>
    <n v="0"/>
    <x v="1"/>
  </r>
  <r>
    <d v="2025-12-18T00:00:00"/>
    <s v="Child"/>
    <x v="23"/>
    <n v="6"/>
    <n v="0"/>
    <n v="0"/>
    <n v="0"/>
    <n v="6"/>
    <x v="27"/>
    <n v="0"/>
    <x v="1"/>
  </r>
  <r>
    <d v="2025-12-18T00:00:00"/>
    <s v="Child"/>
    <x v="16"/>
    <n v="22"/>
    <n v="0"/>
    <n v="0"/>
    <n v="0"/>
    <n v="22"/>
    <x v="27"/>
    <n v="0"/>
    <x v="1"/>
  </r>
  <r>
    <d v="2025-12-18T00:00:00"/>
    <s v="Child"/>
    <x v="3"/>
    <n v="6"/>
    <n v="0"/>
    <n v="0"/>
    <n v="0"/>
    <n v="6"/>
    <x v="27"/>
    <n v="0"/>
    <x v="1"/>
  </r>
  <r>
    <d v="2025-12-18T00:00:00"/>
    <s v="Child"/>
    <x v="13"/>
    <n v="3"/>
    <n v="0"/>
    <n v="0"/>
    <n v="0"/>
    <n v="3"/>
    <x v="27"/>
    <n v="0"/>
    <x v="1"/>
  </r>
  <r>
    <d v="2025-12-18T00:00:00"/>
    <s v="Child"/>
    <x v="22"/>
    <n v="9"/>
    <n v="0"/>
    <n v="0"/>
    <n v="0"/>
    <n v="9"/>
    <x v="27"/>
    <n v="0"/>
    <x v="1"/>
  </r>
  <r>
    <d v="2025-12-18T00:00:00"/>
    <s v="Child"/>
    <x v="26"/>
    <n v="15"/>
    <n v="0"/>
    <n v="0"/>
    <n v="0"/>
    <n v="15"/>
    <x v="27"/>
    <n v="0"/>
    <x v="1"/>
  </r>
  <r>
    <d v="2025-12-18T00:00:00"/>
    <s v="Child"/>
    <x v="20"/>
    <n v="9"/>
    <n v="0"/>
    <n v="0"/>
    <n v="0"/>
    <n v="9"/>
    <x v="27"/>
    <n v="0"/>
    <x v="1"/>
  </r>
  <r>
    <d v="2025-12-18T00:00:00"/>
    <s v="Child"/>
    <x v="11"/>
    <n v="4"/>
    <n v="0"/>
    <n v="0"/>
    <n v="0"/>
    <n v="4"/>
    <x v="27"/>
    <n v="0"/>
    <x v="1"/>
  </r>
  <r>
    <d v="2025-12-18T00:00:00"/>
    <s v="Child"/>
    <x v="21"/>
    <n v="17"/>
    <n v="0"/>
    <n v="0"/>
    <n v="0"/>
    <n v="17"/>
    <x v="27"/>
    <n v="0"/>
    <x v="1"/>
  </r>
  <r>
    <d v="2025-12-18T00:00:00"/>
    <s v="Child"/>
    <x v="10"/>
    <n v="4"/>
    <n v="0"/>
    <n v="0"/>
    <n v="0"/>
    <n v="4"/>
    <x v="27"/>
    <n v="0"/>
    <x v="1"/>
  </r>
  <r>
    <d v="2025-12-18T00:00:00"/>
    <s v="Child"/>
    <x v="5"/>
    <n v="4"/>
    <n v="0"/>
    <n v="0"/>
    <n v="0"/>
    <n v="4"/>
    <x v="27"/>
    <n v="0"/>
    <x v="1"/>
  </r>
  <r>
    <d v="2025-12-18T00:00:00"/>
    <s v="Child"/>
    <x v="8"/>
    <n v="8"/>
    <n v="0"/>
    <n v="0"/>
    <n v="0"/>
    <n v="8"/>
    <x v="27"/>
    <n v="0"/>
    <x v="1"/>
  </r>
  <r>
    <d v="2026-01-29T00:00:00"/>
    <s v="Adult"/>
    <x v="25"/>
    <n v="120"/>
    <n v="0"/>
    <n v="0"/>
    <n v="0"/>
    <n v="120"/>
    <x v="6"/>
    <n v="0"/>
    <x v="1"/>
  </r>
  <r>
    <d v="2026-01-29T00:00:00"/>
    <s v="Child"/>
    <x v="23"/>
    <n v="9"/>
    <n v="0"/>
    <n v="0"/>
    <n v="0"/>
    <n v="9"/>
    <x v="6"/>
    <n v="0"/>
    <x v="1"/>
  </r>
  <r>
    <d v="2026-01-29T00:00:00"/>
    <s v="Child"/>
    <x v="16"/>
    <n v="21"/>
    <n v="0"/>
    <n v="0"/>
    <n v="0"/>
    <n v="21"/>
    <x v="6"/>
    <n v="0"/>
    <x v="1"/>
  </r>
  <r>
    <d v="2026-01-29T00:00:00"/>
    <s v="Child"/>
    <x v="3"/>
    <n v="2"/>
    <n v="0"/>
    <n v="0"/>
    <n v="0"/>
    <n v="2"/>
    <x v="6"/>
    <n v="0"/>
    <x v="1"/>
  </r>
  <r>
    <d v="2026-01-29T00:00:00"/>
    <s v="Child"/>
    <x v="20"/>
    <n v="19"/>
    <n v="0"/>
    <n v="0"/>
    <n v="0"/>
    <n v="19"/>
    <x v="6"/>
    <n v="0"/>
    <x v="1"/>
  </r>
  <r>
    <d v="2026-01-29T00:00:00"/>
    <s v="Child"/>
    <x v="21"/>
    <n v="24"/>
    <n v="0"/>
    <n v="0"/>
    <n v="0"/>
    <n v="24"/>
    <x v="6"/>
    <n v="0"/>
    <x v="1"/>
  </r>
  <r>
    <d v="2026-01-29T00:00:00"/>
    <s v="Child"/>
    <x v="10"/>
    <n v="2"/>
    <n v="0"/>
    <n v="0"/>
    <n v="0"/>
    <n v="2"/>
    <x v="6"/>
    <n v="0"/>
    <x v="1"/>
  </r>
  <r>
    <d v="2026-01-29T00:00:00"/>
    <s v="Child"/>
    <x v="5"/>
    <n v="3"/>
    <n v="0"/>
    <n v="0"/>
    <n v="0"/>
    <n v="3"/>
    <x v="6"/>
    <n v="0"/>
    <x v="1"/>
  </r>
  <r>
    <d v="2026-01-29T00:00:00"/>
    <s v="Child"/>
    <x v="8"/>
    <n v="26"/>
    <n v="0"/>
    <n v="0"/>
    <n v="0"/>
    <n v="26"/>
    <x v="6"/>
    <n v="0"/>
    <x v="1"/>
  </r>
  <r>
    <d v="2026-02-26T00:00:00"/>
    <s v="Adult"/>
    <x v="25"/>
    <n v="128"/>
    <n v="0"/>
    <n v="0"/>
    <n v="0"/>
    <n v="128"/>
    <x v="7"/>
    <n v="0"/>
    <x v="1"/>
  </r>
  <r>
    <d v="2026-02-26T00:00:00"/>
    <s v="Child"/>
    <x v="23"/>
    <n v="9"/>
    <n v="0"/>
    <n v="0"/>
    <n v="0"/>
    <n v="9"/>
    <x v="7"/>
    <n v="0"/>
    <x v="1"/>
  </r>
  <r>
    <d v="2026-02-26T00:00:00"/>
    <s v="Child"/>
    <x v="16"/>
    <n v="28"/>
    <n v="0"/>
    <n v="0"/>
    <n v="0"/>
    <n v="28"/>
    <x v="7"/>
    <n v="0"/>
    <x v="1"/>
  </r>
  <r>
    <d v="2026-02-26T00:00:00"/>
    <s v="Child"/>
    <x v="6"/>
    <n v="2"/>
    <n v="0"/>
    <n v="0"/>
    <n v="0"/>
    <n v="2"/>
    <x v="7"/>
    <n v="0"/>
    <x v="1"/>
  </r>
  <r>
    <d v="2026-02-26T00:00:00"/>
    <s v="Child"/>
    <x v="3"/>
    <n v="2"/>
    <n v="0"/>
    <n v="0"/>
    <n v="0"/>
    <n v="2"/>
    <x v="7"/>
    <n v="0"/>
    <x v="1"/>
  </r>
  <r>
    <d v="2026-02-26T00:00:00"/>
    <s v="Child"/>
    <x v="13"/>
    <n v="2"/>
    <n v="0"/>
    <n v="0"/>
    <n v="0"/>
    <n v="2"/>
    <x v="7"/>
    <n v="0"/>
    <x v="1"/>
  </r>
  <r>
    <d v="2026-02-26T00:00:00"/>
    <s v="Child"/>
    <x v="20"/>
    <n v="9"/>
    <n v="0"/>
    <n v="0"/>
    <n v="0"/>
    <n v="9"/>
    <x v="7"/>
    <n v="0"/>
    <x v="1"/>
  </r>
  <r>
    <d v="2026-02-26T00:00:00"/>
    <s v="Child"/>
    <x v="10"/>
    <n v="2"/>
    <n v="0"/>
    <n v="0"/>
    <n v="0"/>
    <n v="2"/>
    <x v="7"/>
    <n v="0"/>
    <x v="1"/>
  </r>
  <r>
    <d v="2026-02-26T00:00:00"/>
    <s v="Child"/>
    <x v="5"/>
    <n v="3"/>
    <n v="0"/>
    <n v="0"/>
    <n v="0"/>
    <n v="3"/>
    <x v="7"/>
    <n v="0"/>
    <x v="1"/>
  </r>
  <r>
    <d v="2026-02-26T00:00:00"/>
    <s v="Child"/>
    <x v="8"/>
    <n v="14"/>
    <n v="0"/>
    <n v="0"/>
    <n v="0"/>
    <n v="14"/>
    <x v="7"/>
    <n v="0"/>
    <x v="1"/>
  </r>
  <r>
    <d v="2026-03-26T00:00:00"/>
    <s v="Adult"/>
    <x v="25"/>
    <n v="157"/>
    <n v="0"/>
    <n v="0"/>
    <n v="0"/>
    <n v="157"/>
    <x v="28"/>
    <n v="0"/>
    <x v="1"/>
  </r>
  <r>
    <d v="2026-03-26T00:00:00"/>
    <s v="Child"/>
    <x v="3"/>
    <n v="3"/>
    <n v="0"/>
    <n v="0"/>
    <n v="0"/>
    <n v="3"/>
    <x v="28"/>
    <n v="0"/>
    <x v="1"/>
  </r>
  <r>
    <d v="2026-03-26T00:00:00"/>
    <s v="Child"/>
    <x v="13"/>
    <n v="5"/>
    <n v="0"/>
    <n v="0"/>
    <n v="0"/>
    <n v="5"/>
    <x v="28"/>
    <n v="0"/>
    <x v="1"/>
  </r>
  <r>
    <d v="2026-03-26T00:00:00"/>
    <s v="Child"/>
    <x v="20"/>
    <n v="13"/>
    <n v="0"/>
    <n v="0"/>
    <n v="0"/>
    <n v="13"/>
    <x v="28"/>
    <n v="0"/>
    <x v="1"/>
  </r>
  <r>
    <d v="2026-03-26T00:00:00"/>
    <s v="Child"/>
    <x v="10"/>
    <n v="4"/>
    <n v="0"/>
    <n v="0"/>
    <n v="0"/>
    <n v="4"/>
    <x v="28"/>
    <n v="0"/>
    <x v="1"/>
  </r>
  <r>
    <d v="2026-03-26T00:00:00"/>
    <s v="Child"/>
    <x v="5"/>
    <n v="5"/>
    <n v="0"/>
    <n v="0"/>
    <n v="0"/>
    <n v="5"/>
    <x v="28"/>
    <n v="0"/>
    <x v="1"/>
  </r>
  <r>
    <d v="2026-03-26T00:00:00"/>
    <s v="Child"/>
    <x v="8"/>
    <n v="13"/>
    <n v="0"/>
    <n v="0"/>
    <n v="0"/>
    <n v="13"/>
    <x v="28"/>
    <n v="0"/>
    <x v="1"/>
  </r>
  <r>
    <d v="2026-04-30T00:00:00"/>
    <s v="Adult"/>
    <x v="25"/>
    <n v="112"/>
    <n v="0"/>
    <n v="0"/>
    <n v="0"/>
    <n v="112"/>
    <x v="29"/>
    <n v="0"/>
    <x v="1"/>
  </r>
  <r>
    <d v="2026-04-30T00:00:00"/>
    <s v="Adult"/>
    <x v="9"/>
    <n v="26"/>
    <n v="0"/>
    <n v="0"/>
    <n v="0"/>
    <n v="26"/>
    <x v="29"/>
    <n v="0"/>
    <x v="1"/>
  </r>
  <r>
    <d v="2026-04-30T00:00:00"/>
    <s v="Child"/>
    <x v="23"/>
    <n v="8"/>
    <n v="0"/>
    <n v="0"/>
    <n v="0"/>
    <n v="8"/>
    <x v="29"/>
    <n v="0"/>
    <x v="1"/>
  </r>
  <r>
    <d v="2026-04-30T00:00:00"/>
    <s v="Child"/>
    <x v="6"/>
    <n v="2"/>
    <n v="0"/>
    <n v="0"/>
    <n v="0"/>
    <n v="2"/>
    <x v="29"/>
    <n v="0"/>
    <x v="1"/>
  </r>
  <r>
    <d v="2026-04-30T00:00:00"/>
    <s v="Child"/>
    <x v="13"/>
    <n v="6"/>
    <n v="0"/>
    <n v="0"/>
    <n v="0"/>
    <n v="6"/>
    <x v="29"/>
    <n v="0"/>
    <x v="1"/>
  </r>
  <r>
    <d v="2026-04-30T00:00:00"/>
    <s v="Child"/>
    <x v="26"/>
    <n v="15"/>
    <n v="0"/>
    <n v="0"/>
    <n v="0"/>
    <n v="15"/>
    <x v="29"/>
    <n v="0"/>
    <x v="1"/>
  </r>
  <r>
    <d v="2026-04-30T00:00:00"/>
    <s v="Child"/>
    <x v="20"/>
    <n v="11"/>
    <n v="0"/>
    <n v="0"/>
    <n v="0"/>
    <n v="11"/>
    <x v="29"/>
    <n v="0"/>
    <x v="1"/>
  </r>
  <r>
    <d v="2026-04-30T00:00:00"/>
    <s v="Child"/>
    <x v="21"/>
    <n v="16"/>
    <n v="0"/>
    <n v="0"/>
    <n v="0"/>
    <n v="16"/>
    <x v="29"/>
    <n v="0"/>
    <x v="1"/>
  </r>
  <r>
    <d v="2026-04-30T00:00:00"/>
    <s v="Child"/>
    <x v="7"/>
    <n v="5"/>
    <n v="0"/>
    <n v="0"/>
    <n v="0"/>
    <n v="5"/>
    <x v="29"/>
    <n v="0"/>
    <x v="1"/>
  </r>
  <r>
    <d v="2026-04-30T00:00:00"/>
    <s v="Child"/>
    <x v="10"/>
    <n v="5"/>
    <n v="0"/>
    <n v="0"/>
    <n v="0"/>
    <n v="5"/>
    <x v="29"/>
    <n v="0"/>
    <x v="1"/>
  </r>
  <r>
    <d v="2026-04-30T00:00:00"/>
    <s v="Child"/>
    <x v="5"/>
    <n v="6"/>
    <n v="0"/>
    <n v="0"/>
    <n v="0"/>
    <n v="6"/>
    <x v="29"/>
    <n v="0"/>
    <x v="1"/>
  </r>
  <r>
    <d v="2026-04-30T00:00:00"/>
    <s v="Child"/>
    <x v="8"/>
    <n v="8"/>
    <n v="0"/>
    <n v="0"/>
    <n v="0"/>
    <n v="8"/>
    <x v="29"/>
    <n v="0"/>
    <x v="1"/>
  </r>
  <r>
    <d v="2026-04-30T00:00:00"/>
    <s v="Child"/>
    <x v="19"/>
    <n v="6"/>
    <n v="0"/>
    <n v="0"/>
    <n v="0"/>
    <n v="6"/>
    <x v="29"/>
    <n v="0"/>
    <x v="1"/>
  </r>
  <r>
    <d v="2026-05-28T00:00:00"/>
    <s v="Adult"/>
    <x v="9"/>
    <n v="20"/>
    <n v="0"/>
    <n v="0"/>
    <n v="0"/>
    <n v="20"/>
    <x v="8"/>
    <n v="0"/>
    <x v="1"/>
  </r>
  <r>
    <d v="2026-05-28T00:00:00"/>
    <s v="Child"/>
    <x v="23"/>
    <n v="8"/>
    <n v="0"/>
    <n v="0"/>
    <n v="0"/>
    <n v="8"/>
    <x v="8"/>
    <n v="0"/>
    <x v="1"/>
  </r>
  <r>
    <d v="2026-05-28T00:00:00"/>
    <s v="Child"/>
    <x v="6"/>
    <n v="3"/>
    <n v="0"/>
    <n v="0"/>
    <n v="0"/>
    <n v="3"/>
    <x v="8"/>
    <n v="0"/>
    <x v="1"/>
  </r>
  <r>
    <d v="2026-05-28T00:00:00"/>
    <s v="Child"/>
    <x v="3"/>
    <n v="2"/>
    <n v="0"/>
    <n v="0"/>
    <n v="0"/>
    <n v="2"/>
    <x v="8"/>
    <n v="0"/>
    <x v="1"/>
  </r>
  <r>
    <d v="2026-05-28T00:00:00"/>
    <s v="Child"/>
    <x v="13"/>
    <n v="3"/>
    <n v="0"/>
    <n v="0"/>
    <n v="0"/>
    <n v="3"/>
    <x v="8"/>
    <n v="0"/>
    <x v="1"/>
  </r>
  <r>
    <d v="2026-05-28T00:00:00"/>
    <s v="Child"/>
    <x v="26"/>
    <n v="15"/>
    <n v="0"/>
    <n v="0"/>
    <n v="0"/>
    <n v="15"/>
    <x v="8"/>
    <n v="0"/>
    <x v="1"/>
  </r>
  <r>
    <d v="2026-05-28T00:00:00"/>
    <s v="Child"/>
    <x v="7"/>
    <n v="5"/>
    <n v="0"/>
    <n v="0"/>
    <n v="0"/>
    <n v="5"/>
    <x v="8"/>
    <n v="0"/>
    <x v="1"/>
  </r>
  <r>
    <d v="2026-05-28T00:00:00"/>
    <s v="Child"/>
    <x v="10"/>
    <n v="3"/>
    <n v="0"/>
    <n v="0"/>
    <n v="0"/>
    <n v="3"/>
    <x v="8"/>
    <n v="0"/>
    <x v="1"/>
  </r>
  <r>
    <d v="2026-05-28T00:00:00"/>
    <s v="Child"/>
    <x v="5"/>
    <n v="14"/>
    <n v="0"/>
    <n v="0"/>
    <n v="0"/>
    <n v="14"/>
    <x v="8"/>
    <n v="0"/>
    <x v="1"/>
  </r>
  <r>
    <d v="2026-05-28T00:00:00"/>
    <s v="Child"/>
    <x v="8"/>
    <n v="14"/>
    <n v="0"/>
    <n v="0"/>
    <n v="0"/>
    <n v="14"/>
    <x v="8"/>
    <n v="0"/>
    <x v="1"/>
  </r>
  <r>
    <d v="2026-05-28T00:00:00"/>
    <s v="Child"/>
    <x v="19"/>
    <n v="4"/>
    <n v="0"/>
    <n v="0"/>
    <n v="0"/>
    <n v="4"/>
    <x v="8"/>
    <n v="0"/>
    <x v="1"/>
  </r>
  <r>
    <d v="2026-06-25T00:00:00"/>
    <s v="Adult"/>
    <x v="25"/>
    <n v="90"/>
    <n v="0"/>
    <n v="0"/>
    <n v="0"/>
    <n v="90"/>
    <x v="9"/>
    <n v="0"/>
    <x v="1"/>
  </r>
  <r>
    <d v="2026-06-25T00:00:00"/>
    <s v="Child"/>
    <x v="23"/>
    <n v="10"/>
    <n v="0"/>
    <n v="0"/>
    <n v="0"/>
    <n v="10"/>
    <x v="9"/>
    <n v="0"/>
    <x v="1"/>
  </r>
  <r>
    <d v="2026-06-25T00:00:00"/>
    <s v="Child"/>
    <x v="6"/>
    <n v="3"/>
    <n v="0"/>
    <n v="0"/>
    <n v="0"/>
    <n v="3"/>
    <x v="9"/>
    <n v="0"/>
    <x v="1"/>
  </r>
  <r>
    <d v="2026-06-25T00:00:00"/>
    <s v="Child"/>
    <x v="3"/>
    <n v="6"/>
    <n v="0"/>
    <n v="0"/>
    <n v="0"/>
    <n v="6"/>
    <x v="9"/>
    <n v="0"/>
    <x v="1"/>
  </r>
  <r>
    <d v="2026-06-25T00:00:00"/>
    <s v="Child"/>
    <x v="22"/>
    <n v="5"/>
    <n v="0"/>
    <n v="0"/>
    <n v="0"/>
    <n v="5"/>
    <x v="9"/>
    <n v="0"/>
    <x v="1"/>
  </r>
  <r>
    <d v="2026-06-25T00:00:00"/>
    <s v="Child"/>
    <x v="21"/>
    <n v="14"/>
    <n v="0"/>
    <n v="0"/>
    <n v="0"/>
    <n v="14"/>
    <x v="9"/>
    <n v="0"/>
    <x v="1"/>
  </r>
  <r>
    <d v="2026-06-25T00:00:00"/>
    <s v="Child"/>
    <x v="10"/>
    <n v="3"/>
    <n v="0"/>
    <n v="0"/>
    <n v="0"/>
    <n v="3"/>
    <x v="9"/>
    <n v="0"/>
    <x v="1"/>
  </r>
  <r>
    <d v="2026-06-25T00:00:00"/>
    <s v="Child"/>
    <x v="5"/>
    <n v="6"/>
    <n v="0"/>
    <n v="0"/>
    <n v="0"/>
    <n v="6"/>
    <x v="9"/>
    <n v="0"/>
    <x v="1"/>
  </r>
  <r>
    <d v="2026-06-25T00:00:00"/>
    <s v="Child"/>
    <x v="8"/>
    <n v="10"/>
    <n v="0"/>
    <n v="0"/>
    <n v="0"/>
    <n v="10"/>
    <x v="9"/>
    <n v="0"/>
    <x v="1"/>
  </r>
  <r>
    <d v="2026-06-25T00:00:00"/>
    <s v="Child"/>
    <x v="19"/>
    <n v="10"/>
    <n v="0"/>
    <n v="0"/>
    <n v="0"/>
    <n v="10"/>
    <x v="9"/>
    <n v="0"/>
    <x v="1"/>
  </r>
  <r>
    <d v="2026-07-30T00:00:00"/>
    <s v="Adult"/>
    <x v="25"/>
    <n v="123"/>
    <n v="0"/>
    <n v="0"/>
    <n v="0"/>
    <n v="123"/>
    <x v="10"/>
    <n v="0"/>
    <x v="1"/>
  </r>
  <r>
    <d v="2026-07-30T00:00:00"/>
    <s v="Adult"/>
    <x v="9"/>
    <n v="15"/>
    <n v="0"/>
    <n v="0"/>
    <n v="0"/>
    <n v="15"/>
    <x v="10"/>
    <n v="0"/>
    <x v="1"/>
  </r>
  <r>
    <d v="2026-07-30T00:00:00"/>
    <s v="Child"/>
    <x v="23"/>
    <n v="12"/>
    <n v="0"/>
    <n v="0"/>
    <n v="0"/>
    <n v="12"/>
    <x v="10"/>
    <n v="0"/>
    <x v="1"/>
  </r>
  <r>
    <d v="2026-07-30T00:00:00"/>
    <s v="Child"/>
    <x v="6"/>
    <n v="2"/>
    <n v="0"/>
    <n v="0"/>
    <n v="0"/>
    <n v="2"/>
    <x v="10"/>
    <n v="0"/>
    <x v="1"/>
  </r>
  <r>
    <d v="2026-07-30T00:00:00"/>
    <s v="Child"/>
    <x v="3"/>
    <n v="3"/>
    <n v="0"/>
    <n v="0"/>
    <n v="0"/>
    <n v="3"/>
    <x v="10"/>
    <n v="0"/>
    <x v="1"/>
  </r>
  <r>
    <d v="2026-07-30T00:00:00"/>
    <s v="Child"/>
    <x v="13"/>
    <n v="2"/>
    <n v="0"/>
    <n v="0"/>
    <n v="0"/>
    <n v="2"/>
    <x v="10"/>
    <n v="0"/>
    <x v="1"/>
  </r>
  <r>
    <d v="2026-07-30T00:00:00"/>
    <s v="Child"/>
    <x v="22"/>
    <n v="6"/>
    <n v="0"/>
    <n v="0"/>
    <n v="0"/>
    <n v="6"/>
    <x v="10"/>
    <n v="0"/>
    <x v="1"/>
  </r>
  <r>
    <d v="2026-07-30T00:00:00"/>
    <s v="Child"/>
    <x v="20"/>
    <n v="9"/>
    <n v="0"/>
    <n v="0"/>
    <n v="0"/>
    <n v="9"/>
    <x v="10"/>
    <n v="0"/>
    <x v="1"/>
  </r>
  <r>
    <d v="2026-07-30T00:00:00"/>
    <s v="Child"/>
    <x v="10"/>
    <n v="5"/>
    <n v="0"/>
    <n v="0"/>
    <n v="0"/>
    <n v="5"/>
    <x v="10"/>
    <n v="0"/>
    <x v="1"/>
  </r>
  <r>
    <d v="2026-07-30T00:00:00"/>
    <s v="Child"/>
    <x v="5"/>
    <n v="3"/>
    <n v="0"/>
    <n v="0"/>
    <n v="0"/>
    <n v="3"/>
    <x v="10"/>
    <n v="0"/>
    <x v="1"/>
  </r>
  <r>
    <d v="2026-07-30T00:00:00"/>
    <s v="Child"/>
    <x v="8"/>
    <n v="15"/>
    <n v="0"/>
    <n v="0"/>
    <n v="0"/>
    <n v="15"/>
    <x v="10"/>
    <n v="0"/>
    <x v="1"/>
  </r>
  <r>
    <d v="2026-07-30T00:00:00"/>
    <s v="Child"/>
    <x v="19"/>
    <n v="9"/>
    <n v="0"/>
    <n v="0"/>
    <n v="0"/>
    <n v="9"/>
    <x v="10"/>
    <n v="0"/>
    <x v="1"/>
  </r>
  <r>
    <d v="2026-07-30T00:00:00"/>
    <s v="Child"/>
    <x v="24"/>
    <n v="16"/>
    <n v="0"/>
    <n v="0"/>
    <n v="0"/>
    <n v="16"/>
    <x v="10"/>
    <n v="0"/>
    <x v="1"/>
  </r>
  <r>
    <d v="2026-08-27T00:00:00"/>
    <s v="Adult"/>
    <x v="25"/>
    <n v="179"/>
    <n v="0"/>
    <n v="0"/>
    <n v="0"/>
    <n v="179"/>
    <x v="11"/>
    <n v="0"/>
    <x v="1"/>
  </r>
  <r>
    <d v="2026-08-27T00:00:00"/>
    <s v="Adult"/>
    <x v="9"/>
    <n v="27"/>
    <n v="0"/>
    <n v="0"/>
    <n v="0"/>
    <n v="27"/>
    <x v="11"/>
    <n v="0"/>
    <x v="1"/>
  </r>
  <r>
    <d v="2026-08-27T00:00:00"/>
    <s v="Child"/>
    <x v="23"/>
    <n v="14"/>
    <n v="0"/>
    <n v="0"/>
    <n v="0"/>
    <n v="14"/>
    <x v="11"/>
    <n v="0"/>
    <x v="1"/>
  </r>
  <r>
    <d v="2026-08-27T00:00:00"/>
    <s v="Child"/>
    <x v="6"/>
    <n v="4"/>
    <n v="0"/>
    <n v="0"/>
    <n v="0"/>
    <n v="4"/>
    <x v="11"/>
    <n v="0"/>
    <x v="1"/>
  </r>
  <r>
    <d v="2026-08-27T00:00:00"/>
    <s v="Child"/>
    <x v="22"/>
    <n v="4"/>
    <n v="0"/>
    <n v="0"/>
    <n v="0"/>
    <n v="4"/>
    <x v="11"/>
    <n v="0"/>
    <x v="1"/>
  </r>
  <r>
    <d v="2026-08-27T00:00:00"/>
    <s v="Child"/>
    <x v="20"/>
    <n v="14"/>
    <n v="0"/>
    <n v="0"/>
    <n v="0"/>
    <n v="14"/>
    <x v="11"/>
    <n v="0"/>
    <x v="1"/>
  </r>
  <r>
    <d v="2026-08-27T00:00:00"/>
    <s v="Child"/>
    <x v="27"/>
    <n v="28"/>
    <n v="0"/>
    <n v="0"/>
    <n v="0"/>
    <n v="28"/>
    <x v="11"/>
    <n v="0"/>
    <x v="1"/>
  </r>
  <r>
    <d v="2026-08-27T00:00:00"/>
    <s v="Child"/>
    <x v="21"/>
    <n v="27"/>
    <n v="0"/>
    <n v="0"/>
    <n v="0"/>
    <n v="27"/>
    <x v="11"/>
    <n v="0"/>
    <x v="1"/>
  </r>
  <r>
    <d v="2026-08-27T00:00:00"/>
    <s v="Child"/>
    <x v="10"/>
    <n v="5"/>
    <n v="0"/>
    <n v="0"/>
    <n v="0"/>
    <n v="5"/>
    <x v="11"/>
    <n v="0"/>
    <x v="1"/>
  </r>
  <r>
    <d v="2026-08-27T00:00:00"/>
    <s v="Child"/>
    <x v="5"/>
    <n v="10"/>
    <n v="0"/>
    <n v="0"/>
    <n v="0"/>
    <n v="10"/>
    <x v="11"/>
    <n v="0"/>
    <x v="1"/>
  </r>
  <r>
    <d v="2026-08-27T00:00:00"/>
    <s v="Child"/>
    <x v="8"/>
    <n v="6"/>
    <n v="0"/>
    <n v="0"/>
    <n v="0"/>
    <n v="6"/>
    <x v="11"/>
    <n v="0"/>
    <x v="1"/>
  </r>
  <r>
    <d v="2026-08-27T00:00:00"/>
    <s v="Child"/>
    <x v="19"/>
    <n v="10"/>
    <n v="0"/>
    <n v="0"/>
    <n v="0"/>
    <n v="10"/>
    <x v="11"/>
    <n v="0"/>
    <x v="1"/>
  </r>
  <r>
    <d v="2026-08-27T00:00:00"/>
    <s v="Child"/>
    <x v="24"/>
    <n v="17"/>
    <n v="0"/>
    <n v="0"/>
    <n v="0"/>
    <n v="17"/>
    <x v="11"/>
    <n v="0"/>
    <x v="1"/>
  </r>
  <r>
    <d v="2023-01-26T00:00:00"/>
    <s v="Child"/>
    <x v="9"/>
    <n v="25"/>
    <n v="2"/>
    <n v="0"/>
    <n v="0"/>
    <n v="27"/>
    <x v="36"/>
    <n v="0"/>
    <x v="0"/>
  </r>
  <r>
    <d v="2023-02-23T00:00:00"/>
    <s v="Child"/>
    <x v="6"/>
    <n v="46"/>
    <n v="2"/>
    <n v="0"/>
    <n v="0"/>
    <n v="48"/>
    <x v="37"/>
    <n v="0"/>
    <x v="0"/>
  </r>
  <r>
    <d v="2023-02-23T00:00:00"/>
    <s v="Child"/>
    <x v="10"/>
    <n v="32"/>
    <n v="2"/>
    <n v="0"/>
    <n v="0"/>
    <n v="34"/>
    <x v="37"/>
    <n v="0"/>
    <x v="0"/>
  </r>
  <r>
    <d v="2023-03-30T00:00:00"/>
    <s v="Child"/>
    <x v="10"/>
    <n v="26"/>
    <n v="2"/>
    <n v="0"/>
    <n v="0"/>
    <n v="28"/>
    <x v="38"/>
    <n v="0"/>
    <x v="0"/>
  </r>
  <r>
    <d v="2023-05-25T00:00:00"/>
    <s v="Child"/>
    <x v="10"/>
    <n v="35"/>
    <n v="2"/>
    <n v="0"/>
    <n v="0"/>
    <n v="37"/>
    <x v="40"/>
    <n v="0"/>
    <x v="0"/>
  </r>
  <r>
    <d v="2023-06-29T00:00:00"/>
    <s v="Child"/>
    <x v="10"/>
    <n v="39"/>
    <n v="2"/>
    <n v="0"/>
    <n v="0"/>
    <n v="41"/>
    <x v="30"/>
    <n v="0"/>
    <x v="0"/>
  </r>
  <r>
    <d v="2023-06-29T00:00:00"/>
    <s v="Child"/>
    <x v="12"/>
    <n v="36"/>
    <n v="2"/>
    <n v="0"/>
    <n v="0"/>
    <n v="38"/>
    <x v="30"/>
    <n v="0"/>
    <x v="0"/>
  </r>
  <r>
    <d v="2023-07-27T00:00:00"/>
    <s v="Child"/>
    <x v="10"/>
    <n v="38"/>
    <n v="2"/>
    <n v="0"/>
    <n v="0"/>
    <n v="40"/>
    <x v="31"/>
    <n v="0"/>
    <x v="0"/>
  </r>
  <r>
    <d v="2023-08-31T00:00:00"/>
    <s v="Child"/>
    <x v="10"/>
    <n v="33"/>
    <n v="2"/>
    <n v="0"/>
    <n v="0"/>
    <n v="35"/>
    <x v="32"/>
    <n v="0"/>
    <x v="0"/>
  </r>
  <r>
    <d v="2023-08-31T00:00:00"/>
    <s v="Child"/>
    <x v="12"/>
    <n v="20"/>
    <n v="2"/>
    <n v="0"/>
    <n v="0"/>
    <n v="22"/>
    <x v="32"/>
    <n v="0"/>
    <x v="0"/>
  </r>
  <r>
    <d v="2023-09-28T00:00:00"/>
    <s v="Child"/>
    <x v="10"/>
    <n v="34"/>
    <n v="2"/>
    <n v="0"/>
    <n v="0"/>
    <n v="35"/>
    <x v="33"/>
    <n v="0"/>
    <x v="0"/>
  </r>
  <r>
    <d v="2023-10-26T00:00:00"/>
    <s v="Child"/>
    <x v="6"/>
    <n v="49"/>
    <n v="2"/>
    <n v="0"/>
    <n v="0"/>
    <n v="51"/>
    <x v="41"/>
    <n v="0"/>
    <x v="0"/>
  </r>
  <r>
    <d v="2023-10-26T00:00:00"/>
    <s v="Child"/>
    <x v="10"/>
    <n v="36"/>
    <n v="2"/>
    <n v="0"/>
    <n v="0"/>
    <n v="37"/>
    <x v="41"/>
    <n v="0"/>
    <x v="0"/>
  </r>
  <r>
    <d v="2023-11-30T00:00:00"/>
    <s v="Child"/>
    <x v="6"/>
    <n v="52"/>
    <n v="2"/>
    <n v="0"/>
    <n v="0"/>
    <n v="54"/>
    <x v="42"/>
    <n v="0"/>
    <x v="0"/>
  </r>
  <r>
    <d v="2023-12-28T00:00:00"/>
    <s v="Child"/>
    <x v="6"/>
    <n v="62"/>
    <n v="2"/>
    <n v="0"/>
    <n v="0"/>
    <n v="64"/>
    <x v="43"/>
    <n v="0"/>
    <x v="0"/>
  </r>
  <r>
    <d v="2024-01-25T00:00:00"/>
    <s v="Child"/>
    <x v="10"/>
    <n v="33"/>
    <n v="2"/>
    <n v="0"/>
    <n v="0"/>
    <n v="35"/>
    <x v="12"/>
    <n v="0"/>
    <x v="0"/>
  </r>
  <r>
    <d v="2024-04-25T00:00:00"/>
    <s v="Child"/>
    <x v="6"/>
    <n v="53"/>
    <n v="2"/>
    <n v="0"/>
    <n v="0"/>
    <n v="55"/>
    <x v="15"/>
    <n v="0"/>
    <x v="0"/>
  </r>
  <r>
    <d v="2024-04-25T00:00:00"/>
    <s v="Child"/>
    <x v="0"/>
    <n v="2"/>
    <n v="2"/>
    <n v="0"/>
    <n v="0"/>
    <n v="3"/>
    <x v="15"/>
    <n v="0"/>
    <x v="0"/>
  </r>
  <r>
    <d v="2024-06-27T00:00:00"/>
    <s v="Child"/>
    <x v="15"/>
    <n v="6"/>
    <n v="2"/>
    <n v="0"/>
    <n v="0"/>
    <n v="8"/>
    <x v="1"/>
    <n v="0"/>
    <x v="0"/>
  </r>
  <r>
    <d v="2024-07-25T00:00:00"/>
    <s v="Child"/>
    <x v="15"/>
    <n v="5"/>
    <n v="2"/>
    <n v="0"/>
    <n v="0"/>
    <n v="6"/>
    <x v="16"/>
    <n v="0"/>
    <x v="0"/>
  </r>
  <r>
    <d v="2025-01-30T00:00:00"/>
    <s v="Child"/>
    <x v="14"/>
    <n v="32"/>
    <n v="2"/>
    <n v="0"/>
    <n v="0"/>
    <n v="34"/>
    <x v="18"/>
    <n v="0"/>
    <x v="0"/>
  </r>
  <r>
    <d v="2025-01-30T00:00:00"/>
    <s v="Child"/>
    <x v="10"/>
    <n v="9"/>
    <n v="2"/>
    <n v="0"/>
    <n v="0"/>
    <n v="11"/>
    <x v="18"/>
    <n v="0"/>
    <x v="0"/>
  </r>
  <r>
    <d v="2025-02-27T00:00:00"/>
    <s v="Child"/>
    <x v="9"/>
    <n v="29"/>
    <n v="2"/>
    <n v="0"/>
    <n v="0"/>
    <n v="31"/>
    <x v="35"/>
    <n v="0"/>
    <x v="0"/>
  </r>
  <r>
    <d v="2025-05-29T00:00:00"/>
    <s v="Adult"/>
    <x v="25"/>
    <n v="771"/>
    <n v="2"/>
    <n v="0"/>
    <n v="0"/>
    <n v="773"/>
    <x v="20"/>
    <n v="0"/>
    <x v="0"/>
  </r>
  <r>
    <d v="2025-06-26T00:00:00"/>
    <s v="Child"/>
    <x v="9"/>
    <n v="15"/>
    <n v="2"/>
    <n v="0"/>
    <n v="0"/>
    <n v="17"/>
    <x v="21"/>
    <n v="0"/>
    <x v="0"/>
  </r>
  <r>
    <d v="2025-07-31T00:00:00"/>
    <s v="Child"/>
    <x v="9"/>
    <n v="13"/>
    <n v="2"/>
    <n v="0"/>
    <n v="0"/>
    <n v="15"/>
    <x v="22"/>
    <n v="0"/>
    <x v="0"/>
  </r>
  <r>
    <d v="2025-07-31T00:00:00"/>
    <s v="Child"/>
    <x v="15"/>
    <n v="8"/>
    <n v="2"/>
    <n v="0"/>
    <n v="0"/>
    <n v="10"/>
    <x v="22"/>
    <n v="0"/>
    <x v="0"/>
  </r>
  <r>
    <d v="2025-09-25T00:00:00"/>
    <s v="Child"/>
    <x v="15"/>
    <n v="10"/>
    <n v="2"/>
    <n v="0"/>
    <n v="0"/>
    <n v="12"/>
    <x v="24"/>
    <n v="0"/>
    <x v="0"/>
  </r>
  <r>
    <d v="2025-11-27T00:00:00"/>
    <s v="Child"/>
    <x v="2"/>
    <n v="5"/>
    <n v="2"/>
    <n v="0"/>
    <n v="0"/>
    <n v="6"/>
    <x v="26"/>
    <n v="0"/>
    <x v="0"/>
  </r>
  <r>
    <d v="2026-01-29T00:00:00"/>
    <s v="Child"/>
    <x v="14"/>
    <n v="54"/>
    <n v="2"/>
    <n v="0"/>
    <n v="0"/>
    <n v="56"/>
    <x v="6"/>
    <n v="0"/>
    <x v="0"/>
  </r>
  <r>
    <d v="2026-01-29T00:00:00"/>
    <s v="Child"/>
    <x v="10"/>
    <n v="34"/>
    <n v="2"/>
    <n v="0"/>
    <n v="0"/>
    <n v="36"/>
    <x v="6"/>
    <n v="0"/>
    <x v="0"/>
  </r>
  <r>
    <d v="2026-05-28T00:00:00"/>
    <s v="Child"/>
    <x v="11"/>
    <n v="17"/>
    <n v="2"/>
    <n v="0"/>
    <n v="0"/>
    <n v="19"/>
    <x v="8"/>
    <n v="0"/>
    <x v="0"/>
  </r>
  <r>
    <d v="2026-06-25T00:00:00"/>
    <s v="Child"/>
    <x v="2"/>
    <n v="4"/>
    <n v="2"/>
    <n v="0"/>
    <n v="0"/>
    <n v="6"/>
    <x v="9"/>
    <n v="0"/>
    <x v="0"/>
  </r>
  <r>
    <d v="2026-08-27T00:00:00"/>
    <s v="Child"/>
    <x v="13"/>
    <n v="8"/>
    <n v="2"/>
    <n v="0"/>
    <n v="0"/>
    <n v="10"/>
    <x v="11"/>
    <n v="0"/>
    <x v="0"/>
  </r>
  <r>
    <d v="2023-01-26T00:00:00"/>
    <s v="Adult"/>
    <x v="3"/>
    <n v="242"/>
    <n v="2"/>
    <n v="0"/>
    <n v="0"/>
    <n v="244"/>
    <x v="36"/>
    <n v="0"/>
    <x v="1"/>
  </r>
  <r>
    <d v="2023-01-26T00:00:00"/>
    <s v="Child"/>
    <x v="11"/>
    <n v="27"/>
    <n v="2"/>
    <n v="0"/>
    <n v="0"/>
    <n v="29"/>
    <x v="36"/>
    <n v="0"/>
    <x v="1"/>
  </r>
  <r>
    <d v="2023-02-23T00:00:00"/>
    <s v="Child"/>
    <x v="13"/>
    <n v="26"/>
    <n v="2"/>
    <n v="0"/>
    <n v="0"/>
    <n v="28"/>
    <x v="37"/>
    <n v="0"/>
    <x v="1"/>
  </r>
  <r>
    <d v="2023-03-30T00:00:00"/>
    <s v="Adult"/>
    <x v="3"/>
    <n v="300"/>
    <n v="2"/>
    <n v="0"/>
    <n v="0"/>
    <n v="302"/>
    <x v="38"/>
    <n v="0"/>
    <x v="1"/>
  </r>
  <r>
    <d v="2023-05-25T00:00:00"/>
    <s v="Adult"/>
    <x v="17"/>
    <n v="456"/>
    <n v="2"/>
    <n v="0"/>
    <n v="0"/>
    <n v="458"/>
    <x v="40"/>
    <n v="0"/>
    <x v="1"/>
  </r>
  <r>
    <d v="2023-05-25T00:00:00"/>
    <s v="Adult"/>
    <x v="11"/>
    <n v="401"/>
    <n v="2"/>
    <n v="0"/>
    <n v="0"/>
    <n v="403"/>
    <x v="40"/>
    <n v="0"/>
    <x v="1"/>
  </r>
  <r>
    <d v="2023-05-25T00:00:00"/>
    <s v="Child"/>
    <x v="24"/>
    <n v="20"/>
    <n v="2"/>
    <n v="0"/>
    <n v="0"/>
    <n v="22"/>
    <x v="40"/>
    <n v="0"/>
    <x v="1"/>
  </r>
  <r>
    <d v="2023-06-29T00:00:00"/>
    <s v="Adult"/>
    <x v="17"/>
    <n v="357"/>
    <n v="2"/>
    <n v="0"/>
    <n v="0"/>
    <n v="359"/>
    <x v="30"/>
    <n v="0"/>
    <x v="1"/>
  </r>
  <r>
    <d v="2023-06-29T00:00:00"/>
    <s v="Child"/>
    <x v="24"/>
    <n v="26"/>
    <n v="2"/>
    <n v="0"/>
    <n v="0"/>
    <n v="28"/>
    <x v="30"/>
    <n v="0"/>
    <x v="1"/>
  </r>
  <r>
    <d v="2023-07-27T00:00:00"/>
    <s v="Adult"/>
    <x v="3"/>
    <n v="334"/>
    <n v="2"/>
    <n v="0"/>
    <n v="0"/>
    <n v="336"/>
    <x v="31"/>
    <n v="0"/>
    <x v="1"/>
  </r>
  <r>
    <d v="2023-07-27T00:00:00"/>
    <s v="Child"/>
    <x v="27"/>
    <n v="59"/>
    <n v="2"/>
    <n v="0"/>
    <n v="0"/>
    <n v="61"/>
    <x v="31"/>
    <n v="0"/>
    <x v="1"/>
  </r>
  <r>
    <d v="2023-07-27T00:00:00"/>
    <s v="Child"/>
    <x v="24"/>
    <n v="33"/>
    <n v="2"/>
    <n v="0"/>
    <n v="0"/>
    <n v="35"/>
    <x v="31"/>
    <n v="0"/>
    <x v="1"/>
  </r>
  <r>
    <d v="2023-08-31T00:00:00"/>
    <s v="Child"/>
    <x v="11"/>
    <n v="40"/>
    <n v="2"/>
    <n v="0"/>
    <n v="0"/>
    <n v="42"/>
    <x v="32"/>
    <n v="0"/>
    <x v="1"/>
  </r>
  <r>
    <d v="2023-08-31T00:00:00"/>
    <s v="Child"/>
    <x v="27"/>
    <n v="69"/>
    <n v="2"/>
    <n v="0"/>
    <n v="0"/>
    <n v="71"/>
    <x v="32"/>
    <n v="0"/>
    <x v="1"/>
  </r>
  <r>
    <d v="2023-08-31T00:00:00"/>
    <s v="Child"/>
    <x v="24"/>
    <n v="43"/>
    <n v="2"/>
    <n v="0"/>
    <n v="0"/>
    <n v="45"/>
    <x v="32"/>
    <n v="0"/>
    <x v="1"/>
  </r>
  <r>
    <d v="2023-09-28T00:00:00"/>
    <s v="Child"/>
    <x v="28"/>
    <n v="41"/>
    <n v="2"/>
    <n v="0"/>
    <n v="0"/>
    <n v="42"/>
    <x v="33"/>
    <n v="0"/>
    <x v="1"/>
  </r>
  <r>
    <d v="2023-10-26T00:00:00"/>
    <s v="Adult"/>
    <x v="16"/>
    <n v="276"/>
    <n v="2"/>
    <n v="0"/>
    <n v="0"/>
    <n v="278"/>
    <x v="41"/>
    <n v="0"/>
    <x v="1"/>
  </r>
  <r>
    <d v="2023-10-26T00:00:00"/>
    <s v="Child"/>
    <x v="11"/>
    <n v="25"/>
    <n v="2"/>
    <n v="0"/>
    <n v="0"/>
    <n v="27"/>
    <x v="41"/>
    <n v="0"/>
    <x v="1"/>
  </r>
  <r>
    <d v="2023-10-26T00:00:00"/>
    <s v="Child"/>
    <x v="21"/>
    <n v="27"/>
    <n v="2"/>
    <n v="0"/>
    <n v="0"/>
    <n v="29"/>
    <x v="41"/>
    <n v="0"/>
    <x v="1"/>
  </r>
  <r>
    <d v="2023-11-30T00:00:00"/>
    <s v="Adult"/>
    <x v="3"/>
    <n v="286"/>
    <n v="2"/>
    <n v="0"/>
    <n v="0"/>
    <n v="288"/>
    <x v="42"/>
    <n v="0"/>
    <x v="1"/>
  </r>
  <r>
    <d v="2023-12-28T00:00:00"/>
    <s v="Adult"/>
    <x v="16"/>
    <n v="485"/>
    <n v="2"/>
    <n v="0"/>
    <n v="0"/>
    <n v="487"/>
    <x v="43"/>
    <n v="0"/>
    <x v="1"/>
  </r>
  <r>
    <d v="2023-12-28T00:00:00"/>
    <s v="Adult"/>
    <x v="19"/>
    <n v="217"/>
    <n v="2"/>
    <n v="0"/>
    <n v="0"/>
    <n v="219"/>
    <x v="43"/>
    <n v="0"/>
    <x v="1"/>
  </r>
  <r>
    <d v="2023-12-28T00:00:00"/>
    <s v="Child"/>
    <x v="21"/>
    <n v="38"/>
    <n v="2"/>
    <n v="0"/>
    <n v="0"/>
    <n v="40"/>
    <x v="43"/>
    <n v="0"/>
    <x v="1"/>
  </r>
  <r>
    <d v="2024-01-25T00:00:00"/>
    <s v="Adult"/>
    <x v="19"/>
    <n v="248"/>
    <n v="2"/>
    <n v="0"/>
    <n v="0"/>
    <n v="250"/>
    <x v="12"/>
    <n v="0"/>
    <x v="1"/>
  </r>
  <r>
    <d v="2024-02-29T00:00:00"/>
    <s v="Child"/>
    <x v="21"/>
    <n v="41"/>
    <n v="2"/>
    <n v="0"/>
    <n v="0"/>
    <n v="43"/>
    <x v="13"/>
    <n v="0"/>
    <x v="1"/>
  </r>
  <r>
    <d v="2024-03-28T00:00:00"/>
    <s v="Child"/>
    <x v="19"/>
    <n v="16"/>
    <n v="2"/>
    <n v="0"/>
    <n v="0"/>
    <n v="18"/>
    <x v="14"/>
    <n v="0"/>
    <x v="1"/>
  </r>
  <r>
    <d v="2024-04-25T00:00:00"/>
    <s v="Child"/>
    <x v="16"/>
    <n v="12"/>
    <n v="2"/>
    <n v="0"/>
    <n v="0"/>
    <n v="13"/>
    <x v="15"/>
    <n v="0"/>
    <x v="1"/>
  </r>
  <r>
    <d v="2024-05-30T00:00:00"/>
    <s v="Child"/>
    <x v="13"/>
    <n v="6"/>
    <n v="2"/>
    <n v="0"/>
    <n v="0"/>
    <n v="8"/>
    <x v="0"/>
    <n v="0"/>
    <x v="1"/>
  </r>
  <r>
    <d v="2024-05-30T00:00:00"/>
    <s v="Child"/>
    <x v="19"/>
    <n v="27"/>
    <n v="2"/>
    <n v="0"/>
    <n v="0"/>
    <n v="29"/>
    <x v="0"/>
    <n v="0"/>
    <x v="1"/>
  </r>
  <r>
    <d v="2024-06-27T00:00:00"/>
    <s v="Adult"/>
    <x v="17"/>
    <n v="624"/>
    <n v="2"/>
    <n v="0"/>
    <n v="0"/>
    <n v="626"/>
    <x v="1"/>
    <n v="0"/>
    <x v="1"/>
  </r>
  <r>
    <d v="2024-06-27T00:00:00"/>
    <s v="Child"/>
    <x v="19"/>
    <n v="21"/>
    <n v="2"/>
    <n v="0"/>
    <n v="0"/>
    <n v="23"/>
    <x v="1"/>
    <n v="0"/>
    <x v="1"/>
  </r>
  <r>
    <d v="2024-07-25T00:00:00"/>
    <s v="Child"/>
    <x v="13"/>
    <n v="8"/>
    <n v="2"/>
    <n v="0"/>
    <n v="0"/>
    <n v="10"/>
    <x v="16"/>
    <n v="0"/>
    <x v="1"/>
  </r>
  <r>
    <d v="2024-07-25T00:00:00"/>
    <s v="Child"/>
    <x v="20"/>
    <n v="2"/>
    <n v="2"/>
    <n v="0"/>
    <n v="0"/>
    <n v="4"/>
    <x v="16"/>
    <n v="0"/>
    <x v="1"/>
  </r>
  <r>
    <d v="2024-07-25T00:00:00"/>
    <s v="Child"/>
    <x v="21"/>
    <n v="17"/>
    <n v="2"/>
    <n v="0"/>
    <n v="0"/>
    <n v="19"/>
    <x v="16"/>
    <n v="0"/>
    <x v="1"/>
  </r>
  <r>
    <d v="2024-07-25T00:00:00"/>
    <s v="Child"/>
    <x v="19"/>
    <n v="11"/>
    <n v="2"/>
    <n v="0"/>
    <n v="0"/>
    <n v="13"/>
    <x v="16"/>
    <n v="0"/>
    <x v="1"/>
  </r>
  <r>
    <d v="2024-09-26T00:00:00"/>
    <s v="Adult"/>
    <x v="3"/>
    <n v="397"/>
    <n v="2"/>
    <n v="0"/>
    <n v="0"/>
    <n v="399"/>
    <x v="17"/>
    <n v="0"/>
    <x v="1"/>
  </r>
  <r>
    <d v="2024-11-28T00:00:00"/>
    <s v="Adult"/>
    <x v="17"/>
    <n v="723"/>
    <n v="2"/>
    <n v="0"/>
    <n v="0"/>
    <n v="725"/>
    <x v="3"/>
    <n v="0"/>
    <x v="1"/>
  </r>
  <r>
    <d v="2024-11-28T00:00:00"/>
    <s v="Child"/>
    <x v="21"/>
    <n v="13"/>
    <n v="2"/>
    <n v="0"/>
    <n v="0"/>
    <n v="15"/>
    <x v="3"/>
    <n v="0"/>
    <x v="1"/>
  </r>
  <r>
    <d v="2024-12-19T00:00:00"/>
    <s v="Child"/>
    <x v="23"/>
    <n v="6"/>
    <n v="2"/>
    <n v="0"/>
    <n v="0"/>
    <n v="8"/>
    <x v="4"/>
    <n v="0"/>
    <x v="1"/>
  </r>
  <r>
    <d v="2024-12-19T00:00:00"/>
    <s v="Child"/>
    <x v="22"/>
    <n v="4"/>
    <n v="2"/>
    <n v="0"/>
    <n v="0"/>
    <n v="6"/>
    <x v="4"/>
    <n v="0"/>
    <x v="1"/>
  </r>
  <r>
    <d v="2024-12-19T00:00:00"/>
    <s v="Child"/>
    <x v="19"/>
    <n v="11"/>
    <n v="2"/>
    <n v="0"/>
    <n v="0"/>
    <n v="13"/>
    <x v="4"/>
    <n v="0"/>
    <x v="1"/>
  </r>
  <r>
    <d v="2025-01-30T00:00:00"/>
    <s v="Child"/>
    <x v="23"/>
    <n v="3"/>
    <n v="2"/>
    <n v="0"/>
    <n v="0"/>
    <n v="5"/>
    <x v="18"/>
    <n v="0"/>
    <x v="1"/>
  </r>
  <r>
    <d v="2025-01-30T00:00:00"/>
    <s v="Child"/>
    <x v="18"/>
    <n v="266"/>
    <n v="2"/>
    <n v="0"/>
    <n v="0"/>
    <n v="268"/>
    <x v="18"/>
    <n v="0"/>
    <x v="1"/>
  </r>
  <r>
    <d v="2025-01-30T00:00:00"/>
    <s v="Child"/>
    <x v="19"/>
    <n v="8"/>
    <n v="2"/>
    <n v="0"/>
    <n v="0"/>
    <n v="10"/>
    <x v="18"/>
    <n v="0"/>
    <x v="1"/>
  </r>
  <r>
    <d v="2025-02-27T00:00:00"/>
    <s v="Child"/>
    <x v="13"/>
    <n v="15"/>
    <n v="2"/>
    <n v="0"/>
    <n v="0"/>
    <n v="17"/>
    <x v="35"/>
    <n v="0"/>
    <x v="1"/>
  </r>
  <r>
    <d v="2025-02-27T00:00:00"/>
    <s v="Child"/>
    <x v="18"/>
    <n v="262"/>
    <n v="2"/>
    <n v="0"/>
    <n v="0"/>
    <n v="264"/>
    <x v="35"/>
    <n v="0"/>
    <x v="1"/>
  </r>
  <r>
    <d v="2025-02-27T00:00:00"/>
    <s v="Child"/>
    <x v="19"/>
    <n v="11"/>
    <n v="2"/>
    <n v="0"/>
    <n v="0"/>
    <n v="13"/>
    <x v="35"/>
    <n v="0"/>
    <x v="1"/>
  </r>
  <r>
    <d v="2025-03-27T00:00:00"/>
    <s v="Child"/>
    <x v="23"/>
    <n v="2"/>
    <n v="2"/>
    <n v="0"/>
    <n v="0"/>
    <n v="3"/>
    <x v="19"/>
    <n v="0"/>
    <x v="1"/>
  </r>
  <r>
    <d v="2025-04-24T00:00:00"/>
    <s v="Child"/>
    <x v="13"/>
    <n v="5"/>
    <n v="2"/>
    <n v="0"/>
    <n v="0"/>
    <n v="7"/>
    <x v="5"/>
    <n v="0"/>
    <x v="1"/>
  </r>
  <r>
    <d v="2025-04-24T00:00:00"/>
    <s v="Child"/>
    <x v="21"/>
    <n v="15"/>
    <n v="2"/>
    <n v="0"/>
    <n v="0"/>
    <n v="17"/>
    <x v="5"/>
    <n v="0"/>
    <x v="1"/>
  </r>
  <r>
    <d v="2025-05-29T00:00:00"/>
    <s v="Child"/>
    <x v="16"/>
    <n v="19"/>
    <n v="2"/>
    <n v="0"/>
    <n v="0"/>
    <n v="21"/>
    <x v="20"/>
    <n v="0"/>
    <x v="1"/>
  </r>
  <r>
    <d v="2025-05-29T00:00:00"/>
    <s v="Child"/>
    <x v="21"/>
    <n v="21"/>
    <n v="2"/>
    <n v="0"/>
    <n v="0"/>
    <n v="23"/>
    <x v="20"/>
    <n v="0"/>
    <x v="1"/>
  </r>
  <r>
    <d v="2025-05-29T00:00:00"/>
    <s v="Child"/>
    <x v="5"/>
    <n v="5"/>
    <n v="2"/>
    <n v="0"/>
    <n v="0"/>
    <n v="7"/>
    <x v="20"/>
    <n v="0"/>
    <x v="1"/>
  </r>
  <r>
    <d v="2025-05-29T00:00:00"/>
    <s v="Child"/>
    <x v="19"/>
    <n v="8"/>
    <n v="2"/>
    <n v="0"/>
    <n v="0"/>
    <n v="9"/>
    <x v="20"/>
    <n v="0"/>
    <x v="1"/>
  </r>
  <r>
    <d v="2025-06-26T00:00:00"/>
    <s v="Child"/>
    <x v="6"/>
    <n v="2"/>
    <n v="2"/>
    <n v="0"/>
    <n v="0"/>
    <n v="4"/>
    <x v="21"/>
    <n v="0"/>
    <x v="1"/>
  </r>
  <r>
    <d v="2025-06-26T00:00:00"/>
    <s v="Child"/>
    <x v="19"/>
    <n v="9"/>
    <n v="2"/>
    <n v="0"/>
    <n v="0"/>
    <n v="11"/>
    <x v="21"/>
    <n v="0"/>
    <x v="1"/>
  </r>
  <r>
    <d v="2025-07-31T00:00:00"/>
    <s v="Adult"/>
    <x v="25"/>
    <n v="131"/>
    <n v="2"/>
    <n v="0"/>
    <n v="0"/>
    <n v="132"/>
    <x v="22"/>
    <n v="0"/>
    <x v="1"/>
  </r>
  <r>
    <d v="2025-08-28T00:00:00"/>
    <s v="Child"/>
    <x v="19"/>
    <n v="10"/>
    <n v="2"/>
    <n v="0"/>
    <n v="0"/>
    <n v="12"/>
    <x v="23"/>
    <n v="0"/>
    <x v="1"/>
  </r>
  <r>
    <d v="2025-09-25T00:00:00"/>
    <s v="Child"/>
    <x v="21"/>
    <n v="9"/>
    <n v="2"/>
    <n v="0"/>
    <n v="0"/>
    <n v="11"/>
    <x v="24"/>
    <n v="0"/>
    <x v="1"/>
  </r>
  <r>
    <d v="2025-09-25T00:00:00"/>
    <s v="Child"/>
    <x v="19"/>
    <n v="10"/>
    <n v="2"/>
    <n v="0"/>
    <n v="0"/>
    <n v="12"/>
    <x v="24"/>
    <n v="0"/>
    <x v="1"/>
  </r>
  <r>
    <d v="2025-10-30T00:00:00"/>
    <s v="Child"/>
    <x v="21"/>
    <n v="11"/>
    <n v="2"/>
    <n v="0"/>
    <n v="0"/>
    <n v="13"/>
    <x v="25"/>
    <n v="0"/>
    <x v="1"/>
  </r>
  <r>
    <d v="2025-12-18T00:00:00"/>
    <s v="Child"/>
    <x v="7"/>
    <n v="2"/>
    <n v="2"/>
    <n v="0"/>
    <n v="0"/>
    <n v="3"/>
    <x v="27"/>
    <n v="0"/>
    <x v="1"/>
  </r>
  <r>
    <d v="2025-12-18T00:00:00"/>
    <s v="Child"/>
    <x v="24"/>
    <n v="14"/>
    <n v="2"/>
    <n v="0"/>
    <n v="0"/>
    <n v="15"/>
    <x v="27"/>
    <n v="0"/>
    <x v="1"/>
  </r>
  <r>
    <d v="2026-01-29T00:00:00"/>
    <s v="Adult"/>
    <x v="16"/>
    <n v="356"/>
    <n v="2"/>
    <n v="0"/>
    <n v="0"/>
    <n v="358"/>
    <x v="6"/>
    <n v="0"/>
    <x v="1"/>
  </r>
  <r>
    <d v="2026-01-29T00:00:00"/>
    <s v="Child"/>
    <x v="26"/>
    <n v="12"/>
    <n v="2"/>
    <n v="0"/>
    <n v="0"/>
    <n v="14"/>
    <x v="6"/>
    <n v="0"/>
    <x v="1"/>
  </r>
  <r>
    <d v="2026-01-29T00:00:00"/>
    <s v="Child"/>
    <x v="11"/>
    <n v="10"/>
    <n v="2"/>
    <n v="0"/>
    <n v="0"/>
    <n v="12"/>
    <x v="6"/>
    <n v="0"/>
    <x v="1"/>
  </r>
  <r>
    <d v="2026-01-29T00:00:00"/>
    <s v="Child"/>
    <x v="7"/>
    <n v="5"/>
    <n v="2"/>
    <n v="0"/>
    <n v="0"/>
    <n v="7"/>
    <x v="6"/>
    <n v="0"/>
    <x v="1"/>
  </r>
  <r>
    <d v="2026-01-29T00:00:00"/>
    <s v="Child"/>
    <x v="24"/>
    <n v="15"/>
    <n v="2"/>
    <n v="0"/>
    <n v="0"/>
    <n v="16"/>
    <x v="6"/>
    <n v="0"/>
    <x v="1"/>
  </r>
  <r>
    <d v="2026-02-26T00:00:00"/>
    <s v="Child"/>
    <x v="22"/>
    <n v="6"/>
    <n v="2"/>
    <n v="0"/>
    <n v="0"/>
    <n v="8"/>
    <x v="7"/>
    <n v="0"/>
    <x v="1"/>
  </r>
  <r>
    <d v="2026-02-26T00:00:00"/>
    <s v="Child"/>
    <x v="26"/>
    <n v="11"/>
    <n v="2"/>
    <n v="0"/>
    <n v="0"/>
    <n v="13"/>
    <x v="7"/>
    <n v="0"/>
    <x v="1"/>
  </r>
  <r>
    <d v="2026-02-26T00:00:00"/>
    <s v="Child"/>
    <x v="11"/>
    <n v="6"/>
    <n v="2"/>
    <n v="0"/>
    <n v="0"/>
    <n v="8"/>
    <x v="7"/>
    <n v="0"/>
    <x v="1"/>
  </r>
  <r>
    <d v="2026-02-26T00:00:00"/>
    <s v="Child"/>
    <x v="21"/>
    <n v="7"/>
    <n v="2"/>
    <n v="0"/>
    <n v="0"/>
    <n v="9"/>
    <x v="7"/>
    <n v="0"/>
    <x v="1"/>
  </r>
  <r>
    <d v="2026-02-26T00:00:00"/>
    <s v="Child"/>
    <x v="24"/>
    <n v="18"/>
    <n v="2"/>
    <n v="0"/>
    <n v="0"/>
    <n v="20"/>
    <x v="7"/>
    <n v="0"/>
    <x v="1"/>
  </r>
  <r>
    <d v="2026-03-26T00:00:00"/>
    <s v="Child"/>
    <x v="22"/>
    <n v="7"/>
    <n v="2"/>
    <n v="0"/>
    <n v="0"/>
    <n v="9"/>
    <x v="28"/>
    <n v="0"/>
    <x v="1"/>
  </r>
  <r>
    <d v="2026-03-26T00:00:00"/>
    <s v="Child"/>
    <x v="21"/>
    <n v="5"/>
    <n v="2"/>
    <n v="0"/>
    <n v="0"/>
    <n v="7"/>
    <x v="28"/>
    <n v="0"/>
    <x v="1"/>
  </r>
  <r>
    <d v="2026-03-26T00:00:00"/>
    <s v="Child"/>
    <x v="7"/>
    <n v="4"/>
    <n v="2"/>
    <n v="0"/>
    <n v="0"/>
    <n v="6"/>
    <x v="28"/>
    <n v="0"/>
    <x v="1"/>
  </r>
  <r>
    <d v="2026-04-30T00:00:00"/>
    <s v="Child"/>
    <x v="22"/>
    <n v="3"/>
    <n v="2"/>
    <n v="0"/>
    <n v="0"/>
    <n v="5"/>
    <x v="29"/>
    <n v="0"/>
    <x v="1"/>
  </r>
  <r>
    <d v="2026-04-30T00:00:00"/>
    <s v="Child"/>
    <x v="11"/>
    <n v="5"/>
    <n v="2"/>
    <n v="0"/>
    <n v="0"/>
    <n v="7"/>
    <x v="29"/>
    <n v="0"/>
    <x v="1"/>
  </r>
  <r>
    <d v="2026-04-30T00:00:00"/>
    <s v="Child"/>
    <x v="24"/>
    <n v="14"/>
    <n v="2"/>
    <n v="0"/>
    <n v="0"/>
    <n v="16"/>
    <x v="29"/>
    <n v="0"/>
    <x v="1"/>
  </r>
  <r>
    <d v="2026-05-28T00:00:00"/>
    <s v="Child"/>
    <x v="22"/>
    <n v="4"/>
    <n v="2"/>
    <n v="0"/>
    <n v="0"/>
    <n v="6"/>
    <x v="8"/>
    <n v="0"/>
    <x v="1"/>
  </r>
  <r>
    <d v="2026-05-28T00:00:00"/>
    <s v="Child"/>
    <x v="20"/>
    <n v="11"/>
    <n v="2"/>
    <n v="0"/>
    <n v="0"/>
    <n v="13"/>
    <x v="8"/>
    <n v="0"/>
    <x v="1"/>
  </r>
  <r>
    <d v="2026-05-28T00:00:00"/>
    <s v="Child"/>
    <x v="21"/>
    <n v="12"/>
    <n v="2"/>
    <n v="0"/>
    <n v="0"/>
    <n v="14"/>
    <x v="8"/>
    <n v="0"/>
    <x v="1"/>
  </r>
  <r>
    <d v="2026-05-28T00:00:00"/>
    <s v="Child"/>
    <x v="24"/>
    <n v="16"/>
    <n v="2"/>
    <n v="0"/>
    <n v="0"/>
    <n v="18"/>
    <x v="8"/>
    <n v="0"/>
    <x v="1"/>
  </r>
  <r>
    <d v="2026-06-25T00:00:00"/>
    <s v="Adult"/>
    <x v="9"/>
    <n v="14"/>
    <n v="2"/>
    <n v="0"/>
    <n v="0"/>
    <n v="16"/>
    <x v="9"/>
    <n v="0"/>
    <x v="1"/>
  </r>
  <r>
    <d v="2026-06-25T00:00:00"/>
    <s v="Child"/>
    <x v="29"/>
    <n v="44"/>
    <n v="2"/>
    <n v="0"/>
    <n v="0"/>
    <n v="45"/>
    <x v="9"/>
    <n v="0"/>
    <x v="1"/>
  </r>
  <r>
    <d v="2026-07-30T00:00:00"/>
    <s v="Child"/>
    <x v="26"/>
    <n v="19"/>
    <n v="2"/>
    <n v="0"/>
    <n v="0"/>
    <n v="21"/>
    <x v="10"/>
    <n v="0"/>
    <x v="1"/>
  </r>
  <r>
    <d v="2026-07-30T00:00:00"/>
    <s v="Child"/>
    <x v="29"/>
    <n v="43"/>
    <n v="2"/>
    <n v="0"/>
    <n v="0"/>
    <n v="44"/>
    <x v="10"/>
    <n v="0"/>
    <x v="1"/>
  </r>
  <r>
    <d v="2026-07-30T00:00:00"/>
    <s v="Child"/>
    <x v="7"/>
    <n v="2"/>
    <n v="2"/>
    <n v="0"/>
    <n v="0"/>
    <n v="3"/>
    <x v="10"/>
    <n v="0"/>
    <x v="1"/>
  </r>
  <r>
    <d v="2024-01-25T00:00:00"/>
    <s v="Child"/>
    <x v="6"/>
    <n v="58"/>
    <n v="1"/>
    <n v="0"/>
    <n v="0"/>
    <n v="59"/>
    <x v="12"/>
    <n v="0"/>
    <x v="0"/>
  </r>
  <r>
    <d v="2024-01-25T00:00:00"/>
    <s v="Child"/>
    <x v="0"/>
    <n v="1"/>
    <n v="1"/>
    <n v="0"/>
    <n v="0"/>
    <n v="2"/>
    <x v="12"/>
    <n v="0"/>
    <x v="0"/>
  </r>
  <r>
    <d v="2024-01-25T00:00:00"/>
    <s v="Child"/>
    <x v="1"/>
    <n v="3"/>
    <n v="1"/>
    <n v="0"/>
    <n v="0"/>
    <n v="4"/>
    <x v="12"/>
    <n v="0"/>
    <x v="0"/>
  </r>
  <r>
    <d v="2024-02-29T00:00:00"/>
    <s v="Child"/>
    <x v="0"/>
    <n v="1"/>
    <n v="1"/>
    <n v="0"/>
    <n v="0"/>
    <n v="2"/>
    <x v="13"/>
    <n v="0"/>
    <x v="0"/>
  </r>
  <r>
    <d v="2024-03-28T00:00:00"/>
    <s v="Child"/>
    <x v="0"/>
    <n v="1"/>
    <n v="1"/>
    <n v="0"/>
    <n v="0"/>
    <n v="2"/>
    <x v="14"/>
    <n v="0"/>
    <x v="0"/>
  </r>
  <r>
    <d v="2024-07-25T00:00:00"/>
    <s v="Child"/>
    <x v="10"/>
    <n v="13"/>
    <n v="1"/>
    <n v="0"/>
    <n v="0"/>
    <n v="14"/>
    <x v="16"/>
    <n v="0"/>
    <x v="0"/>
  </r>
  <r>
    <d v="2024-08-29T00:00:00"/>
    <s v="Child"/>
    <x v="15"/>
    <n v="9"/>
    <n v="1"/>
    <n v="0"/>
    <n v="0"/>
    <n v="10"/>
    <x v="2"/>
    <n v="0"/>
    <x v="0"/>
  </r>
  <r>
    <d v="2024-08-29T00:00:00"/>
    <s v="Child"/>
    <x v="10"/>
    <n v="16"/>
    <n v="1"/>
    <n v="0"/>
    <n v="0"/>
    <n v="17"/>
    <x v="2"/>
    <n v="0"/>
    <x v="0"/>
  </r>
  <r>
    <d v="2024-09-26T00:00:00"/>
    <s v="Child"/>
    <x v="15"/>
    <n v="8"/>
    <n v="1"/>
    <n v="0"/>
    <n v="0"/>
    <n v="9"/>
    <x v="17"/>
    <n v="0"/>
    <x v="0"/>
  </r>
  <r>
    <d v="2024-10-31T00:00:00"/>
    <s v="Child"/>
    <x v="0"/>
    <n v="3"/>
    <n v="1"/>
    <n v="0"/>
    <n v="0"/>
    <n v="4"/>
    <x v="34"/>
    <n v="0"/>
    <x v="0"/>
  </r>
  <r>
    <d v="2025-04-24T00:00:00"/>
    <s v="Adult"/>
    <x v="25"/>
    <n v="813"/>
    <n v="1"/>
    <n v="0"/>
    <n v="0"/>
    <n v="814"/>
    <x v="5"/>
    <n v="0"/>
    <x v="0"/>
  </r>
  <r>
    <d v="2025-06-26T00:00:00"/>
    <s v="Child"/>
    <x v="6"/>
    <n v="29"/>
    <n v="1"/>
    <n v="0"/>
    <n v="0"/>
    <n v="30"/>
    <x v="21"/>
    <n v="0"/>
    <x v="0"/>
  </r>
  <r>
    <d v="2025-07-31T00:00:00"/>
    <s v="Child"/>
    <x v="6"/>
    <n v="25"/>
    <n v="1"/>
    <n v="0"/>
    <n v="0"/>
    <n v="26"/>
    <x v="22"/>
    <n v="0"/>
    <x v="0"/>
  </r>
  <r>
    <d v="2025-07-31T00:00:00"/>
    <s v="Child"/>
    <x v="2"/>
    <n v="10"/>
    <n v="1"/>
    <n v="0"/>
    <n v="0"/>
    <n v="11"/>
    <x v="22"/>
    <n v="0"/>
    <x v="0"/>
  </r>
  <r>
    <d v="2025-08-28T00:00:00"/>
    <s v="Child"/>
    <x v="6"/>
    <n v="23"/>
    <n v="1"/>
    <n v="0"/>
    <n v="0"/>
    <n v="24"/>
    <x v="23"/>
    <n v="0"/>
    <x v="0"/>
  </r>
  <r>
    <d v="2025-08-28T00:00:00"/>
    <s v="Child"/>
    <x v="2"/>
    <n v="8"/>
    <n v="1"/>
    <n v="0"/>
    <n v="0"/>
    <n v="9"/>
    <x v="23"/>
    <n v="0"/>
    <x v="0"/>
  </r>
  <r>
    <d v="2025-08-28T00:00:00"/>
    <s v="Child"/>
    <x v="15"/>
    <n v="10"/>
    <n v="1"/>
    <n v="0"/>
    <n v="0"/>
    <n v="11"/>
    <x v="23"/>
    <n v="0"/>
    <x v="0"/>
  </r>
  <r>
    <d v="2025-08-28T00:00:00"/>
    <s v="Child"/>
    <x v="10"/>
    <n v="26"/>
    <n v="1"/>
    <n v="0"/>
    <n v="0"/>
    <n v="27"/>
    <x v="23"/>
    <n v="0"/>
    <x v="0"/>
  </r>
  <r>
    <d v="2025-09-25T00:00:00"/>
    <s v="Child"/>
    <x v="6"/>
    <n v="35"/>
    <n v="1"/>
    <n v="0"/>
    <n v="0"/>
    <n v="36"/>
    <x v="24"/>
    <n v="0"/>
    <x v="0"/>
  </r>
  <r>
    <d v="2025-09-25T00:00:00"/>
    <s v="Child"/>
    <x v="2"/>
    <n v="5"/>
    <n v="1"/>
    <n v="0"/>
    <n v="0"/>
    <n v="6"/>
    <x v="24"/>
    <n v="0"/>
    <x v="0"/>
  </r>
  <r>
    <d v="2025-10-30T00:00:00"/>
    <s v="Child"/>
    <x v="9"/>
    <n v="29"/>
    <n v="1"/>
    <n v="0"/>
    <n v="0"/>
    <n v="30"/>
    <x v="25"/>
    <n v="0"/>
    <x v="0"/>
  </r>
  <r>
    <d v="2025-10-30T00:00:00"/>
    <s v="Child"/>
    <x v="2"/>
    <n v="4"/>
    <n v="1"/>
    <n v="0"/>
    <n v="0"/>
    <n v="5"/>
    <x v="25"/>
    <n v="0"/>
    <x v="0"/>
  </r>
  <r>
    <d v="2025-12-18T00:00:00"/>
    <s v="Child"/>
    <x v="2"/>
    <n v="6"/>
    <n v="1"/>
    <n v="0"/>
    <n v="0"/>
    <n v="7"/>
    <x v="27"/>
    <n v="0"/>
    <x v="0"/>
  </r>
  <r>
    <d v="2025-12-18T00:00:00"/>
    <s v="Child"/>
    <x v="0"/>
    <n v="1"/>
    <n v="1"/>
    <n v="0"/>
    <n v="0"/>
    <n v="2"/>
    <x v="27"/>
    <n v="0"/>
    <x v="0"/>
  </r>
  <r>
    <d v="2026-01-29T00:00:00"/>
    <s v="Child"/>
    <x v="15"/>
    <n v="9"/>
    <n v="1"/>
    <n v="0"/>
    <n v="0"/>
    <n v="10"/>
    <x v="6"/>
    <n v="0"/>
    <x v="0"/>
  </r>
  <r>
    <d v="2026-07-30T00:00:00"/>
    <s v="Child"/>
    <x v="9"/>
    <n v="35"/>
    <n v="1"/>
    <n v="0"/>
    <n v="0"/>
    <n v="36"/>
    <x v="10"/>
    <n v="0"/>
    <x v="0"/>
  </r>
  <r>
    <d v="2026-08-27T00:00:00"/>
    <s v="Child"/>
    <x v="9"/>
    <n v="37"/>
    <n v="1"/>
    <n v="0"/>
    <n v="0"/>
    <n v="38"/>
    <x v="11"/>
    <n v="0"/>
    <x v="0"/>
  </r>
  <r>
    <d v="2024-02-29T00:00:00"/>
    <s v="Adult"/>
    <x v="19"/>
    <n v="349"/>
    <n v="1"/>
    <n v="0"/>
    <n v="0"/>
    <n v="350"/>
    <x v="13"/>
    <n v="0"/>
    <x v="1"/>
  </r>
  <r>
    <d v="2024-02-29T00:00:00"/>
    <s v="Child"/>
    <x v="16"/>
    <n v="17"/>
    <n v="1"/>
    <n v="0"/>
    <n v="0"/>
    <n v="18"/>
    <x v="13"/>
    <n v="0"/>
    <x v="1"/>
  </r>
  <r>
    <d v="2024-02-29T00:00:00"/>
    <s v="Child"/>
    <x v="5"/>
    <n v="1"/>
    <n v="1"/>
    <n v="0"/>
    <n v="0"/>
    <n v="2"/>
    <x v="13"/>
    <n v="0"/>
    <x v="1"/>
  </r>
  <r>
    <d v="2024-04-25T00:00:00"/>
    <s v="Child"/>
    <x v="20"/>
    <n v="3"/>
    <n v="1"/>
    <n v="0"/>
    <n v="0"/>
    <n v="4"/>
    <x v="15"/>
    <n v="0"/>
    <x v="1"/>
  </r>
  <r>
    <d v="2024-05-30T00:00:00"/>
    <s v="Adult"/>
    <x v="3"/>
    <n v="465"/>
    <n v="1"/>
    <n v="0"/>
    <n v="0"/>
    <n v="466"/>
    <x v="0"/>
    <n v="0"/>
    <x v="1"/>
  </r>
  <r>
    <d v="2024-05-30T00:00:00"/>
    <s v="Child"/>
    <x v="22"/>
    <n v="7"/>
    <n v="1"/>
    <n v="0"/>
    <n v="0"/>
    <n v="8"/>
    <x v="0"/>
    <n v="0"/>
    <x v="1"/>
  </r>
  <r>
    <d v="2024-05-30T00:00:00"/>
    <s v="Child"/>
    <x v="20"/>
    <n v="5"/>
    <n v="1"/>
    <n v="0"/>
    <n v="0"/>
    <n v="6"/>
    <x v="0"/>
    <n v="0"/>
    <x v="1"/>
  </r>
  <r>
    <d v="2024-05-30T00:00:00"/>
    <s v="Child"/>
    <x v="1"/>
    <n v="0"/>
    <n v="1"/>
    <n v="0"/>
    <n v="0"/>
    <n v="1"/>
    <x v="0"/>
    <n v="0"/>
    <x v="1"/>
  </r>
  <r>
    <d v="2024-06-27T00:00:00"/>
    <s v="Child"/>
    <x v="1"/>
    <n v="0"/>
    <n v="1"/>
    <n v="0"/>
    <n v="0"/>
    <n v="1"/>
    <x v="1"/>
    <n v="0"/>
    <x v="1"/>
  </r>
  <r>
    <d v="2024-07-25T00:00:00"/>
    <s v="Child"/>
    <x v="1"/>
    <n v="0"/>
    <n v="1"/>
    <n v="0"/>
    <n v="0"/>
    <n v="1"/>
    <x v="16"/>
    <n v="0"/>
    <x v="1"/>
  </r>
  <r>
    <d v="2024-08-29T00:00:00"/>
    <s v="Adult"/>
    <x v="3"/>
    <n v="361"/>
    <n v="1"/>
    <n v="0"/>
    <n v="0"/>
    <n v="362"/>
    <x v="2"/>
    <n v="0"/>
    <x v="1"/>
  </r>
  <r>
    <d v="2024-11-28T00:00:00"/>
    <s v="Adult"/>
    <x v="3"/>
    <n v="427"/>
    <n v="1"/>
    <n v="0"/>
    <n v="0"/>
    <n v="428"/>
    <x v="3"/>
    <n v="0"/>
    <x v="1"/>
  </r>
  <r>
    <d v="2025-01-30T00:00:00"/>
    <s v="Child"/>
    <x v="16"/>
    <n v="14"/>
    <n v="1"/>
    <n v="0"/>
    <n v="0"/>
    <n v="15"/>
    <x v="18"/>
    <n v="0"/>
    <x v="1"/>
  </r>
  <r>
    <d v="2025-01-30T00:00:00"/>
    <s v="Child"/>
    <x v="13"/>
    <n v="9"/>
    <n v="1"/>
    <n v="0"/>
    <n v="0"/>
    <n v="10"/>
    <x v="18"/>
    <n v="0"/>
    <x v="1"/>
  </r>
  <r>
    <d v="2025-01-30T00:00:00"/>
    <s v="Child"/>
    <x v="22"/>
    <n v="3"/>
    <n v="1"/>
    <n v="0"/>
    <n v="0"/>
    <n v="4"/>
    <x v="18"/>
    <n v="0"/>
    <x v="1"/>
  </r>
  <r>
    <d v="2025-02-27T00:00:00"/>
    <s v="Child"/>
    <x v="20"/>
    <n v="0"/>
    <n v="1"/>
    <n v="0"/>
    <n v="0"/>
    <n v="1"/>
    <x v="35"/>
    <n v="0"/>
    <x v="1"/>
  </r>
  <r>
    <d v="2025-02-27T00:00:00"/>
    <s v="Child"/>
    <x v="21"/>
    <n v="18"/>
    <n v="1"/>
    <n v="0"/>
    <n v="0"/>
    <n v="19"/>
    <x v="35"/>
    <n v="0"/>
    <x v="1"/>
  </r>
  <r>
    <d v="2025-03-27T00:00:00"/>
    <s v="Child"/>
    <x v="16"/>
    <n v="18"/>
    <n v="1"/>
    <n v="0"/>
    <n v="0"/>
    <n v="19"/>
    <x v="19"/>
    <n v="0"/>
    <x v="1"/>
  </r>
  <r>
    <d v="2025-04-24T00:00:00"/>
    <s v="Child"/>
    <x v="11"/>
    <n v="3"/>
    <n v="1"/>
    <n v="0"/>
    <n v="0"/>
    <n v="4"/>
    <x v="5"/>
    <n v="0"/>
    <x v="1"/>
  </r>
  <r>
    <d v="2025-05-29T00:00:00"/>
    <s v="Child"/>
    <x v="6"/>
    <n v="1"/>
    <n v="1"/>
    <n v="0"/>
    <n v="0"/>
    <n v="2"/>
    <x v="20"/>
    <n v="0"/>
    <x v="1"/>
  </r>
  <r>
    <d v="2025-05-29T00:00:00"/>
    <s v="Child"/>
    <x v="11"/>
    <n v="1"/>
    <n v="1"/>
    <n v="0"/>
    <n v="0"/>
    <n v="2"/>
    <x v="20"/>
    <n v="0"/>
    <x v="1"/>
  </r>
  <r>
    <d v="2025-06-26T00:00:00"/>
    <s v="Adult"/>
    <x v="25"/>
    <n v="142"/>
    <n v="1"/>
    <n v="0"/>
    <n v="0"/>
    <n v="143"/>
    <x v="21"/>
    <n v="0"/>
    <x v="1"/>
  </r>
  <r>
    <d v="2025-06-26T00:00:00"/>
    <s v="Child"/>
    <x v="22"/>
    <n v="8"/>
    <n v="1"/>
    <n v="0"/>
    <n v="0"/>
    <n v="9"/>
    <x v="21"/>
    <n v="0"/>
    <x v="1"/>
  </r>
  <r>
    <d v="2025-06-26T00:00:00"/>
    <s v="Child"/>
    <x v="11"/>
    <n v="2"/>
    <n v="1"/>
    <n v="0"/>
    <n v="0"/>
    <n v="3"/>
    <x v="21"/>
    <n v="0"/>
    <x v="1"/>
  </r>
  <r>
    <d v="2025-07-31T00:00:00"/>
    <s v="Child"/>
    <x v="16"/>
    <n v="20"/>
    <n v="1"/>
    <n v="0"/>
    <n v="0"/>
    <n v="21"/>
    <x v="22"/>
    <n v="0"/>
    <x v="1"/>
  </r>
  <r>
    <d v="2025-07-31T00:00:00"/>
    <s v="Child"/>
    <x v="11"/>
    <n v="3"/>
    <n v="1"/>
    <n v="0"/>
    <n v="0"/>
    <n v="4"/>
    <x v="22"/>
    <n v="0"/>
    <x v="1"/>
  </r>
  <r>
    <d v="2025-07-31T00:00:00"/>
    <s v="Child"/>
    <x v="5"/>
    <n v="7"/>
    <n v="1"/>
    <n v="0"/>
    <n v="0"/>
    <n v="8"/>
    <x v="22"/>
    <n v="0"/>
    <x v="1"/>
  </r>
  <r>
    <d v="2025-07-31T00:00:00"/>
    <s v="Child"/>
    <x v="19"/>
    <n v="12"/>
    <n v="1"/>
    <n v="0"/>
    <n v="0"/>
    <n v="13"/>
    <x v="22"/>
    <n v="0"/>
    <x v="1"/>
  </r>
  <r>
    <d v="2025-08-28T00:00:00"/>
    <s v="Child"/>
    <x v="6"/>
    <n v="3"/>
    <n v="1"/>
    <n v="0"/>
    <n v="0"/>
    <n v="4"/>
    <x v="23"/>
    <n v="0"/>
    <x v="1"/>
  </r>
  <r>
    <d v="2025-08-28T00:00:00"/>
    <s v="Child"/>
    <x v="5"/>
    <n v="8"/>
    <n v="1"/>
    <n v="0"/>
    <n v="0"/>
    <n v="9"/>
    <x v="23"/>
    <n v="0"/>
    <x v="1"/>
  </r>
  <r>
    <d v="2025-08-28T00:00:00"/>
    <s v="Child"/>
    <x v="8"/>
    <n v="21"/>
    <n v="1"/>
    <n v="0"/>
    <n v="0"/>
    <n v="22"/>
    <x v="23"/>
    <n v="0"/>
    <x v="1"/>
  </r>
  <r>
    <d v="2025-10-30T00:00:00"/>
    <s v="Child"/>
    <x v="13"/>
    <n v="2"/>
    <n v="1"/>
    <n v="0"/>
    <n v="0"/>
    <n v="3"/>
    <x v="25"/>
    <n v="0"/>
    <x v="1"/>
  </r>
  <r>
    <d v="2025-10-30T00:00:00"/>
    <s v="Child"/>
    <x v="7"/>
    <n v="3"/>
    <n v="1"/>
    <n v="0"/>
    <n v="0"/>
    <n v="4"/>
    <x v="25"/>
    <n v="0"/>
    <x v="1"/>
  </r>
  <r>
    <d v="2025-10-30T00:00:00"/>
    <s v="Child"/>
    <x v="19"/>
    <n v="7"/>
    <n v="1"/>
    <n v="0"/>
    <n v="0"/>
    <n v="8"/>
    <x v="25"/>
    <n v="0"/>
    <x v="1"/>
  </r>
  <r>
    <d v="2025-11-27T00:00:00"/>
    <s v="Child"/>
    <x v="7"/>
    <n v="3"/>
    <n v="1"/>
    <n v="0"/>
    <n v="0"/>
    <n v="4"/>
    <x v="26"/>
    <n v="0"/>
    <x v="1"/>
  </r>
  <r>
    <d v="2025-11-27T00:00:00"/>
    <s v="Child"/>
    <x v="5"/>
    <n v="6"/>
    <n v="1"/>
    <n v="0"/>
    <n v="0"/>
    <n v="7"/>
    <x v="26"/>
    <n v="0"/>
    <x v="1"/>
  </r>
  <r>
    <d v="2026-01-29T00:00:00"/>
    <s v="Adult"/>
    <x v="9"/>
    <n v="32"/>
    <n v="1"/>
    <n v="0"/>
    <n v="0"/>
    <n v="33"/>
    <x v="6"/>
    <n v="0"/>
    <x v="1"/>
  </r>
  <r>
    <d v="2026-01-29T00:00:00"/>
    <s v="Child"/>
    <x v="22"/>
    <n v="4"/>
    <n v="1"/>
    <n v="0"/>
    <n v="0"/>
    <n v="5"/>
    <x v="6"/>
    <n v="0"/>
    <x v="1"/>
  </r>
  <r>
    <d v="2026-02-26T00:00:00"/>
    <s v="Child"/>
    <x v="7"/>
    <n v="5"/>
    <n v="1"/>
    <n v="0"/>
    <n v="0"/>
    <n v="6"/>
    <x v="7"/>
    <n v="0"/>
    <x v="1"/>
  </r>
  <r>
    <d v="2026-03-26T00:00:00"/>
    <s v="Child"/>
    <x v="26"/>
    <n v="16"/>
    <n v="1"/>
    <n v="0"/>
    <n v="0"/>
    <n v="17"/>
    <x v="28"/>
    <n v="0"/>
    <x v="1"/>
  </r>
  <r>
    <d v="2026-05-28T00:00:00"/>
    <s v="Adult"/>
    <x v="25"/>
    <n v="116"/>
    <n v="1"/>
    <n v="0"/>
    <n v="0"/>
    <n v="117"/>
    <x v="8"/>
    <n v="0"/>
    <x v="1"/>
  </r>
  <r>
    <d v="2026-06-25T00:00:00"/>
    <s v="Child"/>
    <x v="26"/>
    <n v="19"/>
    <n v="1"/>
    <n v="0"/>
    <n v="0"/>
    <n v="20"/>
    <x v="9"/>
    <n v="0"/>
    <x v="1"/>
  </r>
  <r>
    <d v="2026-06-25T00:00:00"/>
    <s v="Child"/>
    <x v="20"/>
    <n v="6"/>
    <n v="1"/>
    <n v="0"/>
    <n v="0"/>
    <n v="7"/>
    <x v="9"/>
    <n v="0"/>
    <x v="1"/>
  </r>
  <r>
    <d v="2026-08-27T00:00:00"/>
    <s v="Child"/>
    <x v="26"/>
    <n v="23"/>
    <n v="1"/>
    <n v="0"/>
    <n v="0"/>
    <n v="24"/>
    <x v="11"/>
    <n v="0"/>
    <x v="1"/>
  </r>
  <r>
    <d v="2026-08-27T00:00:00"/>
    <s v="Child"/>
    <x v="29"/>
    <n v="48"/>
    <n v="1"/>
    <n v="0"/>
    <n v="0"/>
    <n v="49"/>
    <x v="11"/>
    <n v="0"/>
    <x v="1"/>
  </r>
  <r>
    <d v="2023-01-26T00:00:00"/>
    <s v="Child"/>
    <x v="6"/>
    <n v="43"/>
    <n v="12"/>
    <n v="0"/>
    <n v="0"/>
    <n v="55"/>
    <x v="36"/>
    <n v="0"/>
    <x v="0"/>
  </r>
  <r>
    <d v="2023-01-26T00:00:00"/>
    <s v="Child"/>
    <x v="14"/>
    <n v="58"/>
    <n v="13"/>
    <n v="0"/>
    <n v="0"/>
    <n v="71"/>
    <x v="36"/>
    <n v="0"/>
    <x v="0"/>
  </r>
  <r>
    <d v="2023-01-26T00:00:00"/>
    <s v="Child"/>
    <x v="10"/>
    <n v="28"/>
    <n v="4"/>
    <n v="0"/>
    <n v="0"/>
    <n v="32"/>
    <x v="36"/>
    <n v="0"/>
    <x v="0"/>
  </r>
  <r>
    <d v="2023-01-26T00:00:00"/>
    <s v="Child"/>
    <x v="24"/>
    <n v="530"/>
    <n v="263"/>
    <n v="0"/>
    <n v="0"/>
    <n v="792"/>
    <x v="36"/>
    <n v="0"/>
    <x v="0"/>
  </r>
  <r>
    <d v="2023-02-23T00:00:00"/>
    <s v="Child"/>
    <x v="9"/>
    <n v="29"/>
    <n v="5"/>
    <n v="0"/>
    <n v="0"/>
    <n v="34"/>
    <x v="37"/>
    <n v="0"/>
    <x v="0"/>
  </r>
  <r>
    <d v="2023-02-23T00:00:00"/>
    <s v="Child"/>
    <x v="14"/>
    <n v="61"/>
    <n v="13"/>
    <n v="0"/>
    <n v="0"/>
    <n v="74"/>
    <x v="37"/>
    <n v="0"/>
    <x v="0"/>
  </r>
  <r>
    <d v="2023-03-30T00:00:00"/>
    <s v="Child"/>
    <x v="9"/>
    <n v="30"/>
    <n v="7"/>
    <n v="0"/>
    <n v="0"/>
    <n v="37"/>
    <x v="38"/>
    <n v="0"/>
    <x v="0"/>
  </r>
  <r>
    <d v="2023-03-30T00:00:00"/>
    <s v="Child"/>
    <x v="6"/>
    <n v="45"/>
    <n v="4"/>
    <n v="0"/>
    <n v="0"/>
    <n v="49"/>
    <x v="38"/>
    <n v="0"/>
    <x v="0"/>
  </r>
  <r>
    <d v="2023-03-30T00:00:00"/>
    <s v="Child"/>
    <x v="14"/>
    <n v="61"/>
    <n v="12"/>
    <n v="0"/>
    <n v="0"/>
    <n v="73"/>
    <x v="38"/>
    <n v="0"/>
    <x v="0"/>
  </r>
  <r>
    <d v="2023-03-30T00:00:00"/>
    <s v="Child"/>
    <x v="11"/>
    <n v="19"/>
    <n v="4"/>
    <n v="0"/>
    <n v="0"/>
    <n v="23"/>
    <x v="38"/>
    <n v="0"/>
    <x v="0"/>
  </r>
  <r>
    <d v="2023-04-27T00:00:00"/>
    <s v="Adult"/>
    <x v="10"/>
    <n v="2843"/>
    <n v="114"/>
    <n v="0"/>
    <n v="0"/>
    <n v="2957"/>
    <x v="39"/>
    <n v="0"/>
    <x v="0"/>
  </r>
  <r>
    <d v="2023-04-27T00:00:00"/>
    <s v="Child"/>
    <x v="9"/>
    <n v="30"/>
    <n v="10"/>
    <n v="0"/>
    <n v="0"/>
    <n v="40"/>
    <x v="39"/>
    <n v="0"/>
    <x v="0"/>
  </r>
  <r>
    <d v="2023-04-27T00:00:00"/>
    <s v="Child"/>
    <x v="6"/>
    <n v="49"/>
    <n v="7"/>
    <n v="0"/>
    <n v="0"/>
    <n v="56"/>
    <x v="39"/>
    <n v="0"/>
    <x v="0"/>
  </r>
  <r>
    <d v="2023-04-27T00:00:00"/>
    <s v="Child"/>
    <x v="11"/>
    <n v="18"/>
    <n v="4"/>
    <n v="0"/>
    <n v="0"/>
    <n v="22"/>
    <x v="39"/>
    <n v="0"/>
    <x v="0"/>
  </r>
  <r>
    <d v="2023-04-27T00:00:00"/>
    <s v="Child"/>
    <x v="10"/>
    <n v="29"/>
    <n v="6"/>
    <n v="0"/>
    <n v="0"/>
    <n v="35"/>
    <x v="39"/>
    <n v="0"/>
    <x v="0"/>
  </r>
  <r>
    <d v="2023-05-25T00:00:00"/>
    <s v="Adult"/>
    <x v="10"/>
    <n v="2926"/>
    <n v="68"/>
    <n v="0"/>
    <n v="0"/>
    <n v="2994"/>
    <x v="40"/>
    <n v="0"/>
    <x v="0"/>
  </r>
  <r>
    <d v="2023-05-25T00:00:00"/>
    <s v="Child"/>
    <x v="23"/>
    <n v="67"/>
    <n v="11"/>
    <n v="0"/>
    <n v="0"/>
    <n v="79"/>
    <x v="40"/>
    <n v="0"/>
    <x v="0"/>
  </r>
  <r>
    <d v="2023-05-25T00:00:00"/>
    <s v="Child"/>
    <x v="9"/>
    <n v="35"/>
    <n v="9"/>
    <n v="0"/>
    <n v="0"/>
    <n v="44"/>
    <x v="40"/>
    <n v="0"/>
    <x v="0"/>
  </r>
  <r>
    <d v="2023-05-25T00:00:00"/>
    <s v="Child"/>
    <x v="6"/>
    <n v="48"/>
    <n v="7"/>
    <n v="0"/>
    <n v="0"/>
    <n v="55"/>
    <x v="40"/>
    <n v="0"/>
    <x v="0"/>
  </r>
  <r>
    <d v="2023-05-25T00:00:00"/>
    <s v="Child"/>
    <x v="11"/>
    <n v="20"/>
    <n v="4"/>
    <n v="0"/>
    <n v="0"/>
    <n v="23"/>
    <x v="40"/>
    <n v="0"/>
    <x v="0"/>
  </r>
  <r>
    <d v="2023-06-29T00:00:00"/>
    <s v="Adult"/>
    <x v="10"/>
    <n v="3126"/>
    <n v="48"/>
    <n v="0"/>
    <n v="0"/>
    <n v="3174"/>
    <x v="30"/>
    <n v="0"/>
    <x v="0"/>
  </r>
  <r>
    <d v="2023-06-29T00:00:00"/>
    <s v="Child"/>
    <x v="23"/>
    <n v="65"/>
    <n v="15"/>
    <n v="0"/>
    <n v="0"/>
    <n v="79"/>
    <x v="30"/>
    <n v="0"/>
    <x v="0"/>
  </r>
  <r>
    <d v="2023-06-29T00:00:00"/>
    <s v="Child"/>
    <x v="9"/>
    <n v="40"/>
    <n v="9"/>
    <n v="0"/>
    <n v="0"/>
    <n v="49"/>
    <x v="30"/>
    <n v="0"/>
    <x v="0"/>
  </r>
  <r>
    <d v="2023-07-27T00:00:00"/>
    <s v="Child"/>
    <x v="23"/>
    <n v="61"/>
    <n v="16"/>
    <n v="0"/>
    <n v="0"/>
    <n v="77"/>
    <x v="31"/>
    <n v="0"/>
    <x v="0"/>
  </r>
  <r>
    <d v="2023-07-27T00:00:00"/>
    <s v="Child"/>
    <x v="9"/>
    <n v="38"/>
    <n v="16"/>
    <n v="0"/>
    <n v="0"/>
    <n v="54"/>
    <x v="31"/>
    <n v="0"/>
    <x v="0"/>
  </r>
  <r>
    <d v="2023-07-27T00:00:00"/>
    <s v="Child"/>
    <x v="13"/>
    <n v="61"/>
    <n v="4"/>
    <n v="0"/>
    <n v="0"/>
    <n v="65"/>
    <x v="31"/>
    <n v="0"/>
    <x v="0"/>
  </r>
  <r>
    <d v="2023-07-27T00:00:00"/>
    <s v="Child"/>
    <x v="14"/>
    <n v="54"/>
    <n v="19"/>
    <n v="0"/>
    <n v="0"/>
    <n v="73"/>
    <x v="31"/>
    <n v="0"/>
    <x v="0"/>
  </r>
  <r>
    <d v="2023-07-27T00:00:00"/>
    <s v="Child"/>
    <x v="12"/>
    <n v="28"/>
    <n v="5"/>
    <n v="0"/>
    <n v="0"/>
    <n v="33"/>
    <x v="31"/>
    <n v="0"/>
    <x v="0"/>
  </r>
  <r>
    <d v="2023-08-31T00:00:00"/>
    <s v="Adult"/>
    <x v="10"/>
    <n v="3335"/>
    <n v="188"/>
    <n v="0"/>
    <n v="0"/>
    <n v="3523"/>
    <x v="32"/>
    <n v="0"/>
    <x v="0"/>
  </r>
  <r>
    <d v="2023-08-31T00:00:00"/>
    <s v="Child"/>
    <x v="9"/>
    <n v="31"/>
    <n v="16"/>
    <n v="0"/>
    <n v="0"/>
    <n v="47"/>
    <x v="32"/>
    <n v="0"/>
    <x v="0"/>
  </r>
  <r>
    <d v="2023-08-31T00:00:00"/>
    <s v="Child"/>
    <x v="13"/>
    <n v="50"/>
    <n v="15"/>
    <n v="0"/>
    <n v="0"/>
    <n v="65"/>
    <x v="32"/>
    <n v="0"/>
    <x v="0"/>
  </r>
  <r>
    <d v="2023-08-31T00:00:00"/>
    <s v="Child"/>
    <x v="28"/>
    <n v="11"/>
    <n v="7"/>
    <n v="0"/>
    <n v="0"/>
    <n v="18"/>
    <x v="32"/>
    <n v="0"/>
    <x v="0"/>
  </r>
  <r>
    <d v="2023-09-28T00:00:00"/>
    <s v="Adult"/>
    <x v="10"/>
    <n v="3283"/>
    <n v="231"/>
    <n v="0"/>
    <n v="0"/>
    <n v="3514"/>
    <x v="33"/>
    <n v="0"/>
    <x v="0"/>
  </r>
  <r>
    <d v="2023-09-28T00:00:00"/>
    <s v="Child"/>
    <x v="23"/>
    <n v="40"/>
    <n v="15"/>
    <n v="0"/>
    <n v="0"/>
    <n v="55"/>
    <x v="33"/>
    <n v="0"/>
    <x v="0"/>
  </r>
  <r>
    <d v="2023-09-28T00:00:00"/>
    <s v="Child"/>
    <x v="9"/>
    <n v="31"/>
    <n v="19"/>
    <n v="0"/>
    <n v="0"/>
    <n v="50"/>
    <x v="33"/>
    <n v="0"/>
    <x v="0"/>
  </r>
  <r>
    <d v="2023-09-28T00:00:00"/>
    <s v="Child"/>
    <x v="13"/>
    <n v="36"/>
    <n v="14"/>
    <n v="0"/>
    <n v="0"/>
    <n v="50"/>
    <x v="33"/>
    <n v="0"/>
    <x v="0"/>
  </r>
  <r>
    <d v="2023-09-28T00:00:00"/>
    <s v="Child"/>
    <x v="14"/>
    <n v="57"/>
    <n v="16"/>
    <n v="0"/>
    <n v="0"/>
    <n v="73"/>
    <x v="33"/>
    <n v="0"/>
    <x v="0"/>
  </r>
  <r>
    <d v="2023-09-28T00:00:00"/>
    <s v="Child"/>
    <x v="11"/>
    <n v="18"/>
    <n v="5"/>
    <n v="0"/>
    <n v="0"/>
    <n v="24"/>
    <x v="33"/>
    <n v="0"/>
    <x v="0"/>
  </r>
  <r>
    <d v="2023-09-28T00:00:00"/>
    <s v="Child"/>
    <x v="28"/>
    <n v="14"/>
    <n v="5"/>
    <n v="0"/>
    <n v="0"/>
    <n v="19"/>
    <x v="33"/>
    <n v="0"/>
    <x v="0"/>
  </r>
  <r>
    <d v="2023-09-28T00:00:00"/>
    <s v="Child"/>
    <x v="12"/>
    <n v="17"/>
    <n v="3"/>
    <n v="0"/>
    <n v="0"/>
    <n v="20"/>
    <x v="33"/>
    <n v="0"/>
    <x v="0"/>
  </r>
  <r>
    <d v="2023-10-26T00:00:00"/>
    <s v="Child"/>
    <x v="23"/>
    <n v="39"/>
    <n v="12"/>
    <n v="0"/>
    <n v="0"/>
    <n v="51"/>
    <x v="41"/>
    <n v="0"/>
    <x v="0"/>
  </r>
  <r>
    <d v="2023-10-26T00:00:00"/>
    <s v="Child"/>
    <x v="9"/>
    <n v="37"/>
    <n v="18"/>
    <n v="0"/>
    <n v="0"/>
    <n v="55"/>
    <x v="41"/>
    <n v="0"/>
    <x v="0"/>
  </r>
  <r>
    <d v="2023-10-26T00:00:00"/>
    <s v="Child"/>
    <x v="14"/>
    <n v="57"/>
    <n v="17"/>
    <n v="0"/>
    <n v="0"/>
    <n v="74"/>
    <x v="41"/>
    <n v="0"/>
    <x v="0"/>
  </r>
  <r>
    <d v="2023-10-26T00:00:00"/>
    <s v="Child"/>
    <x v="12"/>
    <n v="16"/>
    <n v="7"/>
    <n v="0"/>
    <n v="0"/>
    <n v="23"/>
    <x v="41"/>
    <n v="0"/>
    <x v="0"/>
  </r>
  <r>
    <d v="2023-11-30T00:00:00"/>
    <s v="Adult"/>
    <x v="10"/>
    <n v="3620"/>
    <n v="418"/>
    <n v="0"/>
    <n v="0"/>
    <n v="4038"/>
    <x v="42"/>
    <n v="0"/>
    <x v="0"/>
  </r>
  <r>
    <d v="2023-11-30T00:00:00"/>
    <s v="Child"/>
    <x v="23"/>
    <n v="50"/>
    <n v="7"/>
    <n v="0"/>
    <n v="0"/>
    <n v="57"/>
    <x v="42"/>
    <n v="0"/>
    <x v="0"/>
  </r>
  <r>
    <d v="2023-11-30T00:00:00"/>
    <s v="Child"/>
    <x v="14"/>
    <n v="50"/>
    <n v="21"/>
    <n v="0"/>
    <n v="0"/>
    <n v="71"/>
    <x v="42"/>
    <n v="0"/>
    <x v="0"/>
  </r>
  <r>
    <d v="2023-11-30T00:00:00"/>
    <s v="Child"/>
    <x v="10"/>
    <n v="37"/>
    <n v="6"/>
    <n v="0"/>
    <n v="0"/>
    <n v="43"/>
    <x v="42"/>
    <n v="0"/>
    <x v="0"/>
  </r>
  <r>
    <d v="2023-11-30T00:00:00"/>
    <s v="Child"/>
    <x v="12"/>
    <n v="21"/>
    <n v="7"/>
    <n v="0"/>
    <n v="0"/>
    <n v="28"/>
    <x v="42"/>
    <n v="0"/>
    <x v="0"/>
  </r>
  <r>
    <d v="2023-12-28T00:00:00"/>
    <s v="Adult"/>
    <x v="16"/>
    <n v="5460"/>
    <n v="1254"/>
    <n v="0"/>
    <n v="0"/>
    <n v="6714"/>
    <x v="43"/>
    <n v="0"/>
    <x v="0"/>
  </r>
  <r>
    <d v="2023-12-28T00:00:00"/>
    <s v="Adult"/>
    <x v="30"/>
    <n v="4545"/>
    <n v="206"/>
    <n v="0"/>
    <n v="0"/>
    <n v="4751"/>
    <x v="43"/>
    <n v="0"/>
    <x v="0"/>
  </r>
  <r>
    <d v="2023-12-28T00:00:00"/>
    <s v="Adult"/>
    <x v="17"/>
    <n v="1569"/>
    <n v="411"/>
    <n v="0"/>
    <n v="0"/>
    <n v="1980"/>
    <x v="43"/>
    <n v="0"/>
    <x v="0"/>
  </r>
  <r>
    <d v="2023-12-28T00:00:00"/>
    <s v="Adult"/>
    <x v="10"/>
    <n v="3527"/>
    <n v="533"/>
    <n v="0"/>
    <n v="0"/>
    <n v="4060"/>
    <x v="43"/>
    <n v="0"/>
    <x v="0"/>
  </r>
  <r>
    <d v="2023-12-28T00:00:00"/>
    <s v="Child"/>
    <x v="23"/>
    <n v="54"/>
    <n v="9"/>
    <n v="0"/>
    <n v="0"/>
    <n v="63"/>
    <x v="43"/>
    <n v="0"/>
    <x v="0"/>
  </r>
  <r>
    <d v="2023-12-28T00:00:00"/>
    <s v="Child"/>
    <x v="16"/>
    <n v="833"/>
    <n v="125"/>
    <n v="0"/>
    <n v="0"/>
    <n v="958"/>
    <x v="43"/>
    <n v="0"/>
    <x v="0"/>
  </r>
  <r>
    <d v="2023-12-28T00:00:00"/>
    <s v="Child"/>
    <x v="14"/>
    <n v="51"/>
    <n v="19"/>
    <n v="0"/>
    <n v="0"/>
    <n v="70"/>
    <x v="43"/>
    <n v="0"/>
    <x v="0"/>
  </r>
  <r>
    <d v="2023-12-28T00:00:00"/>
    <s v="Child"/>
    <x v="10"/>
    <n v="36"/>
    <n v="5"/>
    <n v="0"/>
    <n v="0"/>
    <n v="41"/>
    <x v="43"/>
    <n v="0"/>
    <x v="0"/>
  </r>
  <r>
    <d v="2023-12-28T00:00:00"/>
    <s v="Child"/>
    <x v="12"/>
    <n v="20"/>
    <n v="5"/>
    <n v="0"/>
    <n v="0"/>
    <n v="25"/>
    <x v="43"/>
    <n v="0"/>
    <x v="0"/>
  </r>
  <r>
    <d v="2024-01-25T00:00:00"/>
    <s v="Adult"/>
    <x v="30"/>
    <n v="4498"/>
    <n v="239"/>
    <n v="0"/>
    <n v="0"/>
    <n v="4737"/>
    <x v="12"/>
    <n v="0"/>
    <x v="0"/>
  </r>
  <r>
    <d v="2024-01-25T00:00:00"/>
    <s v="Adult"/>
    <x v="10"/>
    <n v="3522"/>
    <n v="648"/>
    <n v="0"/>
    <n v="0"/>
    <n v="4170"/>
    <x v="12"/>
    <n v="0"/>
    <x v="0"/>
  </r>
  <r>
    <d v="2024-01-25T00:00:00"/>
    <s v="Child"/>
    <x v="16"/>
    <n v="867"/>
    <n v="194"/>
    <n v="0"/>
    <n v="0"/>
    <n v="1061"/>
    <x v="12"/>
    <n v="0"/>
    <x v="0"/>
  </r>
  <r>
    <d v="2024-01-25T00:00:00"/>
    <s v="Child"/>
    <x v="14"/>
    <n v="49"/>
    <n v="20"/>
    <n v="0"/>
    <n v="0"/>
    <n v="69"/>
    <x v="12"/>
    <n v="0"/>
    <x v="0"/>
  </r>
  <r>
    <d v="2024-01-25T00:00:00"/>
    <s v="Child"/>
    <x v="11"/>
    <n v="8"/>
    <n v="3"/>
    <n v="0"/>
    <n v="0"/>
    <n v="10"/>
    <x v="12"/>
    <n v="0"/>
    <x v="0"/>
  </r>
  <r>
    <d v="2024-01-25T00:00:00"/>
    <s v="Child"/>
    <x v="12"/>
    <n v="25"/>
    <n v="4"/>
    <n v="0"/>
    <n v="0"/>
    <n v="29"/>
    <x v="12"/>
    <n v="0"/>
    <x v="0"/>
  </r>
  <r>
    <d v="2024-02-29T00:00:00"/>
    <s v="Adult"/>
    <x v="30"/>
    <n v="4827"/>
    <n v="301"/>
    <n v="0"/>
    <n v="0"/>
    <n v="5128"/>
    <x v="13"/>
    <n v="0"/>
    <x v="0"/>
  </r>
  <r>
    <d v="2024-02-29T00:00:00"/>
    <s v="Adult"/>
    <x v="6"/>
    <n v="2281"/>
    <n v="23"/>
    <n v="0"/>
    <n v="0"/>
    <n v="2304"/>
    <x v="13"/>
    <n v="0"/>
    <x v="0"/>
  </r>
  <r>
    <d v="2024-02-29T00:00:00"/>
    <s v="Adult"/>
    <x v="10"/>
    <n v="3659"/>
    <n v="671"/>
    <n v="0"/>
    <n v="0"/>
    <n v="4330"/>
    <x v="13"/>
    <n v="0"/>
    <x v="0"/>
  </r>
  <r>
    <d v="2024-02-29T00:00:00"/>
    <s v="Child"/>
    <x v="12"/>
    <n v="21"/>
    <n v="5"/>
    <n v="0"/>
    <n v="0"/>
    <n v="26"/>
    <x v="13"/>
    <n v="0"/>
    <x v="0"/>
  </r>
  <r>
    <d v="2024-03-28T00:00:00"/>
    <s v="Adult"/>
    <x v="30"/>
    <n v="4882"/>
    <n v="347"/>
    <n v="0"/>
    <n v="0"/>
    <n v="5229"/>
    <x v="14"/>
    <n v="0"/>
    <x v="0"/>
  </r>
  <r>
    <d v="2024-03-28T00:00:00"/>
    <s v="Adult"/>
    <x v="17"/>
    <n v="1536"/>
    <n v="389"/>
    <n v="0"/>
    <n v="0"/>
    <n v="1925"/>
    <x v="14"/>
    <n v="0"/>
    <x v="0"/>
  </r>
  <r>
    <d v="2024-03-28T00:00:00"/>
    <s v="Child"/>
    <x v="14"/>
    <n v="49"/>
    <n v="19"/>
    <n v="0"/>
    <n v="0"/>
    <n v="68"/>
    <x v="14"/>
    <n v="0"/>
    <x v="0"/>
  </r>
  <r>
    <d v="2024-03-28T00:00:00"/>
    <s v="Child"/>
    <x v="12"/>
    <n v="20"/>
    <n v="3"/>
    <n v="0"/>
    <n v="0"/>
    <n v="23"/>
    <x v="14"/>
    <n v="0"/>
    <x v="0"/>
  </r>
  <r>
    <d v="2024-04-25T00:00:00"/>
    <s v="Child"/>
    <x v="14"/>
    <n v="54"/>
    <n v="17"/>
    <n v="0"/>
    <n v="0"/>
    <n v="71"/>
    <x v="15"/>
    <n v="0"/>
    <x v="0"/>
  </r>
  <r>
    <d v="2024-04-25T00:00:00"/>
    <s v="Child"/>
    <x v="12"/>
    <n v="20"/>
    <n v="6"/>
    <n v="0"/>
    <n v="0"/>
    <n v="26"/>
    <x v="15"/>
    <n v="0"/>
    <x v="0"/>
  </r>
  <r>
    <d v="2024-05-30T00:00:00"/>
    <s v="Child"/>
    <x v="14"/>
    <n v="56"/>
    <n v="15"/>
    <n v="0"/>
    <n v="0"/>
    <n v="71"/>
    <x v="0"/>
    <n v="0"/>
    <x v="0"/>
  </r>
  <r>
    <d v="2024-06-27T00:00:00"/>
    <s v="Child"/>
    <x v="2"/>
    <n v="137"/>
    <n v="44"/>
    <n v="0"/>
    <n v="0"/>
    <n v="181"/>
    <x v="1"/>
    <n v="0"/>
    <x v="0"/>
  </r>
  <r>
    <d v="2024-06-27T00:00:00"/>
    <s v="Child"/>
    <x v="14"/>
    <n v="54"/>
    <n v="17"/>
    <n v="0"/>
    <n v="0"/>
    <n v="71"/>
    <x v="1"/>
    <n v="0"/>
    <x v="0"/>
  </r>
  <r>
    <d v="2024-06-27T00:00:00"/>
    <s v="Child"/>
    <x v="12"/>
    <n v="10"/>
    <n v="8"/>
    <n v="0"/>
    <n v="0"/>
    <n v="18"/>
    <x v="1"/>
    <n v="0"/>
    <x v="0"/>
  </r>
  <r>
    <d v="2024-07-25T00:00:00"/>
    <s v="Child"/>
    <x v="11"/>
    <n v="7"/>
    <n v="3"/>
    <n v="0"/>
    <n v="0"/>
    <n v="10"/>
    <x v="16"/>
    <n v="0"/>
    <x v="0"/>
  </r>
  <r>
    <d v="2024-07-25T00:00:00"/>
    <s v="Child"/>
    <x v="12"/>
    <n v="8"/>
    <n v="8"/>
    <n v="0"/>
    <n v="0"/>
    <n v="15"/>
    <x v="16"/>
    <n v="0"/>
    <x v="0"/>
  </r>
  <r>
    <d v="2024-08-29T00:00:00"/>
    <s v="Child"/>
    <x v="12"/>
    <n v="6"/>
    <n v="8"/>
    <n v="0"/>
    <n v="0"/>
    <n v="14"/>
    <x v="2"/>
    <n v="0"/>
    <x v="0"/>
  </r>
  <r>
    <d v="2024-08-29T00:00:00"/>
    <s v="Child"/>
    <x v="24"/>
    <n v="725"/>
    <n v="238"/>
    <n v="0"/>
    <n v="0"/>
    <n v="963"/>
    <x v="2"/>
    <n v="0"/>
    <x v="0"/>
  </r>
  <r>
    <d v="2024-09-26T00:00:00"/>
    <s v="Child"/>
    <x v="12"/>
    <n v="8"/>
    <n v="4"/>
    <n v="0"/>
    <n v="0"/>
    <n v="12"/>
    <x v="17"/>
    <n v="0"/>
    <x v="0"/>
  </r>
  <r>
    <d v="2024-09-26T00:00:00"/>
    <s v="Child"/>
    <x v="24"/>
    <n v="705"/>
    <n v="245"/>
    <n v="0"/>
    <n v="0"/>
    <n v="950"/>
    <x v="17"/>
    <n v="0"/>
    <x v="0"/>
  </r>
  <r>
    <d v="2024-10-31T00:00:00"/>
    <s v="Child"/>
    <x v="23"/>
    <n v="40"/>
    <n v="13"/>
    <n v="0"/>
    <n v="0"/>
    <n v="53"/>
    <x v="34"/>
    <n v="0"/>
    <x v="0"/>
  </r>
  <r>
    <d v="2024-10-31T00:00:00"/>
    <s v="Child"/>
    <x v="12"/>
    <n v="8"/>
    <n v="5"/>
    <n v="0"/>
    <n v="0"/>
    <n v="13"/>
    <x v="34"/>
    <n v="0"/>
    <x v="0"/>
  </r>
  <r>
    <d v="2024-10-31T00:00:00"/>
    <s v="Child"/>
    <x v="24"/>
    <n v="679"/>
    <n v="234"/>
    <n v="0"/>
    <n v="0"/>
    <n v="913"/>
    <x v="34"/>
    <n v="0"/>
    <x v="0"/>
  </r>
  <r>
    <d v="2024-11-28T00:00:00"/>
    <s v="Adult"/>
    <x v="25"/>
    <n v="535"/>
    <n v="105"/>
    <n v="0"/>
    <n v="0"/>
    <n v="640"/>
    <x v="3"/>
    <n v="0"/>
    <x v="0"/>
  </r>
  <r>
    <d v="2024-11-28T00:00:00"/>
    <s v="Adult"/>
    <x v="6"/>
    <n v="2031"/>
    <n v="108"/>
    <n v="0"/>
    <n v="0"/>
    <n v="2139"/>
    <x v="3"/>
    <n v="0"/>
    <x v="0"/>
  </r>
  <r>
    <d v="2024-11-28T00:00:00"/>
    <s v="Child"/>
    <x v="23"/>
    <n v="42"/>
    <n v="8"/>
    <n v="0"/>
    <n v="0"/>
    <n v="50"/>
    <x v="3"/>
    <n v="0"/>
    <x v="0"/>
  </r>
  <r>
    <d v="2024-11-28T00:00:00"/>
    <s v="Child"/>
    <x v="18"/>
    <n v="824"/>
    <n v="481"/>
    <n v="0"/>
    <n v="0"/>
    <n v="1305"/>
    <x v="3"/>
    <n v="0"/>
    <x v="0"/>
  </r>
  <r>
    <d v="2024-11-28T00:00:00"/>
    <s v="Child"/>
    <x v="24"/>
    <n v="688"/>
    <n v="239"/>
    <n v="0"/>
    <n v="0"/>
    <n v="927"/>
    <x v="3"/>
    <n v="0"/>
    <x v="0"/>
  </r>
  <r>
    <d v="2024-12-19T00:00:00"/>
    <s v="Adult"/>
    <x v="25"/>
    <n v="569"/>
    <n v="101"/>
    <n v="0"/>
    <n v="0"/>
    <n v="670"/>
    <x v="4"/>
    <n v="0"/>
    <x v="0"/>
  </r>
  <r>
    <d v="2024-12-19T00:00:00"/>
    <s v="Adult"/>
    <x v="30"/>
    <n v="5822"/>
    <n v="372"/>
    <n v="0"/>
    <n v="0"/>
    <n v="6194"/>
    <x v="4"/>
    <n v="0"/>
    <x v="0"/>
  </r>
  <r>
    <d v="2024-12-19T00:00:00"/>
    <s v="Child"/>
    <x v="9"/>
    <n v="26"/>
    <n v="8"/>
    <n v="0"/>
    <n v="0"/>
    <n v="34"/>
    <x v="4"/>
    <n v="0"/>
    <x v="0"/>
  </r>
  <r>
    <d v="2024-12-19T00:00:00"/>
    <s v="Child"/>
    <x v="18"/>
    <n v="685"/>
    <n v="510"/>
    <n v="0"/>
    <n v="0"/>
    <n v="1195"/>
    <x v="4"/>
    <n v="0"/>
    <x v="0"/>
  </r>
  <r>
    <d v="2024-12-19T00:00:00"/>
    <s v="Child"/>
    <x v="24"/>
    <n v="656"/>
    <n v="283"/>
    <n v="0"/>
    <n v="0"/>
    <n v="939"/>
    <x v="4"/>
    <n v="0"/>
    <x v="0"/>
  </r>
  <r>
    <d v="2025-01-30T00:00:00"/>
    <s v="Adult"/>
    <x v="25"/>
    <n v="593"/>
    <n v="116"/>
    <n v="0"/>
    <n v="0"/>
    <n v="709"/>
    <x v="18"/>
    <n v="0"/>
    <x v="0"/>
  </r>
  <r>
    <d v="2025-01-30T00:00:00"/>
    <s v="Child"/>
    <x v="23"/>
    <n v="48"/>
    <n v="12"/>
    <n v="0"/>
    <n v="0"/>
    <n v="60"/>
    <x v="18"/>
    <n v="0"/>
    <x v="0"/>
  </r>
  <r>
    <d v="2025-01-30T00:00:00"/>
    <s v="Child"/>
    <x v="9"/>
    <n v="21"/>
    <n v="8"/>
    <n v="0"/>
    <n v="0"/>
    <n v="29"/>
    <x v="18"/>
    <n v="0"/>
    <x v="0"/>
  </r>
  <r>
    <d v="2025-01-30T00:00:00"/>
    <s v="Child"/>
    <x v="21"/>
    <n v="435"/>
    <n v="12"/>
    <n v="0"/>
    <n v="0"/>
    <n v="447"/>
    <x v="18"/>
    <n v="0"/>
    <x v="0"/>
  </r>
  <r>
    <d v="2025-01-30T00:00:00"/>
    <s v="Child"/>
    <x v="24"/>
    <n v="653"/>
    <n v="324"/>
    <n v="0"/>
    <n v="0"/>
    <n v="977"/>
    <x v="18"/>
    <n v="0"/>
    <x v="0"/>
  </r>
  <r>
    <d v="2025-02-27T00:00:00"/>
    <s v="Child"/>
    <x v="23"/>
    <n v="44"/>
    <n v="12"/>
    <n v="0"/>
    <n v="0"/>
    <n v="56"/>
    <x v="35"/>
    <n v="0"/>
    <x v="0"/>
  </r>
  <r>
    <d v="2025-02-27T00:00:00"/>
    <s v="Child"/>
    <x v="21"/>
    <n v="449"/>
    <n v="13"/>
    <n v="0"/>
    <n v="0"/>
    <n v="462"/>
    <x v="35"/>
    <n v="0"/>
    <x v="0"/>
  </r>
  <r>
    <d v="2025-02-27T00:00:00"/>
    <s v="Child"/>
    <x v="24"/>
    <n v="682"/>
    <n v="307"/>
    <n v="0"/>
    <n v="0"/>
    <n v="989"/>
    <x v="35"/>
    <n v="0"/>
    <x v="0"/>
  </r>
  <r>
    <d v="2025-03-27T00:00:00"/>
    <s v="Child"/>
    <x v="23"/>
    <n v="39"/>
    <n v="12"/>
    <n v="0"/>
    <n v="0"/>
    <n v="51"/>
    <x v="19"/>
    <n v="0"/>
    <x v="0"/>
  </r>
  <r>
    <d v="2025-03-27T00:00:00"/>
    <s v="Child"/>
    <x v="9"/>
    <n v="26"/>
    <n v="3"/>
    <n v="0"/>
    <n v="0"/>
    <n v="28"/>
    <x v="19"/>
    <n v="0"/>
    <x v="0"/>
  </r>
  <r>
    <d v="2025-03-27T00:00:00"/>
    <s v="Child"/>
    <x v="21"/>
    <n v="499"/>
    <n v="22"/>
    <n v="0"/>
    <n v="0"/>
    <n v="521"/>
    <x v="19"/>
    <n v="0"/>
    <x v="0"/>
  </r>
  <r>
    <d v="2025-03-27T00:00:00"/>
    <s v="Child"/>
    <x v="24"/>
    <n v="703"/>
    <n v="292"/>
    <n v="0"/>
    <n v="0"/>
    <n v="995"/>
    <x v="19"/>
    <n v="0"/>
    <x v="0"/>
  </r>
  <r>
    <d v="2025-04-24T00:00:00"/>
    <s v="Child"/>
    <x v="23"/>
    <n v="28"/>
    <n v="13"/>
    <n v="0"/>
    <n v="0"/>
    <n v="41"/>
    <x v="5"/>
    <n v="0"/>
    <x v="0"/>
  </r>
  <r>
    <d v="2025-04-24T00:00:00"/>
    <s v="Child"/>
    <x v="21"/>
    <n v="537"/>
    <n v="16"/>
    <n v="0"/>
    <n v="0"/>
    <n v="553"/>
    <x v="5"/>
    <n v="0"/>
    <x v="0"/>
  </r>
  <r>
    <d v="2025-04-24T00:00:00"/>
    <s v="Child"/>
    <x v="24"/>
    <n v="745"/>
    <n v="277"/>
    <n v="0"/>
    <n v="0"/>
    <n v="1022"/>
    <x v="5"/>
    <n v="0"/>
    <x v="0"/>
  </r>
  <r>
    <d v="2025-05-29T00:00:00"/>
    <s v="Child"/>
    <x v="9"/>
    <n v="24"/>
    <n v="3"/>
    <n v="0"/>
    <n v="0"/>
    <n v="27"/>
    <x v="20"/>
    <n v="0"/>
    <x v="0"/>
  </r>
  <r>
    <d v="2025-05-29T00:00:00"/>
    <s v="Child"/>
    <x v="21"/>
    <n v="561"/>
    <n v="15"/>
    <n v="0"/>
    <n v="0"/>
    <n v="575"/>
    <x v="20"/>
    <n v="0"/>
    <x v="0"/>
  </r>
  <r>
    <d v="2025-05-29T00:00:00"/>
    <s v="Child"/>
    <x v="24"/>
    <n v="767"/>
    <n v="274"/>
    <n v="0"/>
    <n v="0"/>
    <n v="1041"/>
    <x v="20"/>
    <n v="0"/>
    <x v="0"/>
  </r>
  <r>
    <d v="2025-06-26T00:00:00"/>
    <s v="Adult"/>
    <x v="25"/>
    <n v="857"/>
    <n v="16"/>
    <n v="0"/>
    <n v="0"/>
    <n v="873"/>
    <x v="21"/>
    <n v="0"/>
    <x v="0"/>
  </r>
  <r>
    <d v="2025-06-26T00:00:00"/>
    <s v="Child"/>
    <x v="21"/>
    <n v="547"/>
    <n v="14"/>
    <n v="0"/>
    <n v="0"/>
    <n v="561"/>
    <x v="21"/>
    <n v="0"/>
    <x v="0"/>
  </r>
  <r>
    <d v="2025-07-31T00:00:00"/>
    <s v="Adult"/>
    <x v="25"/>
    <n v="877"/>
    <n v="36"/>
    <n v="0"/>
    <n v="0"/>
    <n v="913"/>
    <x v="22"/>
    <n v="0"/>
    <x v="0"/>
  </r>
  <r>
    <d v="2025-07-31T00:00:00"/>
    <s v="Child"/>
    <x v="21"/>
    <n v="547"/>
    <n v="19"/>
    <n v="0"/>
    <n v="0"/>
    <n v="566"/>
    <x v="22"/>
    <n v="0"/>
    <x v="0"/>
  </r>
  <r>
    <d v="2025-08-28T00:00:00"/>
    <s v="Adult"/>
    <x v="25"/>
    <n v="907"/>
    <n v="104"/>
    <n v="0"/>
    <n v="0"/>
    <n v="1011"/>
    <x v="23"/>
    <n v="0"/>
    <x v="0"/>
  </r>
  <r>
    <d v="2025-08-28T00:00:00"/>
    <s v="Child"/>
    <x v="21"/>
    <n v="526"/>
    <n v="29"/>
    <n v="0"/>
    <n v="0"/>
    <n v="555"/>
    <x v="23"/>
    <n v="0"/>
    <x v="0"/>
  </r>
  <r>
    <d v="2025-09-25T00:00:00"/>
    <s v="Child"/>
    <x v="21"/>
    <n v="525"/>
    <n v="39"/>
    <n v="0"/>
    <n v="0"/>
    <n v="564"/>
    <x v="24"/>
    <n v="0"/>
    <x v="0"/>
  </r>
  <r>
    <d v="2025-09-25T00:00:00"/>
    <s v="Child"/>
    <x v="10"/>
    <n v="26"/>
    <n v="3"/>
    <n v="0"/>
    <n v="0"/>
    <n v="29"/>
    <x v="24"/>
    <n v="0"/>
    <x v="0"/>
  </r>
  <r>
    <d v="2025-10-30T00:00:00"/>
    <s v="Adult"/>
    <x v="25"/>
    <n v="770"/>
    <n v="221"/>
    <n v="0"/>
    <n v="0"/>
    <n v="991"/>
    <x v="25"/>
    <n v="0"/>
    <x v="0"/>
  </r>
  <r>
    <d v="2025-10-30T00:00:00"/>
    <s v="Child"/>
    <x v="15"/>
    <n v="8"/>
    <n v="3"/>
    <n v="0"/>
    <n v="0"/>
    <n v="11"/>
    <x v="25"/>
    <n v="0"/>
    <x v="0"/>
  </r>
  <r>
    <d v="2025-10-30T00:00:00"/>
    <s v="Child"/>
    <x v="21"/>
    <n v="486"/>
    <n v="48"/>
    <n v="0"/>
    <n v="0"/>
    <n v="534"/>
    <x v="25"/>
    <n v="0"/>
    <x v="0"/>
  </r>
  <r>
    <d v="2025-10-30T00:00:00"/>
    <s v="Child"/>
    <x v="24"/>
    <n v="683"/>
    <n v="322"/>
    <n v="0"/>
    <n v="0"/>
    <n v="1004"/>
    <x v="25"/>
    <n v="0"/>
    <x v="0"/>
  </r>
  <r>
    <d v="2025-11-27T00:00:00"/>
    <s v="Adult"/>
    <x v="25"/>
    <n v="663"/>
    <n v="179"/>
    <n v="0"/>
    <n v="0"/>
    <n v="841"/>
    <x v="26"/>
    <n v="0"/>
    <x v="0"/>
  </r>
  <r>
    <d v="2025-11-27T00:00:00"/>
    <s v="Adult"/>
    <x v="6"/>
    <n v="2234"/>
    <n v="135"/>
    <n v="0"/>
    <n v="0"/>
    <n v="2369"/>
    <x v="26"/>
    <n v="0"/>
    <x v="0"/>
  </r>
  <r>
    <d v="2025-11-27T00:00:00"/>
    <s v="Child"/>
    <x v="15"/>
    <n v="10"/>
    <n v="3"/>
    <n v="0"/>
    <n v="0"/>
    <n v="13"/>
    <x v="26"/>
    <n v="0"/>
    <x v="0"/>
  </r>
  <r>
    <d v="2025-11-27T00:00:00"/>
    <s v="Child"/>
    <x v="21"/>
    <n v="473"/>
    <n v="54"/>
    <n v="0"/>
    <n v="0"/>
    <n v="527"/>
    <x v="26"/>
    <n v="0"/>
    <x v="0"/>
  </r>
  <r>
    <d v="2025-11-27T00:00:00"/>
    <s v="Child"/>
    <x v="24"/>
    <n v="720"/>
    <n v="317"/>
    <n v="0"/>
    <n v="0"/>
    <n v="1037"/>
    <x v="26"/>
    <n v="0"/>
    <x v="0"/>
  </r>
  <r>
    <d v="2025-12-18T00:00:00"/>
    <s v="Adult"/>
    <x v="25"/>
    <n v="617"/>
    <n v="126"/>
    <n v="0"/>
    <n v="0"/>
    <n v="743"/>
    <x v="27"/>
    <n v="0"/>
    <x v="0"/>
  </r>
  <r>
    <d v="2025-12-18T00:00:00"/>
    <s v="Child"/>
    <x v="15"/>
    <n v="9"/>
    <n v="3"/>
    <n v="0"/>
    <n v="0"/>
    <n v="12"/>
    <x v="27"/>
    <n v="0"/>
    <x v="0"/>
  </r>
  <r>
    <d v="2025-12-18T00:00:00"/>
    <s v="Child"/>
    <x v="24"/>
    <n v="734"/>
    <n v="313"/>
    <n v="0"/>
    <n v="0"/>
    <n v="1047"/>
    <x v="27"/>
    <n v="0"/>
    <x v="0"/>
  </r>
  <r>
    <d v="2026-01-29T00:00:00"/>
    <s v="Child"/>
    <x v="16"/>
    <n v="487"/>
    <n v="16"/>
    <n v="0"/>
    <n v="0"/>
    <n v="503"/>
    <x v="6"/>
    <n v="0"/>
    <x v="0"/>
  </r>
  <r>
    <d v="2026-01-29T00:00:00"/>
    <s v="Child"/>
    <x v="21"/>
    <n v="435"/>
    <n v="68"/>
    <n v="0"/>
    <n v="0"/>
    <n v="503"/>
    <x v="6"/>
    <n v="0"/>
    <x v="0"/>
  </r>
  <r>
    <d v="2026-02-26T00:00:00"/>
    <s v="Adult"/>
    <x v="6"/>
    <n v="2499"/>
    <n v="107"/>
    <n v="0"/>
    <n v="0"/>
    <n v="2606"/>
    <x v="7"/>
    <n v="0"/>
    <x v="0"/>
  </r>
  <r>
    <d v="2026-02-26T00:00:00"/>
    <s v="Child"/>
    <x v="15"/>
    <n v="5"/>
    <n v="4"/>
    <n v="0"/>
    <n v="0"/>
    <n v="9"/>
    <x v="7"/>
    <n v="0"/>
    <x v="0"/>
  </r>
  <r>
    <d v="2026-02-26T00:00:00"/>
    <s v="Child"/>
    <x v="14"/>
    <n v="58"/>
    <n v="6"/>
    <n v="0"/>
    <n v="0"/>
    <n v="64"/>
    <x v="7"/>
    <n v="0"/>
    <x v="0"/>
  </r>
  <r>
    <d v="2026-03-26T00:00:00"/>
    <s v="Adult"/>
    <x v="6"/>
    <n v="2552"/>
    <n v="104"/>
    <n v="0"/>
    <n v="0"/>
    <n v="2656"/>
    <x v="28"/>
    <n v="0"/>
    <x v="0"/>
  </r>
  <r>
    <d v="2026-03-26T00:00:00"/>
    <s v="Child"/>
    <x v="15"/>
    <n v="5"/>
    <n v="3"/>
    <n v="0"/>
    <n v="0"/>
    <n v="8"/>
    <x v="28"/>
    <n v="0"/>
    <x v="0"/>
  </r>
  <r>
    <d v="2026-03-26T00:00:00"/>
    <s v="Child"/>
    <x v="14"/>
    <n v="53"/>
    <n v="12"/>
    <n v="0"/>
    <n v="0"/>
    <n v="65"/>
    <x v="28"/>
    <n v="0"/>
    <x v="0"/>
  </r>
  <r>
    <d v="2026-03-26T00:00:00"/>
    <s v="Child"/>
    <x v="10"/>
    <n v="36"/>
    <n v="5"/>
    <n v="0"/>
    <n v="0"/>
    <n v="41"/>
    <x v="28"/>
    <n v="0"/>
    <x v="0"/>
  </r>
  <r>
    <d v="2026-04-30T00:00:00"/>
    <s v="Adult"/>
    <x v="6"/>
    <n v="2834"/>
    <n v="112"/>
    <n v="0"/>
    <n v="0"/>
    <n v="2946"/>
    <x v="29"/>
    <n v="0"/>
    <x v="0"/>
  </r>
  <r>
    <d v="2026-04-30T00:00:00"/>
    <s v="Child"/>
    <x v="15"/>
    <n v="1"/>
    <n v="5"/>
    <n v="0"/>
    <n v="0"/>
    <n v="6"/>
    <x v="29"/>
    <n v="0"/>
    <x v="0"/>
  </r>
  <r>
    <d v="2026-04-30T00:00:00"/>
    <s v="Child"/>
    <x v="14"/>
    <n v="61"/>
    <n v="12"/>
    <n v="0"/>
    <n v="0"/>
    <n v="73"/>
    <x v="29"/>
    <n v="0"/>
    <x v="0"/>
  </r>
  <r>
    <d v="2026-04-30T00:00:00"/>
    <s v="Child"/>
    <x v="11"/>
    <n v="15"/>
    <n v="3"/>
    <n v="0"/>
    <n v="0"/>
    <n v="18"/>
    <x v="29"/>
    <n v="0"/>
    <x v="0"/>
  </r>
  <r>
    <d v="2026-04-30T00:00:00"/>
    <s v="Child"/>
    <x v="10"/>
    <n v="40"/>
    <n v="9"/>
    <n v="0"/>
    <n v="0"/>
    <n v="48"/>
    <x v="29"/>
    <n v="0"/>
    <x v="0"/>
  </r>
  <r>
    <d v="2026-05-28T00:00:00"/>
    <s v="Child"/>
    <x v="15"/>
    <n v="2"/>
    <n v="3"/>
    <n v="0"/>
    <n v="0"/>
    <n v="5"/>
    <x v="8"/>
    <n v="0"/>
    <x v="0"/>
  </r>
  <r>
    <d v="2026-05-28T00:00:00"/>
    <s v="Child"/>
    <x v="14"/>
    <n v="57"/>
    <n v="15"/>
    <n v="0"/>
    <n v="0"/>
    <n v="72"/>
    <x v="8"/>
    <n v="0"/>
    <x v="0"/>
  </r>
  <r>
    <d v="2026-05-28T00:00:00"/>
    <s v="Child"/>
    <x v="10"/>
    <n v="43"/>
    <n v="12"/>
    <n v="0"/>
    <n v="0"/>
    <n v="55"/>
    <x v="8"/>
    <n v="0"/>
    <x v="0"/>
  </r>
  <r>
    <d v="2026-06-25T00:00:00"/>
    <s v="Child"/>
    <x v="9"/>
    <n v="30"/>
    <n v="3"/>
    <n v="0"/>
    <n v="0"/>
    <n v="33"/>
    <x v="9"/>
    <n v="0"/>
    <x v="0"/>
  </r>
  <r>
    <d v="2026-06-25T00:00:00"/>
    <s v="Child"/>
    <x v="15"/>
    <n v="1"/>
    <n v="3"/>
    <n v="0"/>
    <n v="0"/>
    <n v="4"/>
    <x v="9"/>
    <n v="0"/>
    <x v="0"/>
  </r>
  <r>
    <d v="2026-06-25T00:00:00"/>
    <s v="Child"/>
    <x v="14"/>
    <n v="56"/>
    <n v="18"/>
    <n v="0"/>
    <n v="0"/>
    <n v="74"/>
    <x v="9"/>
    <n v="0"/>
    <x v="0"/>
  </r>
  <r>
    <d v="2026-06-25T00:00:00"/>
    <s v="Child"/>
    <x v="10"/>
    <n v="46"/>
    <n v="14"/>
    <n v="0"/>
    <n v="0"/>
    <n v="60"/>
    <x v="9"/>
    <n v="0"/>
    <x v="0"/>
  </r>
  <r>
    <d v="2026-07-30T00:00:00"/>
    <s v="Adult"/>
    <x v="6"/>
    <n v="2644"/>
    <n v="132"/>
    <n v="0"/>
    <n v="0"/>
    <n v="2776"/>
    <x v="10"/>
    <n v="0"/>
    <x v="0"/>
  </r>
  <r>
    <d v="2026-07-30T00:00:00"/>
    <s v="Child"/>
    <x v="15"/>
    <n v="0"/>
    <n v="3"/>
    <n v="0"/>
    <n v="0"/>
    <n v="3"/>
    <x v="10"/>
    <n v="0"/>
    <x v="0"/>
  </r>
  <r>
    <d v="2026-07-30T00:00:00"/>
    <s v="Child"/>
    <x v="14"/>
    <n v="57"/>
    <n v="19"/>
    <n v="0"/>
    <n v="0"/>
    <n v="76"/>
    <x v="10"/>
    <n v="0"/>
    <x v="0"/>
  </r>
  <r>
    <d v="2026-07-30T00:00:00"/>
    <s v="Child"/>
    <x v="11"/>
    <n v="15"/>
    <n v="4"/>
    <n v="0"/>
    <n v="0"/>
    <n v="19"/>
    <x v="10"/>
    <n v="0"/>
    <x v="0"/>
  </r>
  <r>
    <d v="2026-07-30T00:00:00"/>
    <s v="Child"/>
    <x v="10"/>
    <n v="48"/>
    <n v="18"/>
    <n v="0"/>
    <n v="0"/>
    <n v="66"/>
    <x v="10"/>
    <n v="0"/>
    <x v="0"/>
  </r>
  <r>
    <d v="2026-07-30T00:00:00"/>
    <s v="Child"/>
    <x v="12"/>
    <n v="9"/>
    <n v="3"/>
    <n v="0"/>
    <n v="0"/>
    <n v="12"/>
    <x v="10"/>
    <n v="0"/>
    <x v="0"/>
  </r>
  <r>
    <d v="2026-07-30T00:00:00"/>
    <s v="Child"/>
    <x v="24"/>
    <n v="814"/>
    <n v="346"/>
    <n v="0"/>
    <n v="0"/>
    <n v="1160"/>
    <x v="10"/>
    <n v="0"/>
    <x v="0"/>
  </r>
  <r>
    <d v="2026-08-27T00:00:00"/>
    <s v="Child"/>
    <x v="14"/>
    <n v="45"/>
    <n v="25"/>
    <n v="0"/>
    <n v="0"/>
    <n v="70"/>
    <x v="11"/>
    <n v="0"/>
    <x v="0"/>
  </r>
  <r>
    <d v="2026-08-27T00:00:00"/>
    <s v="Child"/>
    <x v="10"/>
    <n v="41"/>
    <n v="18"/>
    <n v="0"/>
    <n v="0"/>
    <n v="59"/>
    <x v="11"/>
    <n v="0"/>
    <x v="0"/>
  </r>
  <r>
    <d v="2026-08-27T00:00:00"/>
    <s v="Child"/>
    <x v="12"/>
    <n v="11"/>
    <n v="3"/>
    <n v="0"/>
    <n v="0"/>
    <n v="14"/>
    <x v="11"/>
    <n v="0"/>
    <x v="0"/>
  </r>
  <r>
    <d v="2026-08-27T00:00:00"/>
    <s v="Child"/>
    <x v="24"/>
    <n v="769"/>
    <n v="385"/>
    <n v="0"/>
    <n v="0"/>
    <n v="1154"/>
    <x v="11"/>
    <n v="0"/>
    <x v="0"/>
  </r>
  <r>
    <d v="2023-01-26T00:00:00"/>
    <s v="Adult"/>
    <x v="16"/>
    <n v="406"/>
    <n v="11"/>
    <n v="0"/>
    <n v="0"/>
    <n v="417"/>
    <x v="36"/>
    <n v="0"/>
    <x v="1"/>
  </r>
  <r>
    <d v="2023-01-26T00:00:00"/>
    <s v="Adult"/>
    <x v="11"/>
    <n v="615"/>
    <n v="24"/>
    <n v="0"/>
    <n v="0"/>
    <n v="639"/>
    <x v="36"/>
    <n v="0"/>
    <x v="1"/>
  </r>
  <r>
    <d v="2023-01-26T00:00:00"/>
    <s v="Adult"/>
    <x v="27"/>
    <n v="532"/>
    <n v="134"/>
    <n v="0"/>
    <n v="0"/>
    <n v="666"/>
    <x v="36"/>
    <n v="0"/>
    <x v="1"/>
  </r>
  <r>
    <d v="2023-01-26T00:00:00"/>
    <s v="Adult"/>
    <x v="1"/>
    <n v="702"/>
    <n v="108"/>
    <n v="0"/>
    <n v="0"/>
    <n v="810"/>
    <x v="36"/>
    <n v="0"/>
    <x v="1"/>
  </r>
  <r>
    <d v="2023-01-26T00:00:00"/>
    <s v="Child"/>
    <x v="26"/>
    <n v="30"/>
    <n v="14"/>
    <n v="0"/>
    <n v="0"/>
    <n v="44"/>
    <x v="36"/>
    <n v="0"/>
    <x v="1"/>
  </r>
  <r>
    <d v="2023-01-26T00:00:00"/>
    <s v="Child"/>
    <x v="19"/>
    <n v="28"/>
    <n v="6"/>
    <n v="0"/>
    <n v="0"/>
    <n v="33"/>
    <x v="36"/>
    <n v="0"/>
    <x v="1"/>
  </r>
  <r>
    <d v="2023-02-23T00:00:00"/>
    <s v="Adult"/>
    <x v="16"/>
    <n v="373"/>
    <n v="7"/>
    <n v="0"/>
    <n v="0"/>
    <n v="380"/>
    <x v="37"/>
    <n v="0"/>
    <x v="1"/>
  </r>
  <r>
    <d v="2023-02-23T00:00:00"/>
    <s v="Adult"/>
    <x v="13"/>
    <n v="311"/>
    <n v="50"/>
    <n v="0"/>
    <n v="0"/>
    <n v="361"/>
    <x v="37"/>
    <n v="0"/>
    <x v="1"/>
  </r>
  <r>
    <d v="2023-02-23T00:00:00"/>
    <s v="Adult"/>
    <x v="17"/>
    <n v="370"/>
    <n v="10"/>
    <n v="0"/>
    <n v="0"/>
    <n v="380"/>
    <x v="37"/>
    <n v="0"/>
    <x v="1"/>
  </r>
  <r>
    <d v="2023-02-23T00:00:00"/>
    <s v="Adult"/>
    <x v="11"/>
    <n v="623"/>
    <n v="12"/>
    <n v="0"/>
    <n v="0"/>
    <n v="635"/>
    <x v="37"/>
    <n v="0"/>
    <x v="1"/>
  </r>
  <r>
    <d v="2023-02-23T00:00:00"/>
    <s v="Child"/>
    <x v="18"/>
    <n v="133"/>
    <n v="52"/>
    <n v="0"/>
    <n v="0"/>
    <n v="185"/>
    <x v="37"/>
    <n v="0"/>
    <x v="1"/>
  </r>
  <r>
    <d v="2023-02-23T00:00:00"/>
    <s v="Child"/>
    <x v="27"/>
    <n v="39"/>
    <n v="8"/>
    <n v="0"/>
    <n v="0"/>
    <n v="47"/>
    <x v="37"/>
    <n v="0"/>
    <x v="1"/>
  </r>
  <r>
    <d v="2023-02-23T00:00:00"/>
    <s v="Child"/>
    <x v="19"/>
    <n v="21"/>
    <n v="8"/>
    <n v="0"/>
    <n v="0"/>
    <n v="29"/>
    <x v="37"/>
    <n v="0"/>
    <x v="1"/>
  </r>
  <r>
    <d v="2023-03-30T00:00:00"/>
    <s v="Adult"/>
    <x v="16"/>
    <n v="408"/>
    <n v="11"/>
    <n v="0"/>
    <n v="0"/>
    <n v="419"/>
    <x v="38"/>
    <n v="0"/>
    <x v="1"/>
  </r>
  <r>
    <d v="2023-03-30T00:00:00"/>
    <s v="Adult"/>
    <x v="13"/>
    <n v="325"/>
    <n v="28"/>
    <n v="0"/>
    <n v="0"/>
    <n v="353"/>
    <x v="38"/>
    <n v="0"/>
    <x v="1"/>
  </r>
  <r>
    <d v="2023-03-30T00:00:00"/>
    <s v="Adult"/>
    <x v="31"/>
    <n v="558"/>
    <n v="46"/>
    <n v="0"/>
    <n v="0"/>
    <n v="604"/>
    <x v="38"/>
    <n v="0"/>
    <x v="1"/>
  </r>
  <r>
    <d v="2023-03-30T00:00:00"/>
    <s v="Adult"/>
    <x v="17"/>
    <n v="396"/>
    <n v="8"/>
    <n v="0"/>
    <n v="0"/>
    <n v="404"/>
    <x v="38"/>
    <n v="0"/>
    <x v="1"/>
  </r>
  <r>
    <d v="2023-03-30T00:00:00"/>
    <s v="Adult"/>
    <x v="11"/>
    <n v="639"/>
    <n v="21"/>
    <n v="0"/>
    <n v="0"/>
    <n v="660"/>
    <x v="38"/>
    <n v="0"/>
    <x v="1"/>
  </r>
  <r>
    <d v="2023-03-30T00:00:00"/>
    <s v="Adult"/>
    <x v="8"/>
    <n v="225"/>
    <n v="49"/>
    <n v="0"/>
    <n v="0"/>
    <n v="274"/>
    <x v="38"/>
    <n v="0"/>
    <x v="1"/>
  </r>
  <r>
    <d v="2023-03-30T00:00:00"/>
    <s v="Child"/>
    <x v="26"/>
    <n v="17"/>
    <n v="8"/>
    <n v="0"/>
    <n v="0"/>
    <n v="25"/>
    <x v="38"/>
    <n v="0"/>
    <x v="1"/>
  </r>
  <r>
    <d v="2023-03-30T00:00:00"/>
    <s v="Child"/>
    <x v="18"/>
    <n v="110"/>
    <n v="43"/>
    <n v="0"/>
    <n v="0"/>
    <n v="153"/>
    <x v="38"/>
    <n v="0"/>
    <x v="1"/>
  </r>
  <r>
    <d v="2023-03-30T00:00:00"/>
    <s v="Child"/>
    <x v="27"/>
    <n v="53"/>
    <n v="10"/>
    <n v="0"/>
    <n v="0"/>
    <n v="64"/>
    <x v="38"/>
    <n v="0"/>
    <x v="1"/>
  </r>
  <r>
    <d v="2023-03-30T00:00:00"/>
    <s v="Child"/>
    <x v="19"/>
    <n v="9"/>
    <n v="12"/>
    <n v="0"/>
    <n v="0"/>
    <n v="21"/>
    <x v="38"/>
    <n v="0"/>
    <x v="1"/>
  </r>
  <r>
    <d v="2023-04-27T00:00:00"/>
    <s v="Adult"/>
    <x v="13"/>
    <n v="343"/>
    <n v="25"/>
    <n v="0"/>
    <n v="0"/>
    <n v="368"/>
    <x v="39"/>
    <n v="0"/>
    <x v="1"/>
  </r>
  <r>
    <d v="2023-04-27T00:00:00"/>
    <s v="Adult"/>
    <x v="15"/>
    <n v="139"/>
    <n v="45"/>
    <n v="0"/>
    <n v="0"/>
    <n v="184"/>
    <x v="39"/>
    <n v="0"/>
    <x v="1"/>
  </r>
  <r>
    <d v="2023-04-27T00:00:00"/>
    <s v="Adult"/>
    <x v="11"/>
    <n v="553"/>
    <n v="9"/>
    <n v="0"/>
    <n v="0"/>
    <n v="562"/>
    <x v="39"/>
    <n v="0"/>
    <x v="1"/>
  </r>
  <r>
    <d v="2023-04-27T00:00:00"/>
    <s v="Adult"/>
    <x v="8"/>
    <n v="244"/>
    <n v="47"/>
    <n v="0"/>
    <n v="0"/>
    <n v="291"/>
    <x v="39"/>
    <n v="0"/>
    <x v="1"/>
  </r>
  <r>
    <d v="2023-04-27T00:00:00"/>
    <s v="Adult"/>
    <x v="19"/>
    <n v="213"/>
    <n v="39"/>
    <n v="0"/>
    <n v="0"/>
    <n v="252"/>
    <x v="39"/>
    <n v="0"/>
    <x v="1"/>
  </r>
  <r>
    <d v="2023-04-27T00:00:00"/>
    <s v="Child"/>
    <x v="26"/>
    <n v="22"/>
    <n v="6"/>
    <n v="0"/>
    <n v="0"/>
    <n v="28"/>
    <x v="39"/>
    <n v="0"/>
    <x v="1"/>
  </r>
  <r>
    <d v="2023-04-27T00:00:00"/>
    <s v="Child"/>
    <x v="18"/>
    <n v="90"/>
    <n v="50"/>
    <n v="0"/>
    <n v="0"/>
    <n v="140"/>
    <x v="39"/>
    <n v="0"/>
    <x v="1"/>
  </r>
  <r>
    <d v="2023-04-27T00:00:00"/>
    <s v="Child"/>
    <x v="27"/>
    <n v="67"/>
    <n v="15"/>
    <n v="0"/>
    <n v="0"/>
    <n v="82"/>
    <x v="39"/>
    <n v="0"/>
    <x v="1"/>
  </r>
  <r>
    <d v="2023-04-27T00:00:00"/>
    <s v="Child"/>
    <x v="19"/>
    <n v="14"/>
    <n v="9"/>
    <n v="0"/>
    <n v="0"/>
    <n v="23"/>
    <x v="39"/>
    <n v="0"/>
    <x v="1"/>
  </r>
  <r>
    <d v="2023-05-25T00:00:00"/>
    <s v="Adult"/>
    <x v="13"/>
    <n v="308"/>
    <n v="37"/>
    <n v="0"/>
    <n v="0"/>
    <n v="345"/>
    <x v="40"/>
    <n v="0"/>
    <x v="1"/>
  </r>
  <r>
    <d v="2023-05-25T00:00:00"/>
    <s v="Adult"/>
    <x v="15"/>
    <n v="107"/>
    <n v="51"/>
    <n v="0"/>
    <n v="0"/>
    <n v="158"/>
    <x v="40"/>
    <n v="0"/>
    <x v="1"/>
  </r>
  <r>
    <d v="2023-05-25T00:00:00"/>
    <s v="Adult"/>
    <x v="8"/>
    <n v="302"/>
    <n v="30"/>
    <n v="0"/>
    <n v="0"/>
    <n v="333"/>
    <x v="40"/>
    <n v="0"/>
    <x v="1"/>
  </r>
  <r>
    <d v="2023-05-25T00:00:00"/>
    <s v="Adult"/>
    <x v="19"/>
    <n v="202"/>
    <n v="20"/>
    <n v="0"/>
    <n v="0"/>
    <n v="222"/>
    <x v="40"/>
    <n v="0"/>
    <x v="1"/>
  </r>
  <r>
    <d v="2023-05-25T00:00:00"/>
    <s v="Child"/>
    <x v="18"/>
    <n v="91"/>
    <n v="4"/>
    <n v="0"/>
    <n v="0"/>
    <n v="95"/>
    <x v="40"/>
    <n v="0"/>
    <x v="1"/>
  </r>
  <r>
    <d v="2023-05-25T00:00:00"/>
    <s v="Child"/>
    <x v="27"/>
    <n v="75"/>
    <n v="14"/>
    <n v="0"/>
    <n v="0"/>
    <n v="89"/>
    <x v="40"/>
    <n v="0"/>
    <x v="1"/>
  </r>
  <r>
    <d v="2023-05-25T00:00:00"/>
    <s v="Child"/>
    <x v="28"/>
    <n v="49"/>
    <n v="6"/>
    <n v="0"/>
    <n v="0"/>
    <n v="56"/>
    <x v="40"/>
    <n v="0"/>
    <x v="1"/>
  </r>
  <r>
    <d v="2023-06-29T00:00:00"/>
    <s v="Adult"/>
    <x v="9"/>
    <n v="84"/>
    <n v="31"/>
    <n v="0"/>
    <n v="0"/>
    <n v="115"/>
    <x v="30"/>
    <n v="0"/>
    <x v="1"/>
  </r>
  <r>
    <d v="2023-06-29T00:00:00"/>
    <s v="Adult"/>
    <x v="13"/>
    <n v="289"/>
    <n v="17"/>
    <n v="0"/>
    <n v="0"/>
    <n v="306"/>
    <x v="30"/>
    <n v="0"/>
    <x v="1"/>
  </r>
  <r>
    <d v="2023-06-29T00:00:00"/>
    <s v="Adult"/>
    <x v="4"/>
    <n v="248"/>
    <n v="53"/>
    <n v="0"/>
    <n v="0"/>
    <n v="301"/>
    <x v="30"/>
    <n v="0"/>
    <x v="1"/>
  </r>
  <r>
    <d v="2023-06-29T00:00:00"/>
    <s v="Adult"/>
    <x v="11"/>
    <n v="362"/>
    <n v="4"/>
    <n v="0"/>
    <n v="0"/>
    <n v="366"/>
    <x v="30"/>
    <n v="0"/>
    <x v="1"/>
  </r>
  <r>
    <d v="2023-06-29T00:00:00"/>
    <s v="Adult"/>
    <x v="8"/>
    <n v="325"/>
    <n v="32"/>
    <n v="0"/>
    <n v="0"/>
    <n v="357"/>
    <x v="30"/>
    <n v="0"/>
    <x v="1"/>
  </r>
  <r>
    <d v="2023-06-29T00:00:00"/>
    <s v="Adult"/>
    <x v="19"/>
    <n v="174"/>
    <n v="26"/>
    <n v="0"/>
    <n v="0"/>
    <n v="200"/>
    <x v="30"/>
    <n v="0"/>
    <x v="1"/>
  </r>
  <r>
    <d v="2023-06-29T00:00:00"/>
    <s v="Child"/>
    <x v="26"/>
    <n v="24"/>
    <n v="8"/>
    <n v="0"/>
    <n v="0"/>
    <n v="31"/>
    <x v="30"/>
    <n v="0"/>
    <x v="1"/>
  </r>
  <r>
    <d v="2023-06-29T00:00:00"/>
    <s v="Child"/>
    <x v="18"/>
    <n v="109"/>
    <n v="4"/>
    <n v="0"/>
    <n v="0"/>
    <n v="112"/>
    <x v="30"/>
    <n v="0"/>
    <x v="1"/>
  </r>
  <r>
    <d v="2023-06-29T00:00:00"/>
    <s v="Child"/>
    <x v="27"/>
    <n v="67"/>
    <n v="8"/>
    <n v="0"/>
    <n v="0"/>
    <n v="74"/>
    <x v="30"/>
    <n v="0"/>
    <x v="1"/>
  </r>
  <r>
    <d v="2023-06-29T00:00:00"/>
    <s v="Child"/>
    <x v="28"/>
    <n v="58"/>
    <n v="6"/>
    <n v="0"/>
    <n v="0"/>
    <n v="63"/>
    <x v="30"/>
    <n v="0"/>
    <x v="1"/>
  </r>
  <r>
    <d v="2023-07-27T00:00:00"/>
    <s v="Adult"/>
    <x v="13"/>
    <n v="323"/>
    <n v="13"/>
    <n v="0"/>
    <n v="0"/>
    <n v="336"/>
    <x v="31"/>
    <n v="0"/>
    <x v="1"/>
  </r>
  <r>
    <d v="2023-07-27T00:00:00"/>
    <s v="Adult"/>
    <x v="11"/>
    <n v="446"/>
    <n v="18"/>
    <n v="0"/>
    <n v="0"/>
    <n v="464"/>
    <x v="31"/>
    <n v="0"/>
    <x v="1"/>
  </r>
  <r>
    <d v="2023-07-27T00:00:00"/>
    <s v="Adult"/>
    <x v="8"/>
    <n v="354"/>
    <n v="19"/>
    <n v="0"/>
    <n v="0"/>
    <n v="373"/>
    <x v="31"/>
    <n v="0"/>
    <x v="1"/>
  </r>
  <r>
    <d v="2023-07-27T00:00:00"/>
    <s v="Adult"/>
    <x v="19"/>
    <n v="207"/>
    <n v="6"/>
    <n v="0"/>
    <n v="0"/>
    <n v="213"/>
    <x v="31"/>
    <n v="0"/>
    <x v="1"/>
  </r>
  <r>
    <d v="2023-08-31T00:00:00"/>
    <s v="Adult"/>
    <x v="30"/>
    <n v="731"/>
    <n v="67"/>
    <n v="0"/>
    <n v="0"/>
    <n v="798"/>
    <x v="32"/>
    <n v="0"/>
    <x v="1"/>
  </r>
  <r>
    <d v="2023-08-31T00:00:00"/>
    <s v="Adult"/>
    <x v="13"/>
    <n v="349"/>
    <n v="20"/>
    <n v="0"/>
    <n v="0"/>
    <n v="368"/>
    <x v="32"/>
    <n v="0"/>
    <x v="1"/>
  </r>
  <r>
    <d v="2023-08-31T00:00:00"/>
    <s v="Adult"/>
    <x v="17"/>
    <n v="366"/>
    <n v="6"/>
    <n v="0"/>
    <n v="0"/>
    <n v="371"/>
    <x v="32"/>
    <n v="0"/>
    <x v="1"/>
  </r>
  <r>
    <d v="2023-08-31T00:00:00"/>
    <s v="Adult"/>
    <x v="11"/>
    <n v="588"/>
    <n v="39"/>
    <n v="0"/>
    <n v="0"/>
    <n v="627"/>
    <x v="32"/>
    <n v="0"/>
    <x v="1"/>
  </r>
  <r>
    <d v="2023-08-31T00:00:00"/>
    <s v="Adult"/>
    <x v="8"/>
    <n v="338"/>
    <n v="4"/>
    <n v="0"/>
    <n v="0"/>
    <n v="341"/>
    <x v="32"/>
    <n v="0"/>
    <x v="1"/>
  </r>
  <r>
    <d v="2023-08-31T00:00:00"/>
    <s v="Child"/>
    <x v="2"/>
    <n v="49"/>
    <n v="22"/>
    <n v="0"/>
    <n v="0"/>
    <n v="71"/>
    <x v="32"/>
    <n v="0"/>
    <x v="1"/>
  </r>
  <r>
    <d v="2023-08-31T00:00:00"/>
    <s v="Child"/>
    <x v="28"/>
    <n v="63"/>
    <n v="4"/>
    <n v="0"/>
    <n v="0"/>
    <n v="67"/>
    <x v="32"/>
    <n v="0"/>
    <x v="1"/>
  </r>
  <r>
    <d v="2023-09-28T00:00:00"/>
    <s v="Adult"/>
    <x v="30"/>
    <n v="943"/>
    <n v="10"/>
    <n v="0"/>
    <n v="0"/>
    <n v="953"/>
    <x v="33"/>
    <n v="0"/>
    <x v="1"/>
  </r>
  <r>
    <d v="2023-09-28T00:00:00"/>
    <s v="Adult"/>
    <x v="13"/>
    <n v="349"/>
    <n v="15"/>
    <n v="0"/>
    <n v="0"/>
    <n v="364"/>
    <x v="33"/>
    <n v="0"/>
    <x v="1"/>
  </r>
  <r>
    <d v="2023-09-28T00:00:00"/>
    <s v="Adult"/>
    <x v="4"/>
    <n v="209"/>
    <n v="63"/>
    <n v="0"/>
    <n v="0"/>
    <n v="273"/>
    <x v="33"/>
    <n v="0"/>
    <x v="1"/>
  </r>
  <r>
    <d v="2023-09-28T00:00:00"/>
    <s v="Adult"/>
    <x v="11"/>
    <n v="553"/>
    <n v="36"/>
    <n v="0"/>
    <n v="0"/>
    <n v="590"/>
    <x v="33"/>
    <n v="0"/>
    <x v="1"/>
  </r>
  <r>
    <d v="2023-09-28T00:00:00"/>
    <s v="Adult"/>
    <x v="27"/>
    <n v="523"/>
    <n v="41"/>
    <n v="0"/>
    <n v="0"/>
    <n v="564"/>
    <x v="33"/>
    <n v="0"/>
    <x v="1"/>
  </r>
  <r>
    <d v="2023-09-28T00:00:00"/>
    <s v="Adult"/>
    <x v="8"/>
    <n v="370"/>
    <n v="12"/>
    <n v="0"/>
    <n v="0"/>
    <n v="382"/>
    <x v="33"/>
    <n v="0"/>
    <x v="1"/>
  </r>
  <r>
    <d v="2023-09-28T00:00:00"/>
    <s v="Child"/>
    <x v="24"/>
    <n v="39"/>
    <n v="9"/>
    <n v="0"/>
    <n v="0"/>
    <n v="48"/>
    <x v="33"/>
    <n v="0"/>
    <x v="1"/>
  </r>
  <r>
    <d v="2023-10-26T00:00:00"/>
    <s v="Adult"/>
    <x v="17"/>
    <n v="355"/>
    <n v="11"/>
    <n v="0"/>
    <n v="0"/>
    <n v="366"/>
    <x v="41"/>
    <n v="0"/>
    <x v="1"/>
  </r>
  <r>
    <d v="2023-10-26T00:00:00"/>
    <s v="Adult"/>
    <x v="15"/>
    <n v="134"/>
    <n v="9"/>
    <n v="0"/>
    <n v="0"/>
    <n v="143"/>
    <x v="41"/>
    <n v="0"/>
    <x v="1"/>
  </r>
  <r>
    <d v="2023-10-26T00:00:00"/>
    <s v="Adult"/>
    <x v="27"/>
    <n v="627"/>
    <n v="19"/>
    <n v="0"/>
    <n v="0"/>
    <n v="646"/>
    <x v="41"/>
    <n v="0"/>
    <x v="1"/>
  </r>
  <r>
    <d v="2023-10-26T00:00:00"/>
    <s v="Adult"/>
    <x v="8"/>
    <n v="397"/>
    <n v="20"/>
    <n v="0"/>
    <n v="0"/>
    <n v="417"/>
    <x v="41"/>
    <n v="0"/>
    <x v="1"/>
  </r>
  <r>
    <d v="2023-10-26T00:00:00"/>
    <s v="Adult"/>
    <x v="19"/>
    <n v="163"/>
    <n v="4"/>
    <n v="0"/>
    <n v="0"/>
    <n v="167"/>
    <x v="41"/>
    <n v="0"/>
    <x v="1"/>
  </r>
  <r>
    <d v="2023-10-26T00:00:00"/>
    <s v="Child"/>
    <x v="27"/>
    <n v="71"/>
    <n v="13"/>
    <n v="0"/>
    <n v="0"/>
    <n v="83"/>
    <x v="41"/>
    <n v="0"/>
    <x v="1"/>
  </r>
  <r>
    <d v="2023-10-26T00:00:00"/>
    <s v="Child"/>
    <x v="24"/>
    <n v="33"/>
    <n v="13"/>
    <n v="0"/>
    <n v="0"/>
    <n v="46"/>
    <x v="41"/>
    <n v="0"/>
    <x v="1"/>
  </r>
  <r>
    <d v="2023-11-30T00:00:00"/>
    <s v="Adult"/>
    <x v="30"/>
    <n v="1066"/>
    <n v="54"/>
    <n v="0"/>
    <n v="0"/>
    <n v="1120"/>
    <x v="42"/>
    <n v="0"/>
    <x v="1"/>
  </r>
  <r>
    <d v="2023-11-30T00:00:00"/>
    <s v="Adult"/>
    <x v="13"/>
    <n v="441"/>
    <n v="33"/>
    <n v="0"/>
    <n v="0"/>
    <n v="474"/>
    <x v="42"/>
    <n v="0"/>
    <x v="1"/>
  </r>
  <r>
    <d v="2023-11-30T00:00:00"/>
    <s v="Adult"/>
    <x v="17"/>
    <n v="443"/>
    <n v="25"/>
    <n v="0"/>
    <n v="0"/>
    <n v="468"/>
    <x v="42"/>
    <n v="0"/>
    <x v="1"/>
  </r>
  <r>
    <d v="2023-11-30T00:00:00"/>
    <s v="Adult"/>
    <x v="11"/>
    <n v="637"/>
    <n v="18"/>
    <n v="0"/>
    <n v="0"/>
    <n v="655"/>
    <x v="42"/>
    <n v="0"/>
    <x v="1"/>
  </r>
  <r>
    <d v="2023-11-30T00:00:00"/>
    <s v="Adult"/>
    <x v="27"/>
    <n v="732"/>
    <n v="75"/>
    <n v="0"/>
    <n v="0"/>
    <n v="807"/>
    <x v="42"/>
    <n v="0"/>
    <x v="1"/>
  </r>
  <r>
    <d v="2023-11-30T00:00:00"/>
    <s v="Adult"/>
    <x v="8"/>
    <n v="392"/>
    <n v="41"/>
    <n v="0"/>
    <n v="0"/>
    <n v="433"/>
    <x v="42"/>
    <n v="0"/>
    <x v="1"/>
  </r>
  <r>
    <d v="2023-11-30T00:00:00"/>
    <s v="Child"/>
    <x v="21"/>
    <n v="39"/>
    <n v="4"/>
    <n v="0"/>
    <n v="0"/>
    <n v="42"/>
    <x v="42"/>
    <n v="0"/>
    <x v="1"/>
  </r>
  <r>
    <d v="2023-11-30T00:00:00"/>
    <s v="Child"/>
    <x v="28"/>
    <n v="66"/>
    <n v="4"/>
    <n v="0"/>
    <n v="0"/>
    <n v="70"/>
    <x v="42"/>
    <n v="0"/>
    <x v="1"/>
  </r>
  <r>
    <d v="2023-11-30T00:00:00"/>
    <s v="Child"/>
    <x v="24"/>
    <n v="34"/>
    <n v="13"/>
    <n v="0"/>
    <n v="0"/>
    <n v="47"/>
    <x v="42"/>
    <n v="0"/>
    <x v="1"/>
  </r>
  <r>
    <d v="2023-12-28T00:00:00"/>
    <s v="Adult"/>
    <x v="30"/>
    <n v="1101"/>
    <n v="88"/>
    <n v="0"/>
    <n v="0"/>
    <n v="1189"/>
    <x v="43"/>
    <n v="0"/>
    <x v="1"/>
  </r>
  <r>
    <d v="2023-12-28T00:00:00"/>
    <s v="Adult"/>
    <x v="13"/>
    <n v="423"/>
    <n v="9"/>
    <n v="0"/>
    <n v="0"/>
    <n v="432"/>
    <x v="43"/>
    <n v="0"/>
    <x v="1"/>
  </r>
  <r>
    <d v="2023-12-28T00:00:00"/>
    <s v="Adult"/>
    <x v="17"/>
    <n v="372"/>
    <n v="23"/>
    <n v="0"/>
    <n v="0"/>
    <n v="395"/>
    <x v="43"/>
    <n v="0"/>
    <x v="1"/>
  </r>
  <r>
    <d v="2023-12-28T00:00:00"/>
    <s v="Adult"/>
    <x v="26"/>
    <n v="750"/>
    <n v="263"/>
    <n v="0"/>
    <n v="0"/>
    <n v="1013"/>
    <x v="43"/>
    <n v="0"/>
    <x v="1"/>
  </r>
  <r>
    <d v="2023-12-28T00:00:00"/>
    <s v="Adult"/>
    <x v="18"/>
    <n v="919"/>
    <n v="166"/>
    <n v="0"/>
    <n v="0"/>
    <n v="1085"/>
    <x v="43"/>
    <n v="0"/>
    <x v="1"/>
  </r>
  <r>
    <d v="2023-12-28T00:00:00"/>
    <s v="Adult"/>
    <x v="15"/>
    <n v="183"/>
    <n v="11"/>
    <n v="0"/>
    <n v="0"/>
    <n v="194"/>
    <x v="43"/>
    <n v="0"/>
    <x v="1"/>
  </r>
  <r>
    <d v="2023-12-28T00:00:00"/>
    <s v="Adult"/>
    <x v="11"/>
    <n v="680"/>
    <n v="6"/>
    <n v="0"/>
    <n v="0"/>
    <n v="686"/>
    <x v="43"/>
    <n v="0"/>
    <x v="1"/>
  </r>
  <r>
    <d v="2023-12-28T00:00:00"/>
    <s v="Adult"/>
    <x v="27"/>
    <n v="767"/>
    <n v="70"/>
    <n v="0"/>
    <n v="0"/>
    <n v="837"/>
    <x v="43"/>
    <n v="0"/>
    <x v="1"/>
  </r>
  <r>
    <d v="2023-12-28T00:00:00"/>
    <s v="Adult"/>
    <x v="1"/>
    <n v="741"/>
    <n v="135"/>
    <n v="0"/>
    <n v="0"/>
    <n v="876"/>
    <x v="43"/>
    <n v="0"/>
    <x v="1"/>
  </r>
  <r>
    <d v="2023-12-28T00:00:00"/>
    <s v="Adult"/>
    <x v="8"/>
    <n v="364"/>
    <n v="42"/>
    <n v="0"/>
    <n v="0"/>
    <n v="406"/>
    <x v="43"/>
    <n v="0"/>
    <x v="1"/>
  </r>
  <r>
    <d v="2023-12-28T00:00:00"/>
    <s v="Child"/>
    <x v="27"/>
    <n v="107"/>
    <n v="23"/>
    <n v="0"/>
    <n v="0"/>
    <n v="130"/>
    <x v="43"/>
    <n v="0"/>
    <x v="1"/>
  </r>
  <r>
    <d v="2023-12-28T00:00:00"/>
    <s v="Child"/>
    <x v="28"/>
    <n v="85"/>
    <n v="8"/>
    <n v="0"/>
    <n v="0"/>
    <n v="92"/>
    <x v="43"/>
    <n v="0"/>
    <x v="1"/>
  </r>
  <r>
    <d v="2024-01-25T00:00:00"/>
    <s v="Adult"/>
    <x v="30"/>
    <n v="985"/>
    <n v="70"/>
    <n v="0"/>
    <n v="0"/>
    <n v="1055"/>
    <x v="12"/>
    <n v="0"/>
    <x v="1"/>
  </r>
  <r>
    <d v="2024-01-25T00:00:00"/>
    <s v="Adult"/>
    <x v="3"/>
    <n v="353"/>
    <n v="3"/>
    <n v="0"/>
    <n v="0"/>
    <n v="356"/>
    <x v="12"/>
    <n v="0"/>
    <x v="1"/>
  </r>
  <r>
    <d v="2024-01-25T00:00:00"/>
    <s v="Adult"/>
    <x v="13"/>
    <n v="420"/>
    <n v="23"/>
    <n v="0"/>
    <n v="0"/>
    <n v="443"/>
    <x v="12"/>
    <n v="0"/>
    <x v="1"/>
  </r>
  <r>
    <d v="2024-01-25T00:00:00"/>
    <s v="Adult"/>
    <x v="17"/>
    <n v="403"/>
    <n v="26"/>
    <n v="0"/>
    <n v="0"/>
    <n v="429"/>
    <x v="12"/>
    <n v="0"/>
    <x v="1"/>
  </r>
  <r>
    <d v="2024-01-25T00:00:00"/>
    <s v="Adult"/>
    <x v="15"/>
    <n v="199"/>
    <n v="17"/>
    <n v="0"/>
    <n v="0"/>
    <n v="216"/>
    <x v="12"/>
    <n v="0"/>
    <x v="1"/>
  </r>
  <r>
    <d v="2024-01-25T00:00:00"/>
    <s v="Adult"/>
    <x v="11"/>
    <n v="772"/>
    <n v="45"/>
    <n v="0"/>
    <n v="0"/>
    <n v="817"/>
    <x v="12"/>
    <n v="0"/>
    <x v="1"/>
  </r>
  <r>
    <d v="2024-01-25T00:00:00"/>
    <s v="Adult"/>
    <x v="27"/>
    <n v="739"/>
    <n v="89"/>
    <n v="0"/>
    <n v="0"/>
    <n v="828"/>
    <x v="12"/>
    <n v="0"/>
    <x v="1"/>
  </r>
  <r>
    <d v="2024-01-25T00:00:00"/>
    <s v="Adult"/>
    <x v="1"/>
    <n v="623"/>
    <n v="153"/>
    <n v="0"/>
    <n v="0"/>
    <n v="776"/>
    <x v="12"/>
    <n v="0"/>
    <x v="1"/>
  </r>
  <r>
    <d v="2024-01-25T00:00:00"/>
    <s v="Adult"/>
    <x v="8"/>
    <n v="374"/>
    <n v="46"/>
    <n v="0"/>
    <n v="0"/>
    <n v="420"/>
    <x v="12"/>
    <n v="0"/>
    <x v="1"/>
  </r>
  <r>
    <d v="2024-01-25T00:00:00"/>
    <s v="Child"/>
    <x v="23"/>
    <n v="7"/>
    <n v="6"/>
    <n v="0"/>
    <n v="0"/>
    <n v="13"/>
    <x v="12"/>
    <n v="0"/>
    <x v="1"/>
  </r>
  <r>
    <d v="2024-01-25T00:00:00"/>
    <s v="Child"/>
    <x v="26"/>
    <n v="23"/>
    <n v="7"/>
    <n v="0"/>
    <n v="0"/>
    <n v="30"/>
    <x v="12"/>
    <n v="0"/>
    <x v="1"/>
  </r>
  <r>
    <d v="2024-01-25T00:00:00"/>
    <s v="Child"/>
    <x v="18"/>
    <n v="220"/>
    <n v="8"/>
    <n v="0"/>
    <n v="0"/>
    <n v="227"/>
    <x v="12"/>
    <n v="0"/>
    <x v="1"/>
  </r>
  <r>
    <d v="2024-01-25T00:00:00"/>
    <s v="Child"/>
    <x v="27"/>
    <n v="93"/>
    <n v="20"/>
    <n v="0"/>
    <n v="0"/>
    <n v="113"/>
    <x v="12"/>
    <n v="0"/>
    <x v="1"/>
  </r>
  <r>
    <d v="2024-02-29T00:00:00"/>
    <s v="Adult"/>
    <x v="16"/>
    <n v="515"/>
    <n v="17"/>
    <n v="0"/>
    <n v="0"/>
    <n v="532"/>
    <x v="13"/>
    <n v="0"/>
    <x v="1"/>
  </r>
  <r>
    <d v="2024-02-29T00:00:00"/>
    <s v="Adult"/>
    <x v="30"/>
    <n v="1089"/>
    <n v="142"/>
    <n v="0"/>
    <n v="0"/>
    <n v="1231"/>
    <x v="13"/>
    <n v="0"/>
    <x v="1"/>
  </r>
  <r>
    <d v="2024-02-29T00:00:00"/>
    <s v="Adult"/>
    <x v="13"/>
    <n v="434"/>
    <n v="38"/>
    <n v="0"/>
    <n v="0"/>
    <n v="471"/>
    <x v="13"/>
    <n v="0"/>
    <x v="1"/>
  </r>
  <r>
    <d v="2024-02-29T00:00:00"/>
    <s v="Adult"/>
    <x v="17"/>
    <n v="420"/>
    <n v="31"/>
    <n v="0"/>
    <n v="0"/>
    <n v="451"/>
    <x v="13"/>
    <n v="0"/>
    <x v="1"/>
  </r>
  <r>
    <d v="2024-02-29T00:00:00"/>
    <s v="Adult"/>
    <x v="15"/>
    <n v="178"/>
    <n v="35"/>
    <n v="0"/>
    <n v="0"/>
    <n v="213"/>
    <x v="13"/>
    <n v="0"/>
    <x v="1"/>
  </r>
  <r>
    <d v="2024-02-29T00:00:00"/>
    <s v="Adult"/>
    <x v="11"/>
    <n v="629"/>
    <n v="168"/>
    <n v="0"/>
    <n v="0"/>
    <n v="797"/>
    <x v="13"/>
    <n v="0"/>
    <x v="1"/>
  </r>
  <r>
    <d v="2024-02-29T00:00:00"/>
    <s v="Adult"/>
    <x v="27"/>
    <n v="712"/>
    <n v="115"/>
    <n v="0"/>
    <n v="0"/>
    <n v="827"/>
    <x v="13"/>
    <n v="0"/>
    <x v="1"/>
  </r>
  <r>
    <d v="2024-02-29T00:00:00"/>
    <s v="Adult"/>
    <x v="1"/>
    <n v="552"/>
    <n v="139"/>
    <n v="0"/>
    <n v="0"/>
    <n v="691"/>
    <x v="13"/>
    <n v="0"/>
    <x v="1"/>
  </r>
  <r>
    <d v="2024-02-29T00:00:00"/>
    <s v="Adult"/>
    <x v="8"/>
    <n v="380"/>
    <n v="32"/>
    <n v="0"/>
    <n v="0"/>
    <n v="412"/>
    <x v="13"/>
    <n v="0"/>
    <x v="1"/>
  </r>
  <r>
    <d v="2024-02-29T00:00:00"/>
    <s v="Child"/>
    <x v="23"/>
    <n v="9"/>
    <n v="5"/>
    <n v="0"/>
    <n v="0"/>
    <n v="14"/>
    <x v="13"/>
    <n v="0"/>
    <x v="1"/>
  </r>
  <r>
    <d v="2024-02-29T00:00:00"/>
    <s v="Child"/>
    <x v="26"/>
    <n v="22"/>
    <n v="9"/>
    <n v="0"/>
    <n v="0"/>
    <n v="31"/>
    <x v="13"/>
    <n v="0"/>
    <x v="1"/>
  </r>
  <r>
    <d v="2024-02-29T00:00:00"/>
    <s v="Child"/>
    <x v="18"/>
    <n v="268"/>
    <n v="20"/>
    <n v="0"/>
    <n v="0"/>
    <n v="288"/>
    <x v="13"/>
    <n v="0"/>
    <x v="1"/>
  </r>
  <r>
    <d v="2024-02-29T00:00:00"/>
    <s v="Child"/>
    <x v="27"/>
    <n v="106"/>
    <n v="37"/>
    <n v="0"/>
    <n v="0"/>
    <n v="142"/>
    <x v="13"/>
    <n v="0"/>
    <x v="1"/>
  </r>
  <r>
    <d v="2024-02-29T00:00:00"/>
    <s v="Child"/>
    <x v="24"/>
    <n v="25"/>
    <n v="10"/>
    <n v="0"/>
    <n v="0"/>
    <n v="35"/>
    <x v="13"/>
    <n v="0"/>
    <x v="1"/>
  </r>
  <r>
    <d v="2024-03-28T00:00:00"/>
    <s v="Adult"/>
    <x v="16"/>
    <n v="202"/>
    <n v="10"/>
    <n v="0"/>
    <n v="0"/>
    <n v="212"/>
    <x v="14"/>
    <n v="0"/>
    <x v="1"/>
  </r>
  <r>
    <d v="2024-03-28T00:00:00"/>
    <s v="Adult"/>
    <x v="30"/>
    <n v="1085"/>
    <n v="242"/>
    <n v="0"/>
    <n v="0"/>
    <n v="1327"/>
    <x v="14"/>
    <n v="0"/>
    <x v="1"/>
  </r>
  <r>
    <d v="2024-03-28T00:00:00"/>
    <s v="Adult"/>
    <x v="3"/>
    <n v="591"/>
    <n v="3"/>
    <n v="0"/>
    <n v="0"/>
    <n v="594"/>
    <x v="14"/>
    <n v="0"/>
    <x v="1"/>
  </r>
  <r>
    <d v="2024-03-28T00:00:00"/>
    <s v="Adult"/>
    <x v="17"/>
    <n v="503"/>
    <n v="21"/>
    <n v="0"/>
    <n v="0"/>
    <n v="524"/>
    <x v="14"/>
    <n v="0"/>
    <x v="1"/>
  </r>
  <r>
    <d v="2024-03-28T00:00:00"/>
    <s v="Adult"/>
    <x v="15"/>
    <n v="212"/>
    <n v="44"/>
    <n v="0"/>
    <n v="0"/>
    <n v="256"/>
    <x v="14"/>
    <n v="0"/>
    <x v="1"/>
  </r>
  <r>
    <d v="2024-03-28T00:00:00"/>
    <s v="Adult"/>
    <x v="27"/>
    <n v="702"/>
    <n v="171"/>
    <n v="0"/>
    <n v="0"/>
    <n v="873"/>
    <x v="14"/>
    <n v="0"/>
    <x v="1"/>
  </r>
  <r>
    <d v="2024-03-28T00:00:00"/>
    <s v="Adult"/>
    <x v="8"/>
    <n v="317"/>
    <n v="45"/>
    <n v="0"/>
    <n v="0"/>
    <n v="362"/>
    <x v="14"/>
    <n v="0"/>
    <x v="1"/>
  </r>
  <r>
    <d v="2024-03-28T00:00:00"/>
    <s v="Adult"/>
    <x v="19"/>
    <n v="362"/>
    <n v="9"/>
    <n v="0"/>
    <n v="0"/>
    <n v="371"/>
    <x v="14"/>
    <n v="0"/>
    <x v="1"/>
  </r>
  <r>
    <d v="2024-03-28T00:00:00"/>
    <s v="Child"/>
    <x v="23"/>
    <n v="10"/>
    <n v="5"/>
    <n v="0"/>
    <n v="0"/>
    <n v="15"/>
    <x v="14"/>
    <n v="0"/>
    <x v="1"/>
  </r>
  <r>
    <d v="2024-03-28T00:00:00"/>
    <s v="Child"/>
    <x v="26"/>
    <n v="32"/>
    <n v="6"/>
    <n v="0"/>
    <n v="0"/>
    <n v="38"/>
    <x v="14"/>
    <n v="0"/>
    <x v="1"/>
  </r>
  <r>
    <d v="2024-03-28T00:00:00"/>
    <s v="Child"/>
    <x v="18"/>
    <n v="273"/>
    <n v="32"/>
    <n v="0"/>
    <n v="0"/>
    <n v="305"/>
    <x v="14"/>
    <n v="0"/>
    <x v="1"/>
  </r>
  <r>
    <d v="2024-03-28T00:00:00"/>
    <s v="Child"/>
    <x v="27"/>
    <n v="100"/>
    <n v="14"/>
    <n v="0"/>
    <n v="0"/>
    <n v="114"/>
    <x v="14"/>
    <n v="0"/>
    <x v="1"/>
  </r>
  <r>
    <d v="2024-03-28T00:00:00"/>
    <s v="Child"/>
    <x v="21"/>
    <n v="35"/>
    <n v="3"/>
    <n v="0"/>
    <n v="0"/>
    <n v="38"/>
    <x v="14"/>
    <n v="0"/>
    <x v="1"/>
  </r>
  <r>
    <d v="2024-03-28T00:00:00"/>
    <s v="Child"/>
    <x v="24"/>
    <n v="17"/>
    <n v="4"/>
    <n v="0"/>
    <n v="0"/>
    <n v="21"/>
    <x v="14"/>
    <n v="0"/>
    <x v="1"/>
  </r>
  <r>
    <d v="2024-04-25T00:00:00"/>
    <s v="Adult"/>
    <x v="16"/>
    <n v="188"/>
    <n v="12"/>
    <n v="0"/>
    <n v="0"/>
    <n v="200"/>
    <x v="15"/>
    <n v="0"/>
    <x v="1"/>
  </r>
  <r>
    <d v="2024-04-25T00:00:00"/>
    <s v="Adult"/>
    <x v="13"/>
    <n v="496"/>
    <n v="43"/>
    <n v="0"/>
    <n v="0"/>
    <n v="539"/>
    <x v="15"/>
    <n v="0"/>
    <x v="1"/>
  </r>
  <r>
    <d v="2024-04-25T00:00:00"/>
    <s v="Adult"/>
    <x v="17"/>
    <n v="452"/>
    <n v="22"/>
    <n v="0"/>
    <n v="0"/>
    <n v="474"/>
    <x v="15"/>
    <n v="0"/>
    <x v="1"/>
  </r>
  <r>
    <d v="2024-04-25T00:00:00"/>
    <s v="Adult"/>
    <x v="15"/>
    <n v="223"/>
    <n v="71"/>
    <n v="0"/>
    <n v="0"/>
    <n v="294"/>
    <x v="15"/>
    <n v="0"/>
    <x v="1"/>
  </r>
  <r>
    <d v="2024-04-25T00:00:00"/>
    <s v="Adult"/>
    <x v="11"/>
    <n v="625"/>
    <n v="125"/>
    <n v="0"/>
    <n v="0"/>
    <n v="749"/>
    <x v="15"/>
    <n v="0"/>
    <x v="1"/>
  </r>
  <r>
    <d v="2024-04-25T00:00:00"/>
    <s v="Adult"/>
    <x v="8"/>
    <n v="308"/>
    <n v="47"/>
    <n v="0"/>
    <n v="0"/>
    <n v="355"/>
    <x v="15"/>
    <n v="0"/>
    <x v="1"/>
  </r>
  <r>
    <d v="2024-04-25T00:00:00"/>
    <s v="Adult"/>
    <x v="19"/>
    <n v="335"/>
    <n v="20"/>
    <n v="0"/>
    <n v="0"/>
    <n v="355"/>
    <x v="15"/>
    <n v="0"/>
    <x v="1"/>
  </r>
  <r>
    <d v="2024-04-25T00:00:00"/>
    <s v="Child"/>
    <x v="23"/>
    <n v="12"/>
    <n v="6"/>
    <n v="0"/>
    <n v="0"/>
    <n v="18"/>
    <x v="15"/>
    <n v="0"/>
    <x v="1"/>
  </r>
  <r>
    <d v="2024-04-25T00:00:00"/>
    <s v="Child"/>
    <x v="26"/>
    <n v="29"/>
    <n v="15"/>
    <n v="0"/>
    <n v="0"/>
    <n v="44"/>
    <x v="15"/>
    <n v="0"/>
    <x v="1"/>
  </r>
  <r>
    <d v="2024-04-25T00:00:00"/>
    <s v="Child"/>
    <x v="18"/>
    <n v="254"/>
    <n v="29"/>
    <n v="0"/>
    <n v="0"/>
    <n v="283"/>
    <x v="15"/>
    <n v="0"/>
    <x v="1"/>
  </r>
  <r>
    <d v="2024-04-25T00:00:00"/>
    <s v="Child"/>
    <x v="21"/>
    <n v="22"/>
    <n v="7"/>
    <n v="0"/>
    <n v="0"/>
    <n v="29"/>
    <x v="15"/>
    <n v="0"/>
    <x v="1"/>
  </r>
  <r>
    <d v="2024-04-25T00:00:00"/>
    <s v="Child"/>
    <x v="19"/>
    <n v="20"/>
    <n v="4"/>
    <n v="0"/>
    <n v="0"/>
    <n v="24"/>
    <x v="15"/>
    <n v="0"/>
    <x v="1"/>
  </r>
  <r>
    <d v="2024-04-25T00:00:00"/>
    <s v="Child"/>
    <x v="24"/>
    <n v="19"/>
    <n v="4"/>
    <n v="0"/>
    <n v="0"/>
    <n v="23"/>
    <x v="15"/>
    <n v="0"/>
    <x v="1"/>
  </r>
  <r>
    <d v="2024-05-30T00:00:00"/>
    <s v="Adult"/>
    <x v="30"/>
    <n v="953"/>
    <n v="76"/>
    <n v="0"/>
    <n v="0"/>
    <n v="1029"/>
    <x v="0"/>
    <n v="0"/>
    <x v="1"/>
  </r>
  <r>
    <d v="2024-05-30T00:00:00"/>
    <s v="Adult"/>
    <x v="13"/>
    <n v="475"/>
    <n v="67"/>
    <n v="0"/>
    <n v="0"/>
    <n v="542"/>
    <x v="0"/>
    <n v="0"/>
    <x v="1"/>
  </r>
  <r>
    <d v="2024-05-30T00:00:00"/>
    <s v="Adult"/>
    <x v="17"/>
    <n v="581"/>
    <n v="32"/>
    <n v="0"/>
    <n v="0"/>
    <n v="613"/>
    <x v="0"/>
    <n v="0"/>
    <x v="1"/>
  </r>
  <r>
    <d v="2024-05-30T00:00:00"/>
    <s v="Adult"/>
    <x v="15"/>
    <n v="172"/>
    <n v="71"/>
    <n v="0"/>
    <n v="0"/>
    <n v="243"/>
    <x v="0"/>
    <n v="0"/>
    <x v="1"/>
  </r>
  <r>
    <d v="2024-05-30T00:00:00"/>
    <s v="Adult"/>
    <x v="8"/>
    <n v="255"/>
    <n v="43"/>
    <n v="0"/>
    <n v="0"/>
    <n v="298"/>
    <x v="0"/>
    <n v="0"/>
    <x v="1"/>
  </r>
  <r>
    <d v="2024-05-30T00:00:00"/>
    <s v="Adult"/>
    <x v="19"/>
    <n v="355"/>
    <n v="35"/>
    <n v="0"/>
    <n v="0"/>
    <n v="390"/>
    <x v="0"/>
    <n v="0"/>
    <x v="1"/>
  </r>
  <r>
    <d v="2024-05-30T00:00:00"/>
    <s v="Child"/>
    <x v="26"/>
    <n v="51"/>
    <n v="7"/>
    <n v="0"/>
    <n v="0"/>
    <n v="58"/>
    <x v="0"/>
    <n v="0"/>
    <x v="1"/>
  </r>
  <r>
    <d v="2024-05-30T00:00:00"/>
    <s v="Child"/>
    <x v="18"/>
    <n v="251"/>
    <n v="28"/>
    <n v="0"/>
    <n v="0"/>
    <n v="279"/>
    <x v="0"/>
    <n v="0"/>
    <x v="1"/>
  </r>
  <r>
    <d v="2024-05-30T00:00:00"/>
    <s v="Child"/>
    <x v="21"/>
    <n v="23"/>
    <n v="10"/>
    <n v="0"/>
    <n v="0"/>
    <n v="33"/>
    <x v="0"/>
    <n v="0"/>
    <x v="1"/>
  </r>
  <r>
    <d v="2024-05-30T00:00:00"/>
    <s v="Child"/>
    <x v="24"/>
    <n v="20"/>
    <n v="5"/>
    <n v="0"/>
    <n v="0"/>
    <n v="25"/>
    <x v="0"/>
    <n v="0"/>
    <x v="1"/>
  </r>
  <r>
    <d v="2024-06-27T00:00:00"/>
    <s v="Adult"/>
    <x v="30"/>
    <n v="1124"/>
    <n v="28"/>
    <n v="0"/>
    <n v="0"/>
    <n v="1152"/>
    <x v="1"/>
    <n v="0"/>
    <x v="1"/>
  </r>
  <r>
    <d v="2024-06-27T00:00:00"/>
    <s v="Adult"/>
    <x v="11"/>
    <n v="703"/>
    <n v="95"/>
    <n v="0"/>
    <n v="0"/>
    <n v="798"/>
    <x v="1"/>
    <n v="0"/>
    <x v="1"/>
  </r>
  <r>
    <d v="2024-06-27T00:00:00"/>
    <s v="Adult"/>
    <x v="19"/>
    <n v="340"/>
    <n v="62"/>
    <n v="0"/>
    <n v="0"/>
    <n v="402"/>
    <x v="1"/>
    <n v="0"/>
    <x v="1"/>
  </r>
  <r>
    <d v="2024-06-27T00:00:00"/>
    <s v="Child"/>
    <x v="26"/>
    <n v="47"/>
    <n v="3"/>
    <n v="0"/>
    <n v="0"/>
    <n v="50"/>
    <x v="1"/>
    <n v="0"/>
    <x v="1"/>
  </r>
  <r>
    <d v="2024-06-27T00:00:00"/>
    <s v="Child"/>
    <x v="20"/>
    <n v="3"/>
    <n v="3"/>
    <n v="0"/>
    <n v="0"/>
    <n v="6"/>
    <x v="1"/>
    <n v="0"/>
    <x v="1"/>
  </r>
  <r>
    <d v="2024-06-27T00:00:00"/>
    <s v="Child"/>
    <x v="18"/>
    <n v="258"/>
    <n v="24"/>
    <n v="0"/>
    <n v="0"/>
    <n v="282"/>
    <x v="1"/>
    <n v="0"/>
    <x v="1"/>
  </r>
  <r>
    <d v="2024-06-27T00:00:00"/>
    <s v="Child"/>
    <x v="21"/>
    <n v="20"/>
    <n v="7"/>
    <n v="0"/>
    <n v="0"/>
    <n v="26"/>
    <x v="1"/>
    <n v="0"/>
    <x v="1"/>
  </r>
  <r>
    <d v="2024-07-25T00:00:00"/>
    <s v="Adult"/>
    <x v="30"/>
    <n v="1042"/>
    <n v="48"/>
    <n v="0"/>
    <n v="0"/>
    <n v="1090"/>
    <x v="16"/>
    <n v="0"/>
    <x v="1"/>
  </r>
  <r>
    <d v="2024-07-25T00:00:00"/>
    <s v="Adult"/>
    <x v="17"/>
    <n v="628"/>
    <n v="13"/>
    <n v="0"/>
    <n v="0"/>
    <n v="641"/>
    <x v="16"/>
    <n v="0"/>
    <x v="1"/>
  </r>
  <r>
    <d v="2024-07-25T00:00:00"/>
    <s v="Adult"/>
    <x v="0"/>
    <n v="697"/>
    <n v="27"/>
    <n v="0"/>
    <n v="0"/>
    <n v="724"/>
    <x v="16"/>
    <n v="0"/>
    <x v="1"/>
  </r>
  <r>
    <d v="2024-07-25T00:00:00"/>
    <s v="Adult"/>
    <x v="19"/>
    <n v="290"/>
    <n v="58"/>
    <n v="0"/>
    <n v="0"/>
    <n v="348"/>
    <x v="16"/>
    <n v="0"/>
    <x v="1"/>
  </r>
  <r>
    <d v="2024-07-25T00:00:00"/>
    <s v="Child"/>
    <x v="26"/>
    <n v="48"/>
    <n v="6"/>
    <n v="0"/>
    <n v="0"/>
    <n v="54"/>
    <x v="16"/>
    <n v="0"/>
    <x v="1"/>
  </r>
  <r>
    <d v="2024-07-25T00:00:00"/>
    <s v="Child"/>
    <x v="18"/>
    <n v="260"/>
    <n v="27"/>
    <n v="0"/>
    <n v="0"/>
    <n v="287"/>
    <x v="16"/>
    <n v="0"/>
    <x v="1"/>
  </r>
  <r>
    <d v="2024-08-29T00:00:00"/>
    <s v="Adult"/>
    <x v="11"/>
    <n v="642"/>
    <n v="221"/>
    <n v="0"/>
    <n v="0"/>
    <n v="863"/>
    <x v="2"/>
    <n v="0"/>
    <x v="1"/>
  </r>
  <r>
    <d v="2024-08-29T00:00:00"/>
    <s v="Adult"/>
    <x v="8"/>
    <n v="293"/>
    <n v="35"/>
    <n v="0"/>
    <n v="0"/>
    <n v="328"/>
    <x v="2"/>
    <n v="0"/>
    <x v="1"/>
  </r>
  <r>
    <d v="2024-08-29T00:00:00"/>
    <s v="Adult"/>
    <x v="19"/>
    <n v="272"/>
    <n v="46"/>
    <n v="0"/>
    <n v="0"/>
    <n v="318"/>
    <x v="2"/>
    <n v="0"/>
    <x v="1"/>
  </r>
  <r>
    <d v="2024-08-29T00:00:00"/>
    <s v="Child"/>
    <x v="26"/>
    <n v="44"/>
    <n v="11"/>
    <n v="0"/>
    <n v="0"/>
    <n v="54"/>
    <x v="2"/>
    <n v="0"/>
    <x v="1"/>
  </r>
  <r>
    <d v="2024-08-29T00:00:00"/>
    <s v="Child"/>
    <x v="18"/>
    <n v="234"/>
    <n v="44"/>
    <n v="0"/>
    <n v="0"/>
    <n v="278"/>
    <x v="2"/>
    <n v="0"/>
    <x v="1"/>
  </r>
  <r>
    <d v="2024-08-29T00:00:00"/>
    <s v="Child"/>
    <x v="29"/>
    <n v="48"/>
    <n v="27"/>
    <n v="0"/>
    <n v="0"/>
    <n v="75"/>
    <x v="2"/>
    <n v="0"/>
    <x v="1"/>
  </r>
  <r>
    <d v="2024-08-29T00:00:00"/>
    <s v="Child"/>
    <x v="21"/>
    <n v="17"/>
    <n v="4"/>
    <n v="0"/>
    <n v="0"/>
    <n v="21"/>
    <x v="2"/>
    <n v="0"/>
    <x v="1"/>
  </r>
  <r>
    <d v="2024-08-29T00:00:00"/>
    <s v="Child"/>
    <x v="19"/>
    <n v="15"/>
    <n v="3"/>
    <n v="0"/>
    <n v="0"/>
    <n v="18"/>
    <x v="2"/>
    <n v="0"/>
    <x v="1"/>
  </r>
  <r>
    <d v="2024-09-26T00:00:00"/>
    <s v="Adult"/>
    <x v="30"/>
    <n v="1231"/>
    <n v="64"/>
    <n v="0"/>
    <n v="0"/>
    <n v="1295"/>
    <x v="17"/>
    <n v="0"/>
    <x v="1"/>
  </r>
  <r>
    <d v="2024-09-26T00:00:00"/>
    <s v="Adult"/>
    <x v="17"/>
    <n v="707"/>
    <n v="4"/>
    <n v="0"/>
    <n v="0"/>
    <n v="711"/>
    <x v="17"/>
    <n v="0"/>
    <x v="1"/>
  </r>
  <r>
    <d v="2024-09-26T00:00:00"/>
    <s v="Adult"/>
    <x v="11"/>
    <n v="735"/>
    <n v="241"/>
    <n v="0"/>
    <n v="0"/>
    <n v="976"/>
    <x v="17"/>
    <n v="0"/>
    <x v="1"/>
  </r>
  <r>
    <d v="2024-09-26T00:00:00"/>
    <s v="Adult"/>
    <x v="8"/>
    <n v="297"/>
    <n v="21"/>
    <n v="0"/>
    <n v="0"/>
    <n v="317"/>
    <x v="17"/>
    <n v="0"/>
    <x v="1"/>
  </r>
  <r>
    <d v="2024-09-26T00:00:00"/>
    <s v="Child"/>
    <x v="23"/>
    <n v="5"/>
    <n v="5"/>
    <n v="0"/>
    <n v="0"/>
    <n v="9"/>
    <x v="17"/>
    <n v="0"/>
    <x v="1"/>
  </r>
  <r>
    <d v="2024-09-26T00:00:00"/>
    <s v="Child"/>
    <x v="26"/>
    <n v="38"/>
    <n v="18"/>
    <n v="0"/>
    <n v="0"/>
    <n v="56"/>
    <x v="17"/>
    <n v="0"/>
    <x v="1"/>
  </r>
  <r>
    <d v="2024-09-26T00:00:00"/>
    <s v="Child"/>
    <x v="18"/>
    <n v="248"/>
    <n v="32"/>
    <n v="0"/>
    <n v="0"/>
    <n v="280"/>
    <x v="17"/>
    <n v="0"/>
    <x v="1"/>
  </r>
  <r>
    <d v="2024-09-26T00:00:00"/>
    <s v="Child"/>
    <x v="21"/>
    <n v="13"/>
    <n v="4"/>
    <n v="0"/>
    <n v="0"/>
    <n v="17"/>
    <x v="17"/>
    <n v="0"/>
    <x v="1"/>
  </r>
  <r>
    <d v="2024-09-26T00:00:00"/>
    <s v="Child"/>
    <x v="19"/>
    <n v="13"/>
    <n v="3"/>
    <n v="0"/>
    <n v="0"/>
    <n v="15"/>
    <x v="17"/>
    <n v="0"/>
    <x v="1"/>
  </r>
  <r>
    <d v="2024-10-31T00:00:00"/>
    <s v="Adult"/>
    <x v="30"/>
    <n v="1231"/>
    <n v="103"/>
    <n v="0"/>
    <n v="0"/>
    <n v="1334"/>
    <x v="34"/>
    <n v="0"/>
    <x v="1"/>
  </r>
  <r>
    <d v="2024-10-31T00:00:00"/>
    <s v="Adult"/>
    <x v="17"/>
    <n v="726"/>
    <n v="4"/>
    <n v="0"/>
    <n v="0"/>
    <n v="730"/>
    <x v="34"/>
    <n v="0"/>
    <x v="1"/>
  </r>
  <r>
    <d v="2024-10-31T00:00:00"/>
    <s v="Adult"/>
    <x v="8"/>
    <n v="321"/>
    <n v="24"/>
    <n v="0"/>
    <n v="0"/>
    <n v="345"/>
    <x v="34"/>
    <n v="0"/>
    <x v="1"/>
  </r>
  <r>
    <d v="2024-10-31T00:00:00"/>
    <s v="Child"/>
    <x v="23"/>
    <n v="6"/>
    <n v="3"/>
    <n v="0"/>
    <n v="0"/>
    <n v="9"/>
    <x v="34"/>
    <n v="0"/>
    <x v="1"/>
  </r>
  <r>
    <d v="2024-10-31T00:00:00"/>
    <s v="Child"/>
    <x v="26"/>
    <n v="41"/>
    <n v="9"/>
    <n v="0"/>
    <n v="0"/>
    <n v="50"/>
    <x v="34"/>
    <n v="0"/>
    <x v="1"/>
  </r>
  <r>
    <d v="2024-10-31T00:00:00"/>
    <s v="Child"/>
    <x v="18"/>
    <n v="213"/>
    <n v="5"/>
    <n v="0"/>
    <n v="0"/>
    <n v="218"/>
    <x v="34"/>
    <n v="0"/>
    <x v="1"/>
  </r>
  <r>
    <d v="2024-10-31T00:00:00"/>
    <s v="Child"/>
    <x v="19"/>
    <n v="9"/>
    <n v="3"/>
    <n v="0"/>
    <n v="0"/>
    <n v="12"/>
    <x v="34"/>
    <n v="0"/>
    <x v="1"/>
  </r>
  <r>
    <d v="2024-11-28T00:00:00"/>
    <s v="Adult"/>
    <x v="30"/>
    <n v="1310"/>
    <n v="70"/>
    <n v="0"/>
    <n v="0"/>
    <n v="1380"/>
    <x v="3"/>
    <n v="0"/>
    <x v="1"/>
  </r>
  <r>
    <d v="2024-11-28T00:00:00"/>
    <s v="Adult"/>
    <x v="19"/>
    <n v="238"/>
    <n v="28"/>
    <n v="0"/>
    <n v="0"/>
    <n v="266"/>
    <x v="3"/>
    <n v="0"/>
    <x v="1"/>
  </r>
  <r>
    <d v="2024-11-28T00:00:00"/>
    <s v="Child"/>
    <x v="23"/>
    <n v="5"/>
    <n v="3"/>
    <n v="0"/>
    <n v="0"/>
    <n v="8"/>
    <x v="3"/>
    <n v="0"/>
    <x v="1"/>
  </r>
  <r>
    <d v="2024-11-28T00:00:00"/>
    <s v="Child"/>
    <x v="26"/>
    <n v="29"/>
    <n v="15"/>
    <n v="0"/>
    <n v="0"/>
    <n v="44"/>
    <x v="3"/>
    <n v="0"/>
    <x v="1"/>
  </r>
  <r>
    <d v="2024-11-28T00:00:00"/>
    <s v="Child"/>
    <x v="19"/>
    <n v="11"/>
    <n v="4"/>
    <n v="0"/>
    <n v="0"/>
    <n v="15"/>
    <x v="3"/>
    <n v="0"/>
    <x v="1"/>
  </r>
  <r>
    <d v="2024-12-19T00:00:00"/>
    <s v="Adult"/>
    <x v="30"/>
    <n v="1310"/>
    <n v="23"/>
    <n v="0"/>
    <n v="0"/>
    <n v="1333"/>
    <x v="4"/>
    <n v="0"/>
    <x v="1"/>
  </r>
  <r>
    <d v="2024-12-19T00:00:00"/>
    <s v="Adult"/>
    <x v="17"/>
    <n v="700"/>
    <n v="11"/>
    <n v="0"/>
    <n v="0"/>
    <n v="711"/>
    <x v="4"/>
    <n v="0"/>
    <x v="1"/>
  </r>
  <r>
    <d v="2024-12-19T00:00:00"/>
    <s v="Adult"/>
    <x v="18"/>
    <n v="1170"/>
    <n v="220"/>
    <n v="0"/>
    <n v="0"/>
    <n v="1390"/>
    <x v="4"/>
    <n v="0"/>
    <x v="1"/>
  </r>
  <r>
    <d v="2024-12-19T00:00:00"/>
    <s v="Adult"/>
    <x v="0"/>
    <n v="762"/>
    <n v="49"/>
    <n v="0"/>
    <n v="0"/>
    <n v="811"/>
    <x v="4"/>
    <n v="0"/>
    <x v="1"/>
  </r>
  <r>
    <d v="2024-12-19T00:00:00"/>
    <s v="Adult"/>
    <x v="19"/>
    <n v="266"/>
    <n v="23"/>
    <n v="0"/>
    <n v="0"/>
    <n v="288"/>
    <x v="4"/>
    <n v="0"/>
    <x v="1"/>
  </r>
  <r>
    <d v="2024-12-19T00:00:00"/>
    <s v="Child"/>
    <x v="13"/>
    <n v="5"/>
    <n v="3"/>
    <n v="0"/>
    <n v="0"/>
    <n v="8"/>
    <x v="4"/>
    <n v="0"/>
    <x v="1"/>
  </r>
  <r>
    <d v="2024-12-19T00:00:00"/>
    <s v="Child"/>
    <x v="32"/>
    <n v="34"/>
    <n v="10"/>
    <n v="0"/>
    <n v="0"/>
    <n v="43"/>
    <x v="4"/>
    <n v="0"/>
    <x v="1"/>
  </r>
  <r>
    <d v="2024-12-19T00:00:00"/>
    <s v="Child"/>
    <x v="26"/>
    <n v="43"/>
    <n v="14"/>
    <n v="0"/>
    <n v="0"/>
    <n v="57"/>
    <x v="4"/>
    <n v="0"/>
    <x v="1"/>
  </r>
  <r>
    <d v="2024-12-19T00:00:00"/>
    <s v="Child"/>
    <x v="21"/>
    <n v="13"/>
    <n v="4"/>
    <n v="0"/>
    <n v="0"/>
    <n v="17"/>
    <x v="4"/>
    <n v="0"/>
    <x v="1"/>
  </r>
  <r>
    <d v="2025-01-30T00:00:00"/>
    <s v="Adult"/>
    <x v="30"/>
    <n v="1395"/>
    <n v="91"/>
    <n v="0"/>
    <n v="0"/>
    <n v="1486"/>
    <x v="18"/>
    <n v="0"/>
    <x v="1"/>
  </r>
  <r>
    <d v="2025-01-30T00:00:00"/>
    <s v="Adult"/>
    <x v="3"/>
    <n v="603"/>
    <n v="4"/>
    <n v="0"/>
    <n v="0"/>
    <n v="607"/>
    <x v="18"/>
    <n v="0"/>
    <x v="1"/>
  </r>
  <r>
    <d v="2025-01-30T00:00:00"/>
    <s v="Adult"/>
    <x v="17"/>
    <n v="696"/>
    <n v="28"/>
    <n v="0"/>
    <n v="0"/>
    <n v="724"/>
    <x v="18"/>
    <n v="0"/>
    <x v="1"/>
  </r>
  <r>
    <d v="2025-01-30T00:00:00"/>
    <s v="Child"/>
    <x v="26"/>
    <n v="38"/>
    <n v="15"/>
    <n v="0"/>
    <n v="0"/>
    <n v="53"/>
    <x v="18"/>
    <n v="0"/>
    <x v="1"/>
  </r>
  <r>
    <d v="2025-01-30T00:00:00"/>
    <s v="Child"/>
    <x v="21"/>
    <n v="14"/>
    <n v="3"/>
    <n v="0"/>
    <n v="0"/>
    <n v="17"/>
    <x v="18"/>
    <n v="0"/>
    <x v="1"/>
  </r>
  <r>
    <d v="2025-02-27T00:00:00"/>
    <s v="Adult"/>
    <x v="30"/>
    <n v="1309"/>
    <n v="90"/>
    <n v="0"/>
    <n v="0"/>
    <n v="1399"/>
    <x v="35"/>
    <n v="0"/>
    <x v="1"/>
  </r>
  <r>
    <d v="2025-02-27T00:00:00"/>
    <s v="Adult"/>
    <x v="3"/>
    <n v="622"/>
    <n v="6"/>
    <n v="0"/>
    <n v="0"/>
    <n v="628"/>
    <x v="35"/>
    <n v="0"/>
    <x v="1"/>
  </r>
  <r>
    <d v="2025-02-27T00:00:00"/>
    <s v="Adult"/>
    <x v="17"/>
    <n v="549"/>
    <n v="41"/>
    <n v="0"/>
    <n v="0"/>
    <n v="590"/>
    <x v="35"/>
    <n v="0"/>
    <x v="1"/>
  </r>
  <r>
    <d v="2025-02-27T00:00:00"/>
    <s v="Child"/>
    <x v="16"/>
    <n v="14"/>
    <n v="3"/>
    <n v="0"/>
    <n v="0"/>
    <n v="17"/>
    <x v="35"/>
    <n v="0"/>
    <x v="1"/>
  </r>
  <r>
    <d v="2025-02-27T00:00:00"/>
    <s v="Child"/>
    <x v="26"/>
    <n v="38"/>
    <n v="18"/>
    <n v="0"/>
    <n v="0"/>
    <n v="56"/>
    <x v="35"/>
    <n v="0"/>
    <x v="1"/>
  </r>
  <r>
    <d v="2025-03-27T00:00:00"/>
    <s v="Adult"/>
    <x v="30"/>
    <n v="1217"/>
    <n v="185"/>
    <n v="0"/>
    <n v="0"/>
    <n v="1402"/>
    <x v="19"/>
    <n v="0"/>
    <x v="1"/>
  </r>
  <r>
    <d v="2025-03-27T00:00:00"/>
    <s v="Adult"/>
    <x v="3"/>
    <n v="640"/>
    <n v="35"/>
    <n v="0"/>
    <n v="0"/>
    <n v="675"/>
    <x v="19"/>
    <n v="0"/>
    <x v="1"/>
  </r>
  <r>
    <d v="2025-03-27T00:00:00"/>
    <s v="Adult"/>
    <x v="17"/>
    <n v="586"/>
    <n v="39"/>
    <n v="0"/>
    <n v="0"/>
    <n v="625"/>
    <x v="19"/>
    <n v="0"/>
    <x v="1"/>
  </r>
  <r>
    <d v="2025-03-27T00:00:00"/>
    <s v="Adult"/>
    <x v="19"/>
    <n v="290"/>
    <n v="50"/>
    <n v="0"/>
    <n v="0"/>
    <n v="340"/>
    <x v="19"/>
    <n v="0"/>
    <x v="1"/>
  </r>
  <r>
    <d v="2025-03-27T00:00:00"/>
    <s v="Child"/>
    <x v="26"/>
    <n v="29"/>
    <n v="19"/>
    <n v="0"/>
    <n v="0"/>
    <n v="48"/>
    <x v="19"/>
    <n v="0"/>
    <x v="1"/>
  </r>
  <r>
    <d v="2025-03-27T00:00:00"/>
    <s v="Child"/>
    <x v="18"/>
    <n v="227"/>
    <n v="9"/>
    <n v="0"/>
    <n v="0"/>
    <n v="236"/>
    <x v="19"/>
    <n v="0"/>
    <x v="1"/>
  </r>
  <r>
    <d v="2025-03-27T00:00:00"/>
    <s v="Child"/>
    <x v="21"/>
    <n v="14"/>
    <n v="3"/>
    <n v="0"/>
    <n v="0"/>
    <n v="17"/>
    <x v="19"/>
    <n v="0"/>
    <x v="1"/>
  </r>
  <r>
    <d v="2025-03-27T00:00:00"/>
    <s v="Child"/>
    <x v="19"/>
    <n v="7"/>
    <n v="4"/>
    <n v="0"/>
    <n v="0"/>
    <n v="11"/>
    <x v="19"/>
    <n v="0"/>
    <x v="1"/>
  </r>
  <r>
    <d v="2025-04-24T00:00:00"/>
    <s v="Adult"/>
    <x v="3"/>
    <n v="646"/>
    <n v="68"/>
    <n v="0"/>
    <n v="0"/>
    <n v="714"/>
    <x v="5"/>
    <n v="0"/>
    <x v="1"/>
  </r>
  <r>
    <d v="2025-04-24T00:00:00"/>
    <s v="Adult"/>
    <x v="17"/>
    <n v="552"/>
    <n v="37"/>
    <n v="0"/>
    <n v="0"/>
    <n v="589"/>
    <x v="5"/>
    <n v="0"/>
    <x v="1"/>
  </r>
  <r>
    <d v="2025-04-24T00:00:00"/>
    <s v="Child"/>
    <x v="16"/>
    <n v="14"/>
    <n v="5"/>
    <n v="0"/>
    <n v="0"/>
    <n v="19"/>
    <x v="5"/>
    <n v="0"/>
    <x v="1"/>
  </r>
  <r>
    <d v="2025-04-24T00:00:00"/>
    <s v="Child"/>
    <x v="26"/>
    <n v="26"/>
    <n v="23"/>
    <n v="0"/>
    <n v="0"/>
    <n v="49"/>
    <x v="5"/>
    <n v="0"/>
    <x v="1"/>
  </r>
  <r>
    <d v="2025-04-24T00:00:00"/>
    <s v="Child"/>
    <x v="18"/>
    <n v="195"/>
    <n v="26"/>
    <n v="0"/>
    <n v="0"/>
    <n v="221"/>
    <x v="5"/>
    <n v="0"/>
    <x v="1"/>
  </r>
  <r>
    <d v="2025-04-24T00:00:00"/>
    <s v="Child"/>
    <x v="19"/>
    <n v="5"/>
    <n v="5"/>
    <n v="0"/>
    <n v="0"/>
    <n v="9"/>
    <x v="5"/>
    <n v="0"/>
    <x v="1"/>
  </r>
  <r>
    <d v="2025-05-29T00:00:00"/>
    <s v="Adult"/>
    <x v="25"/>
    <n v="139"/>
    <n v="37"/>
    <n v="0"/>
    <n v="0"/>
    <n v="176"/>
    <x v="20"/>
    <n v="0"/>
    <x v="1"/>
  </r>
  <r>
    <d v="2025-05-29T00:00:00"/>
    <s v="Adult"/>
    <x v="3"/>
    <n v="754"/>
    <n v="92"/>
    <n v="0"/>
    <n v="0"/>
    <n v="846"/>
    <x v="20"/>
    <n v="0"/>
    <x v="1"/>
  </r>
  <r>
    <d v="2025-05-29T00:00:00"/>
    <s v="Adult"/>
    <x v="17"/>
    <n v="624"/>
    <n v="57"/>
    <n v="0"/>
    <n v="0"/>
    <n v="681"/>
    <x v="20"/>
    <n v="0"/>
    <x v="1"/>
  </r>
  <r>
    <d v="2025-05-29T00:00:00"/>
    <s v="Child"/>
    <x v="13"/>
    <n v="6"/>
    <n v="3"/>
    <n v="0"/>
    <n v="0"/>
    <n v="9"/>
    <x v="20"/>
    <n v="0"/>
    <x v="1"/>
  </r>
  <r>
    <d v="2025-05-29T00:00:00"/>
    <s v="Child"/>
    <x v="18"/>
    <n v="215"/>
    <n v="43"/>
    <n v="0"/>
    <n v="0"/>
    <n v="258"/>
    <x v="20"/>
    <n v="0"/>
    <x v="1"/>
  </r>
  <r>
    <d v="2025-06-26T00:00:00"/>
    <s v="Adult"/>
    <x v="16"/>
    <n v="369"/>
    <n v="37"/>
    <n v="0"/>
    <n v="0"/>
    <n v="406"/>
    <x v="21"/>
    <n v="0"/>
    <x v="1"/>
  </r>
  <r>
    <d v="2025-06-26T00:00:00"/>
    <s v="Adult"/>
    <x v="3"/>
    <n v="705"/>
    <n v="86"/>
    <n v="0"/>
    <n v="0"/>
    <n v="791"/>
    <x v="21"/>
    <n v="0"/>
    <x v="1"/>
  </r>
  <r>
    <d v="2025-06-26T00:00:00"/>
    <s v="Adult"/>
    <x v="17"/>
    <n v="574"/>
    <n v="64"/>
    <n v="0"/>
    <n v="0"/>
    <n v="637"/>
    <x v="21"/>
    <n v="0"/>
    <x v="1"/>
  </r>
  <r>
    <d v="2025-06-26T00:00:00"/>
    <s v="Child"/>
    <x v="16"/>
    <n v="20"/>
    <n v="3"/>
    <n v="0"/>
    <n v="0"/>
    <n v="23"/>
    <x v="21"/>
    <n v="0"/>
    <x v="1"/>
  </r>
  <r>
    <d v="2025-06-26T00:00:00"/>
    <s v="Child"/>
    <x v="18"/>
    <n v="154"/>
    <n v="36"/>
    <n v="0"/>
    <n v="0"/>
    <n v="190"/>
    <x v="21"/>
    <n v="0"/>
    <x v="1"/>
  </r>
  <r>
    <d v="2025-07-31T00:00:00"/>
    <s v="Adult"/>
    <x v="16"/>
    <n v="296"/>
    <n v="21"/>
    <n v="0"/>
    <n v="0"/>
    <n v="317"/>
    <x v="22"/>
    <n v="0"/>
    <x v="1"/>
  </r>
  <r>
    <d v="2025-07-31T00:00:00"/>
    <s v="Adult"/>
    <x v="3"/>
    <n v="762"/>
    <n v="94"/>
    <n v="0"/>
    <n v="0"/>
    <n v="856"/>
    <x v="22"/>
    <n v="0"/>
    <x v="1"/>
  </r>
  <r>
    <d v="2025-07-31T00:00:00"/>
    <s v="Adult"/>
    <x v="17"/>
    <n v="588"/>
    <n v="90"/>
    <n v="0"/>
    <n v="0"/>
    <n v="678"/>
    <x v="22"/>
    <n v="0"/>
    <x v="1"/>
  </r>
  <r>
    <d v="2025-07-31T00:00:00"/>
    <s v="Child"/>
    <x v="6"/>
    <n v="3"/>
    <n v="3"/>
    <n v="0"/>
    <n v="0"/>
    <n v="5"/>
    <x v="22"/>
    <n v="0"/>
    <x v="1"/>
  </r>
  <r>
    <d v="2025-07-31T00:00:00"/>
    <s v="Child"/>
    <x v="18"/>
    <n v="175"/>
    <n v="41"/>
    <n v="0"/>
    <n v="0"/>
    <n v="216"/>
    <x v="22"/>
    <n v="0"/>
    <x v="1"/>
  </r>
  <r>
    <d v="2025-08-28T00:00:00"/>
    <s v="Adult"/>
    <x v="16"/>
    <n v="362"/>
    <n v="19"/>
    <n v="0"/>
    <n v="0"/>
    <n v="381"/>
    <x v="23"/>
    <n v="0"/>
    <x v="1"/>
  </r>
  <r>
    <d v="2025-08-28T00:00:00"/>
    <s v="Adult"/>
    <x v="3"/>
    <n v="652"/>
    <n v="154"/>
    <n v="0"/>
    <n v="0"/>
    <n v="806"/>
    <x v="23"/>
    <n v="0"/>
    <x v="1"/>
  </r>
  <r>
    <d v="2025-08-28T00:00:00"/>
    <s v="Adult"/>
    <x v="17"/>
    <n v="563"/>
    <n v="108"/>
    <n v="0"/>
    <n v="0"/>
    <n v="671"/>
    <x v="23"/>
    <n v="0"/>
    <x v="1"/>
  </r>
  <r>
    <d v="2025-08-28T00:00:00"/>
    <s v="Adult"/>
    <x v="19"/>
    <n v="322"/>
    <n v="30"/>
    <n v="0"/>
    <n v="0"/>
    <n v="351"/>
    <x v="23"/>
    <n v="0"/>
    <x v="1"/>
  </r>
  <r>
    <d v="2025-08-28T00:00:00"/>
    <s v="Child"/>
    <x v="26"/>
    <n v="22"/>
    <n v="8"/>
    <n v="0"/>
    <n v="0"/>
    <n v="30"/>
    <x v="23"/>
    <n v="0"/>
    <x v="1"/>
  </r>
  <r>
    <d v="2025-08-28T00:00:00"/>
    <s v="Child"/>
    <x v="18"/>
    <n v="211"/>
    <n v="57"/>
    <n v="0"/>
    <n v="0"/>
    <n v="268"/>
    <x v="23"/>
    <n v="0"/>
    <x v="1"/>
  </r>
  <r>
    <d v="2025-09-25T00:00:00"/>
    <s v="Adult"/>
    <x v="16"/>
    <n v="438"/>
    <n v="16"/>
    <n v="0"/>
    <n v="0"/>
    <n v="454"/>
    <x v="24"/>
    <n v="0"/>
    <x v="1"/>
  </r>
  <r>
    <d v="2025-09-25T00:00:00"/>
    <s v="Adult"/>
    <x v="9"/>
    <n v="89"/>
    <n v="20"/>
    <n v="0"/>
    <n v="0"/>
    <n v="108"/>
    <x v="24"/>
    <n v="0"/>
    <x v="1"/>
  </r>
  <r>
    <d v="2025-09-25T00:00:00"/>
    <s v="Adult"/>
    <x v="3"/>
    <n v="675"/>
    <n v="191"/>
    <n v="0"/>
    <n v="0"/>
    <n v="866"/>
    <x v="24"/>
    <n v="0"/>
    <x v="1"/>
  </r>
  <r>
    <d v="2025-09-25T00:00:00"/>
    <s v="Adult"/>
    <x v="17"/>
    <n v="514"/>
    <n v="135"/>
    <n v="0"/>
    <n v="0"/>
    <n v="649"/>
    <x v="24"/>
    <n v="0"/>
    <x v="1"/>
  </r>
  <r>
    <d v="2025-09-25T00:00:00"/>
    <s v="Adult"/>
    <x v="19"/>
    <n v="359"/>
    <n v="34"/>
    <n v="0"/>
    <n v="0"/>
    <n v="393"/>
    <x v="24"/>
    <n v="0"/>
    <x v="1"/>
  </r>
  <r>
    <d v="2025-09-25T00:00:00"/>
    <s v="Child"/>
    <x v="26"/>
    <n v="23"/>
    <n v="8"/>
    <n v="0"/>
    <n v="0"/>
    <n v="31"/>
    <x v="24"/>
    <n v="0"/>
    <x v="1"/>
  </r>
  <r>
    <d v="2025-09-25T00:00:00"/>
    <s v="Child"/>
    <x v="18"/>
    <n v="174"/>
    <n v="39"/>
    <n v="0"/>
    <n v="0"/>
    <n v="213"/>
    <x v="24"/>
    <n v="0"/>
    <x v="1"/>
  </r>
  <r>
    <d v="2025-10-30T00:00:00"/>
    <s v="Adult"/>
    <x v="17"/>
    <n v="562"/>
    <n v="131"/>
    <n v="0"/>
    <n v="0"/>
    <n v="693"/>
    <x v="25"/>
    <n v="0"/>
    <x v="1"/>
  </r>
  <r>
    <d v="2025-10-30T00:00:00"/>
    <s v="Adult"/>
    <x v="19"/>
    <n v="333"/>
    <n v="42"/>
    <n v="0"/>
    <n v="0"/>
    <n v="375"/>
    <x v="25"/>
    <n v="0"/>
    <x v="1"/>
  </r>
  <r>
    <d v="2025-10-30T00:00:00"/>
    <s v="Child"/>
    <x v="16"/>
    <n v="25"/>
    <n v="3"/>
    <n v="0"/>
    <n v="0"/>
    <n v="27"/>
    <x v="25"/>
    <n v="0"/>
    <x v="1"/>
  </r>
  <r>
    <d v="2025-10-30T00:00:00"/>
    <s v="Child"/>
    <x v="32"/>
    <n v="30"/>
    <n v="7"/>
    <n v="0"/>
    <n v="0"/>
    <n v="37"/>
    <x v="25"/>
    <n v="0"/>
    <x v="1"/>
  </r>
  <r>
    <d v="2025-10-30T00:00:00"/>
    <s v="Child"/>
    <x v="26"/>
    <n v="13"/>
    <n v="10"/>
    <n v="0"/>
    <n v="0"/>
    <n v="23"/>
    <x v="25"/>
    <n v="0"/>
    <x v="1"/>
  </r>
  <r>
    <d v="2025-10-30T00:00:00"/>
    <s v="Child"/>
    <x v="18"/>
    <n v="218"/>
    <n v="23"/>
    <n v="0"/>
    <n v="0"/>
    <n v="241"/>
    <x v="25"/>
    <n v="0"/>
    <x v="1"/>
  </r>
  <r>
    <d v="2025-11-27T00:00:00"/>
    <s v="Adult"/>
    <x v="17"/>
    <n v="589"/>
    <n v="111"/>
    <n v="0"/>
    <n v="0"/>
    <n v="699"/>
    <x v="26"/>
    <n v="0"/>
    <x v="1"/>
  </r>
  <r>
    <d v="2025-11-27T00:00:00"/>
    <s v="Child"/>
    <x v="26"/>
    <n v="14"/>
    <n v="3"/>
    <n v="0"/>
    <n v="0"/>
    <n v="17"/>
    <x v="26"/>
    <n v="0"/>
    <x v="1"/>
  </r>
  <r>
    <d v="2025-11-27T00:00:00"/>
    <s v="Child"/>
    <x v="18"/>
    <n v="198"/>
    <n v="22"/>
    <n v="0"/>
    <n v="0"/>
    <n v="220"/>
    <x v="26"/>
    <n v="0"/>
    <x v="1"/>
  </r>
  <r>
    <d v="2025-11-27T00:00:00"/>
    <s v="Child"/>
    <x v="29"/>
    <n v="24"/>
    <n v="3"/>
    <n v="0"/>
    <n v="0"/>
    <n v="27"/>
    <x v="26"/>
    <n v="0"/>
    <x v="1"/>
  </r>
  <r>
    <d v="2025-12-18T00:00:00"/>
    <s v="Adult"/>
    <x v="9"/>
    <n v="28"/>
    <n v="4"/>
    <n v="0"/>
    <n v="0"/>
    <n v="32"/>
    <x v="27"/>
    <n v="0"/>
    <x v="1"/>
  </r>
  <r>
    <d v="2025-12-18T00:00:00"/>
    <s v="Adult"/>
    <x v="17"/>
    <n v="595"/>
    <n v="61"/>
    <n v="0"/>
    <n v="0"/>
    <n v="656"/>
    <x v="27"/>
    <n v="0"/>
    <x v="1"/>
  </r>
  <r>
    <d v="2025-12-18T00:00:00"/>
    <s v="Child"/>
    <x v="18"/>
    <n v="214"/>
    <n v="32"/>
    <n v="0"/>
    <n v="0"/>
    <n v="246"/>
    <x v="27"/>
    <n v="0"/>
    <x v="1"/>
  </r>
  <r>
    <d v="2025-12-18T00:00:00"/>
    <s v="Child"/>
    <x v="29"/>
    <n v="39"/>
    <n v="3"/>
    <n v="0"/>
    <n v="0"/>
    <n v="42"/>
    <x v="27"/>
    <n v="0"/>
    <x v="1"/>
  </r>
  <r>
    <d v="2026-01-29T00:00:00"/>
    <s v="Adult"/>
    <x v="17"/>
    <n v="607"/>
    <n v="65"/>
    <n v="0"/>
    <n v="0"/>
    <n v="672"/>
    <x v="6"/>
    <n v="0"/>
    <x v="1"/>
  </r>
  <r>
    <d v="2026-01-29T00:00:00"/>
    <s v="Adult"/>
    <x v="0"/>
    <n v="772"/>
    <n v="63"/>
    <n v="0"/>
    <n v="0"/>
    <n v="835"/>
    <x v="6"/>
    <n v="0"/>
    <x v="1"/>
  </r>
  <r>
    <d v="2026-01-29T00:00:00"/>
    <s v="Child"/>
    <x v="29"/>
    <n v="27"/>
    <n v="5"/>
    <n v="0"/>
    <n v="0"/>
    <n v="32"/>
    <x v="6"/>
    <n v="0"/>
    <x v="1"/>
  </r>
  <r>
    <d v="2026-02-26T00:00:00"/>
    <s v="Adult"/>
    <x v="16"/>
    <n v="411"/>
    <n v="7"/>
    <n v="0"/>
    <n v="0"/>
    <n v="418"/>
    <x v="7"/>
    <n v="0"/>
    <x v="1"/>
  </r>
  <r>
    <d v="2026-02-26T00:00:00"/>
    <s v="Adult"/>
    <x v="9"/>
    <n v="24"/>
    <n v="3"/>
    <n v="0"/>
    <n v="0"/>
    <n v="27"/>
    <x v="7"/>
    <n v="0"/>
    <x v="1"/>
  </r>
  <r>
    <d v="2026-02-26T00:00:00"/>
    <s v="Child"/>
    <x v="29"/>
    <n v="34"/>
    <n v="8"/>
    <n v="0"/>
    <n v="0"/>
    <n v="41"/>
    <x v="7"/>
    <n v="0"/>
    <x v="1"/>
  </r>
  <r>
    <d v="2026-03-26T00:00:00"/>
    <s v="Adult"/>
    <x v="9"/>
    <n v="25"/>
    <n v="3"/>
    <n v="0"/>
    <n v="0"/>
    <n v="27"/>
    <x v="28"/>
    <n v="0"/>
    <x v="1"/>
  </r>
  <r>
    <d v="2026-03-26T00:00:00"/>
    <s v="Child"/>
    <x v="18"/>
    <n v="209"/>
    <n v="27"/>
    <n v="0"/>
    <n v="0"/>
    <n v="236"/>
    <x v="28"/>
    <n v="0"/>
    <x v="1"/>
  </r>
  <r>
    <d v="2026-03-26T00:00:00"/>
    <s v="Child"/>
    <x v="29"/>
    <n v="33"/>
    <n v="4"/>
    <n v="0"/>
    <n v="0"/>
    <n v="36"/>
    <x v="28"/>
    <n v="0"/>
    <x v="1"/>
  </r>
  <r>
    <d v="2026-03-26T00:00:00"/>
    <s v="Child"/>
    <x v="11"/>
    <n v="5"/>
    <n v="3"/>
    <n v="0"/>
    <n v="0"/>
    <n v="8"/>
    <x v="28"/>
    <n v="0"/>
    <x v="1"/>
  </r>
  <r>
    <d v="2026-03-26T00:00:00"/>
    <s v="Child"/>
    <x v="24"/>
    <n v="11"/>
    <n v="3"/>
    <n v="0"/>
    <n v="0"/>
    <n v="14"/>
    <x v="28"/>
    <n v="0"/>
    <x v="1"/>
  </r>
  <r>
    <d v="2026-04-30T00:00:00"/>
    <s v="Adult"/>
    <x v="16"/>
    <n v="294"/>
    <n v="27"/>
    <n v="0"/>
    <n v="0"/>
    <n v="321"/>
    <x v="29"/>
    <n v="0"/>
    <x v="1"/>
  </r>
  <r>
    <d v="2026-04-30T00:00:00"/>
    <s v="Child"/>
    <x v="16"/>
    <n v="13"/>
    <n v="3"/>
    <n v="0"/>
    <n v="0"/>
    <n v="16"/>
    <x v="29"/>
    <n v="0"/>
    <x v="1"/>
  </r>
  <r>
    <d v="2026-04-30T00:00:00"/>
    <s v="Child"/>
    <x v="32"/>
    <n v="47"/>
    <n v="15"/>
    <n v="0"/>
    <n v="0"/>
    <n v="62"/>
    <x v="29"/>
    <n v="0"/>
    <x v="1"/>
  </r>
  <r>
    <d v="2026-04-30T00:00:00"/>
    <s v="Child"/>
    <x v="29"/>
    <n v="37"/>
    <n v="5"/>
    <n v="0"/>
    <n v="0"/>
    <n v="41"/>
    <x v="29"/>
    <n v="0"/>
    <x v="1"/>
  </r>
  <r>
    <d v="2026-05-28T00:00:00"/>
    <s v="Adult"/>
    <x v="16"/>
    <n v="363"/>
    <n v="32"/>
    <n v="0"/>
    <n v="0"/>
    <n v="395"/>
    <x v="8"/>
    <n v="0"/>
    <x v="1"/>
  </r>
  <r>
    <d v="2026-05-28T00:00:00"/>
    <s v="Adult"/>
    <x v="17"/>
    <n v="610"/>
    <n v="71"/>
    <n v="0"/>
    <n v="0"/>
    <n v="681"/>
    <x v="8"/>
    <n v="0"/>
    <x v="1"/>
  </r>
  <r>
    <d v="2026-05-28T00:00:00"/>
    <s v="Child"/>
    <x v="16"/>
    <n v="11"/>
    <n v="4"/>
    <n v="0"/>
    <n v="0"/>
    <n v="15"/>
    <x v="8"/>
    <n v="0"/>
    <x v="1"/>
  </r>
  <r>
    <d v="2026-05-28T00:00:00"/>
    <s v="Child"/>
    <x v="32"/>
    <n v="45"/>
    <n v="20"/>
    <n v="0"/>
    <n v="0"/>
    <n v="64"/>
    <x v="8"/>
    <n v="0"/>
    <x v="1"/>
  </r>
  <r>
    <d v="2026-05-28T00:00:00"/>
    <s v="Child"/>
    <x v="29"/>
    <n v="33"/>
    <n v="3"/>
    <n v="0"/>
    <n v="0"/>
    <n v="36"/>
    <x v="8"/>
    <n v="0"/>
    <x v="1"/>
  </r>
  <r>
    <d v="2026-05-28T00:00:00"/>
    <s v="Child"/>
    <x v="11"/>
    <n v="3"/>
    <n v="4"/>
    <n v="0"/>
    <n v="0"/>
    <n v="7"/>
    <x v="8"/>
    <n v="0"/>
    <x v="1"/>
  </r>
  <r>
    <d v="2026-06-25T00:00:00"/>
    <s v="Adult"/>
    <x v="17"/>
    <n v="646"/>
    <n v="52"/>
    <n v="0"/>
    <n v="0"/>
    <n v="698"/>
    <x v="9"/>
    <n v="0"/>
    <x v="1"/>
  </r>
  <r>
    <d v="2026-06-25T00:00:00"/>
    <s v="Adult"/>
    <x v="33"/>
    <n v="22"/>
    <n v="21"/>
    <n v="0"/>
    <n v="0"/>
    <n v="43"/>
    <x v="9"/>
    <n v="0"/>
    <x v="1"/>
  </r>
  <r>
    <d v="2026-06-25T00:00:00"/>
    <s v="Child"/>
    <x v="16"/>
    <n v="18"/>
    <n v="4"/>
    <n v="0"/>
    <n v="0"/>
    <n v="22"/>
    <x v="9"/>
    <n v="0"/>
    <x v="1"/>
  </r>
  <r>
    <d v="2026-06-25T00:00:00"/>
    <s v="Child"/>
    <x v="32"/>
    <n v="38"/>
    <n v="25"/>
    <n v="0"/>
    <n v="0"/>
    <n v="63"/>
    <x v="9"/>
    <n v="0"/>
    <x v="1"/>
  </r>
  <r>
    <d v="2026-06-25T00:00:00"/>
    <s v="Child"/>
    <x v="18"/>
    <n v="186"/>
    <n v="26"/>
    <n v="0"/>
    <n v="0"/>
    <n v="212"/>
    <x v="9"/>
    <n v="0"/>
    <x v="1"/>
  </r>
  <r>
    <d v="2026-06-25T00:00:00"/>
    <s v="Child"/>
    <x v="11"/>
    <n v="1"/>
    <n v="6"/>
    <n v="0"/>
    <n v="0"/>
    <n v="7"/>
    <x v="9"/>
    <n v="0"/>
    <x v="1"/>
  </r>
  <r>
    <d v="2026-06-25T00:00:00"/>
    <s v="Child"/>
    <x v="7"/>
    <n v="3"/>
    <n v="3"/>
    <n v="0"/>
    <n v="0"/>
    <n v="5"/>
    <x v="9"/>
    <n v="0"/>
    <x v="1"/>
  </r>
  <r>
    <d v="2026-07-30T00:00:00"/>
    <s v="Adult"/>
    <x v="16"/>
    <n v="387"/>
    <n v="73"/>
    <n v="0"/>
    <n v="0"/>
    <n v="459"/>
    <x v="10"/>
    <n v="0"/>
    <x v="1"/>
  </r>
  <r>
    <d v="2026-07-30T00:00:00"/>
    <s v="Child"/>
    <x v="16"/>
    <n v="23"/>
    <n v="6"/>
    <n v="0"/>
    <n v="0"/>
    <n v="29"/>
    <x v="10"/>
    <n v="0"/>
    <x v="1"/>
  </r>
  <r>
    <d v="2026-07-30T00:00:00"/>
    <s v="Child"/>
    <x v="32"/>
    <n v="47"/>
    <n v="22"/>
    <n v="0"/>
    <n v="0"/>
    <n v="69"/>
    <x v="10"/>
    <n v="0"/>
    <x v="1"/>
  </r>
  <r>
    <d v="2026-07-30T00:00:00"/>
    <s v="Child"/>
    <x v="18"/>
    <n v="184"/>
    <n v="20"/>
    <n v="0"/>
    <n v="0"/>
    <n v="204"/>
    <x v="10"/>
    <n v="0"/>
    <x v="1"/>
  </r>
  <r>
    <d v="2026-07-30T00:00:00"/>
    <s v="Child"/>
    <x v="11"/>
    <n v="1"/>
    <n v="4"/>
    <n v="0"/>
    <n v="0"/>
    <n v="5"/>
    <x v="10"/>
    <n v="0"/>
    <x v="1"/>
  </r>
  <r>
    <d v="2026-08-27T00:00:00"/>
    <s v="Adult"/>
    <x v="16"/>
    <n v="434"/>
    <n v="97"/>
    <n v="0"/>
    <n v="0"/>
    <n v="531"/>
    <x v="11"/>
    <n v="0"/>
    <x v="1"/>
  </r>
  <r>
    <d v="2026-08-27T00:00:00"/>
    <s v="Adult"/>
    <x v="17"/>
    <n v="487"/>
    <n v="17"/>
    <n v="0"/>
    <n v="0"/>
    <n v="504"/>
    <x v="11"/>
    <n v="0"/>
    <x v="1"/>
  </r>
  <r>
    <d v="2026-08-27T00:00:00"/>
    <s v="Adult"/>
    <x v="27"/>
    <n v="661"/>
    <n v="39"/>
    <n v="0"/>
    <n v="0"/>
    <n v="700"/>
    <x v="11"/>
    <n v="0"/>
    <x v="1"/>
  </r>
  <r>
    <d v="2026-08-27T00:00:00"/>
    <s v="Child"/>
    <x v="16"/>
    <n v="28"/>
    <n v="3"/>
    <n v="0"/>
    <n v="0"/>
    <n v="30"/>
    <x v="11"/>
    <n v="0"/>
    <x v="1"/>
  </r>
  <r>
    <d v="2026-08-27T00:00:00"/>
    <s v="Child"/>
    <x v="32"/>
    <n v="39"/>
    <n v="30"/>
    <n v="0"/>
    <n v="0"/>
    <n v="69"/>
    <x v="11"/>
    <n v="0"/>
    <x v="1"/>
  </r>
  <r>
    <d v="2026-08-27T00:00:00"/>
    <s v="Child"/>
    <x v="7"/>
    <n v="0"/>
    <n v="3"/>
    <n v="0"/>
    <n v="0"/>
    <n v="3"/>
    <x v="11"/>
    <n v="0"/>
    <x v="1"/>
  </r>
  <r>
    <d v="2023-01-26T00:00:00"/>
    <s v="Adult"/>
    <x v="10"/>
    <n v="2446"/>
    <n v="241"/>
    <n v="2"/>
    <n v="0"/>
    <n v="2689"/>
    <x v="36"/>
    <n v="2"/>
    <x v="0"/>
  </r>
  <r>
    <d v="2023-01-26T00:00:00"/>
    <s v="Child"/>
    <x v="23"/>
    <n v="62"/>
    <n v="21"/>
    <n v="2"/>
    <n v="0"/>
    <n v="85"/>
    <x v="36"/>
    <n v="2"/>
    <x v="0"/>
  </r>
  <r>
    <d v="2023-02-23T00:00:00"/>
    <s v="Child"/>
    <x v="23"/>
    <n v="67"/>
    <n v="26"/>
    <n v="2"/>
    <n v="0"/>
    <n v="95"/>
    <x v="37"/>
    <n v="2"/>
    <x v="0"/>
  </r>
  <r>
    <d v="2023-02-23T00:00:00"/>
    <s v="Child"/>
    <x v="13"/>
    <n v="36"/>
    <n v="4"/>
    <n v="2"/>
    <n v="0"/>
    <n v="41"/>
    <x v="37"/>
    <n v="2"/>
    <x v="0"/>
  </r>
  <r>
    <d v="2023-02-23T00:00:00"/>
    <s v="Child"/>
    <x v="24"/>
    <n v="557"/>
    <n v="285"/>
    <n v="2"/>
    <n v="0"/>
    <n v="843"/>
    <x v="37"/>
    <n v="2"/>
    <x v="0"/>
  </r>
  <r>
    <d v="2023-03-30T00:00:00"/>
    <s v="Child"/>
    <x v="23"/>
    <n v="62"/>
    <n v="27"/>
    <n v="2"/>
    <n v="0"/>
    <n v="91"/>
    <x v="38"/>
    <n v="2"/>
    <x v="0"/>
  </r>
  <r>
    <d v="2023-03-30T00:00:00"/>
    <s v="Child"/>
    <x v="13"/>
    <n v="38"/>
    <n v="6"/>
    <n v="2"/>
    <n v="0"/>
    <n v="45"/>
    <x v="38"/>
    <n v="2"/>
    <x v="0"/>
  </r>
  <r>
    <d v="2023-03-30T00:00:00"/>
    <s v="Child"/>
    <x v="4"/>
    <n v="190"/>
    <n v="41"/>
    <n v="2"/>
    <n v="0"/>
    <n v="233"/>
    <x v="38"/>
    <n v="2"/>
    <x v="0"/>
  </r>
  <r>
    <d v="2023-04-27T00:00:00"/>
    <s v="Child"/>
    <x v="23"/>
    <n v="66"/>
    <n v="12"/>
    <n v="2"/>
    <n v="0"/>
    <n v="80"/>
    <x v="39"/>
    <n v="2"/>
    <x v="0"/>
  </r>
  <r>
    <d v="2023-04-27T00:00:00"/>
    <s v="Child"/>
    <x v="14"/>
    <n v="55"/>
    <n v="21"/>
    <n v="2"/>
    <n v="0"/>
    <n v="78"/>
    <x v="39"/>
    <n v="2"/>
    <x v="0"/>
  </r>
  <r>
    <d v="2023-05-25T00:00:00"/>
    <s v="Child"/>
    <x v="4"/>
    <n v="238"/>
    <n v="68"/>
    <n v="2"/>
    <n v="0"/>
    <n v="307"/>
    <x v="40"/>
    <n v="2"/>
    <x v="0"/>
  </r>
  <r>
    <d v="2023-05-25T00:00:00"/>
    <s v="Child"/>
    <x v="14"/>
    <n v="56"/>
    <n v="20"/>
    <n v="2"/>
    <n v="0"/>
    <n v="78"/>
    <x v="40"/>
    <n v="2"/>
    <x v="0"/>
  </r>
  <r>
    <d v="2023-06-29T00:00:00"/>
    <s v="Child"/>
    <x v="4"/>
    <n v="263"/>
    <n v="72"/>
    <n v="2"/>
    <n v="0"/>
    <n v="337"/>
    <x v="30"/>
    <n v="2"/>
    <x v="0"/>
  </r>
  <r>
    <d v="2023-06-29T00:00:00"/>
    <s v="Child"/>
    <x v="14"/>
    <n v="55"/>
    <n v="20"/>
    <n v="2"/>
    <n v="0"/>
    <n v="76"/>
    <x v="30"/>
    <n v="2"/>
    <x v="0"/>
  </r>
  <r>
    <d v="2023-06-29T00:00:00"/>
    <s v="Child"/>
    <x v="11"/>
    <n v="28"/>
    <n v="2"/>
    <n v="2"/>
    <n v="0"/>
    <n v="31"/>
    <x v="30"/>
    <n v="2"/>
    <x v="0"/>
  </r>
  <r>
    <d v="2023-07-27T00:00:00"/>
    <s v="Adult"/>
    <x v="10"/>
    <n v="3263"/>
    <n v="79"/>
    <n v="2"/>
    <n v="0"/>
    <n v="3344"/>
    <x v="31"/>
    <n v="2"/>
    <x v="0"/>
  </r>
  <r>
    <d v="2023-07-27T00:00:00"/>
    <s v="Child"/>
    <x v="11"/>
    <n v="29"/>
    <n v="2"/>
    <n v="2"/>
    <n v="0"/>
    <n v="33"/>
    <x v="31"/>
    <n v="2"/>
    <x v="0"/>
  </r>
  <r>
    <d v="2023-08-31T00:00:00"/>
    <s v="Child"/>
    <x v="23"/>
    <n v="45"/>
    <n v="20"/>
    <n v="2"/>
    <n v="0"/>
    <n v="67"/>
    <x v="32"/>
    <n v="2"/>
    <x v="0"/>
  </r>
  <r>
    <d v="2023-08-31T00:00:00"/>
    <s v="Child"/>
    <x v="14"/>
    <n v="51"/>
    <n v="17"/>
    <n v="2"/>
    <n v="0"/>
    <n v="70"/>
    <x v="32"/>
    <n v="2"/>
    <x v="0"/>
  </r>
  <r>
    <d v="2023-08-31T00:00:00"/>
    <s v="Child"/>
    <x v="11"/>
    <n v="15"/>
    <n v="7"/>
    <n v="2"/>
    <n v="0"/>
    <n v="24"/>
    <x v="32"/>
    <n v="2"/>
    <x v="0"/>
  </r>
  <r>
    <d v="2023-10-26T00:00:00"/>
    <s v="Adult"/>
    <x v="14"/>
    <n v="2553"/>
    <n v="412"/>
    <n v="2"/>
    <n v="0"/>
    <n v="2967"/>
    <x v="41"/>
    <n v="2"/>
    <x v="0"/>
  </r>
  <r>
    <d v="2023-10-26T00:00:00"/>
    <s v="Child"/>
    <x v="13"/>
    <n v="25"/>
    <n v="8"/>
    <n v="2"/>
    <n v="0"/>
    <n v="34"/>
    <x v="41"/>
    <n v="2"/>
    <x v="0"/>
  </r>
  <r>
    <d v="2023-10-26T00:00:00"/>
    <s v="Child"/>
    <x v="28"/>
    <n v="26"/>
    <n v="7"/>
    <n v="2"/>
    <n v="0"/>
    <n v="35"/>
    <x v="41"/>
    <n v="2"/>
    <x v="0"/>
  </r>
  <r>
    <d v="2023-11-30T00:00:00"/>
    <s v="Adult"/>
    <x v="14"/>
    <n v="2525"/>
    <n v="479"/>
    <n v="2"/>
    <n v="0"/>
    <n v="3006"/>
    <x v="42"/>
    <n v="2"/>
    <x v="0"/>
  </r>
  <r>
    <d v="2023-11-30T00:00:00"/>
    <s v="Child"/>
    <x v="9"/>
    <n v="32"/>
    <n v="22"/>
    <n v="2"/>
    <n v="0"/>
    <n v="56"/>
    <x v="42"/>
    <n v="2"/>
    <x v="0"/>
  </r>
  <r>
    <d v="2023-11-30T00:00:00"/>
    <s v="Child"/>
    <x v="13"/>
    <n v="21"/>
    <n v="15"/>
    <n v="2"/>
    <n v="0"/>
    <n v="37"/>
    <x v="42"/>
    <n v="2"/>
    <x v="0"/>
  </r>
  <r>
    <d v="2023-12-28T00:00:00"/>
    <s v="Adult"/>
    <x v="14"/>
    <n v="2400"/>
    <n v="434"/>
    <n v="2"/>
    <n v="0"/>
    <n v="2836"/>
    <x v="43"/>
    <n v="2"/>
    <x v="0"/>
  </r>
  <r>
    <d v="2023-12-28T00:00:00"/>
    <s v="Child"/>
    <x v="9"/>
    <n v="30"/>
    <n v="22"/>
    <n v="2"/>
    <n v="0"/>
    <n v="54"/>
    <x v="43"/>
    <n v="2"/>
    <x v="0"/>
  </r>
  <r>
    <d v="2023-12-28T00:00:00"/>
    <s v="Child"/>
    <x v="13"/>
    <n v="16"/>
    <n v="13"/>
    <n v="2"/>
    <n v="0"/>
    <n v="30"/>
    <x v="43"/>
    <n v="2"/>
    <x v="0"/>
  </r>
  <r>
    <d v="2023-12-28T00:00:00"/>
    <s v="Child"/>
    <x v="28"/>
    <n v="16"/>
    <n v="5"/>
    <n v="2"/>
    <n v="0"/>
    <n v="24"/>
    <x v="43"/>
    <n v="2"/>
    <x v="0"/>
  </r>
  <r>
    <d v="2024-01-25T00:00:00"/>
    <s v="Adult"/>
    <x v="6"/>
    <n v="2176"/>
    <n v="28"/>
    <n v="2"/>
    <n v="0"/>
    <n v="2206"/>
    <x v="12"/>
    <n v="2"/>
    <x v="0"/>
  </r>
  <r>
    <d v="2024-01-25T00:00:00"/>
    <s v="Child"/>
    <x v="13"/>
    <n v="30"/>
    <n v="7"/>
    <n v="2"/>
    <n v="0"/>
    <n v="39"/>
    <x v="12"/>
    <n v="2"/>
    <x v="0"/>
  </r>
  <r>
    <d v="2024-01-25T00:00:00"/>
    <s v="Child"/>
    <x v="8"/>
    <n v="312"/>
    <n v="41"/>
    <n v="2"/>
    <n v="0"/>
    <n v="355"/>
    <x v="12"/>
    <n v="2"/>
    <x v="0"/>
  </r>
  <r>
    <d v="2024-02-29T00:00:00"/>
    <s v="Child"/>
    <x v="11"/>
    <n v="6"/>
    <n v="2"/>
    <n v="2"/>
    <n v="0"/>
    <n v="10"/>
    <x v="13"/>
    <n v="2"/>
    <x v="0"/>
  </r>
  <r>
    <d v="2024-02-29T00:00:00"/>
    <s v="Child"/>
    <x v="8"/>
    <n v="311"/>
    <n v="45"/>
    <n v="2"/>
    <n v="0"/>
    <n v="358"/>
    <x v="13"/>
    <n v="2"/>
    <x v="0"/>
  </r>
  <r>
    <d v="2024-03-28T00:00:00"/>
    <s v="Child"/>
    <x v="8"/>
    <n v="285"/>
    <n v="52"/>
    <n v="2"/>
    <n v="0"/>
    <n v="339"/>
    <x v="14"/>
    <n v="2"/>
    <x v="0"/>
  </r>
  <r>
    <d v="2024-04-25T00:00:00"/>
    <s v="Child"/>
    <x v="11"/>
    <n v="9"/>
    <n v="2"/>
    <n v="2"/>
    <n v="0"/>
    <n v="13"/>
    <x v="15"/>
    <n v="2"/>
    <x v="0"/>
  </r>
  <r>
    <d v="2024-04-25T00:00:00"/>
    <s v="Child"/>
    <x v="8"/>
    <n v="268"/>
    <n v="54"/>
    <n v="2"/>
    <n v="0"/>
    <n v="324"/>
    <x v="15"/>
    <n v="2"/>
    <x v="0"/>
  </r>
  <r>
    <d v="2024-05-30T00:00:00"/>
    <s v="Child"/>
    <x v="2"/>
    <n v="172"/>
    <n v="58"/>
    <n v="2"/>
    <n v="0"/>
    <n v="231"/>
    <x v="0"/>
    <n v="2"/>
    <x v="0"/>
  </r>
  <r>
    <d v="2024-05-30T00:00:00"/>
    <s v="Child"/>
    <x v="12"/>
    <n v="11"/>
    <n v="6"/>
    <n v="2"/>
    <n v="0"/>
    <n v="19"/>
    <x v="0"/>
    <n v="2"/>
    <x v="0"/>
  </r>
  <r>
    <d v="2024-06-27T00:00:00"/>
    <s v="Child"/>
    <x v="11"/>
    <n v="7"/>
    <n v="2"/>
    <n v="2"/>
    <n v="0"/>
    <n v="11"/>
    <x v="1"/>
    <n v="2"/>
    <x v="0"/>
  </r>
  <r>
    <d v="2024-07-25T00:00:00"/>
    <s v="Child"/>
    <x v="24"/>
    <n v="734"/>
    <n v="264"/>
    <n v="2"/>
    <n v="0"/>
    <n v="1000"/>
    <x v="16"/>
    <n v="2"/>
    <x v="0"/>
  </r>
  <r>
    <d v="2024-08-29T00:00:00"/>
    <s v="Child"/>
    <x v="23"/>
    <n v="60"/>
    <n v="10"/>
    <n v="2"/>
    <n v="0"/>
    <n v="71"/>
    <x v="2"/>
    <n v="2"/>
    <x v="0"/>
  </r>
  <r>
    <d v="2024-10-31T00:00:00"/>
    <s v="Adult"/>
    <x v="25"/>
    <n v="621"/>
    <n v="99"/>
    <n v="2"/>
    <n v="0"/>
    <n v="723"/>
    <x v="34"/>
    <n v="2"/>
    <x v="0"/>
  </r>
  <r>
    <d v="2024-10-31T00:00:00"/>
    <s v="Child"/>
    <x v="11"/>
    <n v="7"/>
    <n v="4"/>
    <n v="2"/>
    <n v="0"/>
    <n v="13"/>
    <x v="34"/>
    <n v="2"/>
    <x v="0"/>
  </r>
  <r>
    <d v="2024-11-28T00:00:00"/>
    <s v="Child"/>
    <x v="11"/>
    <n v="12"/>
    <n v="3"/>
    <n v="2"/>
    <n v="0"/>
    <n v="17"/>
    <x v="3"/>
    <n v="2"/>
    <x v="0"/>
  </r>
  <r>
    <d v="2024-12-19T00:00:00"/>
    <s v="Child"/>
    <x v="23"/>
    <n v="45"/>
    <n v="6"/>
    <n v="2"/>
    <n v="0"/>
    <n v="53"/>
    <x v="4"/>
    <n v="2"/>
    <x v="0"/>
  </r>
  <r>
    <d v="2024-12-19T00:00:00"/>
    <s v="Child"/>
    <x v="14"/>
    <n v="33"/>
    <n v="2"/>
    <n v="2"/>
    <n v="0"/>
    <n v="37"/>
    <x v="4"/>
    <n v="2"/>
    <x v="0"/>
  </r>
  <r>
    <d v="2025-01-30T00:00:00"/>
    <s v="Adult"/>
    <x v="6"/>
    <n v="1697"/>
    <n v="161"/>
    <n v="2"/>
    <n v="0"/>
    <n v="1860"/>
    <x v="18"/>
    <n v="2"/>
    <x v="0"/>
  </r>
  <r>
    <d v="2025-01-30T00:00:00"/>
    <s v="Adult"/>
    <x v="17"/>
    <n v="1498"/>
    <n v="570"/>
    <n v="2"/>
    <n v="0"/>
    <n v="2069"/>
    <x v="18"/>
    <n v="2"/>
    <x v="0"/>
  </r>
  <r>
    <d v="2025-01-30T00:00:00"/>
    <s v="Adult"/>
    <x v="10"/>
    <n v="3700"/>
    <n v="886"/>
    <n v="2"/>
    <n v="0"/>
    <n v="4588"/>
    <x v="18"/>
    <n v="2"/>
    <x v="0"/>
  </r>
  <r>
    <d v="2025-03-27T00:00:00"/>
    <s v="Adult"/>
    <x v="10"/>
    <n v="3828"/>
    <n v="968"/>
    <n v="2"/>
    <n v="0"/>
    <n v="4798"/>
    <x v="19"/>
    <n v="2"/>
    <x v="0"/>
  </r>
  <r>
    <d v="2025-05-29T00:00:00"/>
    <s v="Adult"/>
    <x v="1"/>
    <n v="322"/>
    <n v="161"/>
    <n v="2"/>
    <n v="0"/>
    <n v="485"/>
    <x v="20"/>
    <n v="2"/>
    <x v="0"/>
  </r>
  <r>
    <d v="2025-06-26T00:00:00"/>
    <s v="Adult"/>
    <x v="1"/>
    <n v="323"/>
    <n v="152"/>
    <n v="2"/>
    <n v="0"/>
    <n v="477"/>
    <x v="21"/>
    <n v="2"/>
    <x v="0"/>
  </r>
  <r>
    <d v="2025-06-26T00:00:00"/>
    <s v="Child"/>
    <x v="24"/>
    <n v="749"/>
    <n v="294"/>
    <n v="2"/>
    <n v="0"/>
    <n v="1045"/>
    <x v="21"/>
    <n v="2"/>
    <x v="0"/>
  </r>
  <r>
    <d v="2025-09-25T00:00:00"/>
    <s v="Adult"/>
    <x v="1"/>
    <n v="291"/>
    <n v="196"/>
    <n v="2"/>
    <n v="0"/>
    <n v="489"/>
    <x v="24"/>
    <n v="2"/>
    <x v="0"/>
  </r>
  <r>
    <d v="2025-09-25T00:00:00"/>
    <s v="Child"/>
    <x v="18"/>
    <n v="792"/>
    <n v="343"/>
    <n v="2"/>
    <n v="0"/>
    <n v="1137"/>
    <x v="24"/>
    <n v="2"/>
    <x v="0"/>
  </r>
  <r>
    <d v="2025-09-25T00:00:00"/>
    <s v="Child"/>
    <x v="24"/>
    <n v="664"/>
    <n v="334"/>
    <n v="2"/>
    <n v="0"/>
    <n v="999"/>
    <x v="24"/>
    <n v="2"/>
    <x v="0"/>
  </r>
  <r>
    <d v="2025-10-30T00:00:00"/>
    <s v="Child"/>
    <x v="18"/>
    <n v="771"/>
    <n v="347"/>
    <n v="2"/>
    <n v="0"/>
    <n v="1120"/>
    <x v="25"/>
    <n v="2"/>
    <x v="0"/>
  </r>
  <r>
    <d v="2025-11-27T00:00:00"/>
    <s v="Child"/>
    <x v="9"/>
    <n v="30"/>
    <n v="0"/>
    <n v="2"/>
    <n v="0"/>
    <n v="32"/>
    <x v="26"/>
    <n v="2"/>
    <x v="0"/>
  </r>
  <r>
    <d v="2025-11-27T00:00:00"/>
    <s v="Child"/>
    <x v="3"/>
    <n v="142"/>
    <n v="9"/>
    <n v="2"/>
    <n v="0"/>
    <n v="154"/>
    <x v="26"/>
    <n v="2"/>
    <x v="0"/>
  </r>
  <r>
    <d v="2025-12-18T00:00:00"/>
    <s v="Child"/>
    <x v="3"/>
    <n v="158"/>
    <n v="10"/>
    <n v="2"/>
    <n v="0"/>
    <n v="169"/>
    <x v="27"/>
    <n v="2"/>
    <x v="0"/>
  </r>
  <r>
    <d v="2025-12-18T00:00:00"/>
    <s v="Child"/>
    <x v="21"/>
    <n v="419"/>
    <n v="60"/>
    <n v="2"/>
    <n v="0"/>
    <n v="481"/>
    <x v="27"/>
    <n v="2"/>
    <x v="0"/>
  </r>
  <r>
    <d v="2026-01-29T00:00:00"/>
    <s v="Adult"/>
    <x v="16"/>
    <n v="4608"/>
    <n v="218"/>
    <n v="2"/>
    <n v="0"/>
    <n v="4829"/>
    <x v="6"/>
    <n v="2"/>
    <x v="0"/>
  </r>
  <r>
    <d v="2026-01-29T00:00:00"/>
    <s v="Child"/>
    <x v="3"/>
    <n v="127"/>
    <n v="16"/>
    <n v="2"/>
    <n v="0"/>
    <n v="144"/>
    <x v="6"/>
    <n v="2"/>
    <x v="0"/>
  </r>
  <r>
    <d v="2026-01-29T00:00:00"/>
    <s v="Child"/>
    <x v="2"/>
    <n v="4"/>
    <n v="0"/>
    <n v="2"/>
    <n v="0"/>
    <n v="6"/>
    <x v="6"/>
    <n v="2"/>
    <x v="0"/>
  </r>
  <r>
    <d v="2026-02-26T00:00:00"/>
    <s v="Child"/>
    <x v="16"/>
    <n v="518"/>
    <n v="62"/>
    <n v="2"/>
    <n v="0"/>
    <n v="582"/>
    <x v="7"/>
    <n v="2"/>
    <x v="0"/>
  </r>
  <r>
    <d v="2026-02-26T00:00:00"/>
    <s v="Child"/>
    <x v="3"/>
    <n v="122"/>
    <n v="13"/>
    <n v="2"/>
    <n v="0"/>
    <n v="136"/>
    <x v="7"/>
    <n v="2"/>
    <x v="0"/>
  </r>
  <r>
    <d v="2026-02-26T00:00:00"/>
    <s v="Child"/>
    <x v="2"/>
    <n v="4"/>
    <n v="0"/>
    <n v="2"/>
    <n v="0"/>
    <n v="6"/>
    <x v="7"/>
    <n v="2"/>
    <x v="0"/>
  </r>
  <r>
    <d v="2026-02-26T00:00:00"/>
    <s v="Child"/>
    <x v="11"/>
    <n v="12"/>
    <n v="2"/>
    <n v="2"/>
    <n v="0"/>
    <n v="15"/>
    <x v="7"/>
    <n v="2"/>
    <x v="0"/>
  </r>
  <r>
    <d v="2026-02-26T00:00:00"/>
    <s v="Child"/>
    <x v="21"/>
    <n v="436"/>
    <n v="75"/>
    <n v="2"/>
    <n v="0"/>
    <n v="512"/>
    <x v="7"/>
    <n v="2"/>
    <x v="0"/>
  </r>
  <r>
    <d v="2026-03-26T00:00:00"/>
    <s v="Child"/>
    <x v="3"/>
    <n v="125"/>
    <n v="17"/>
    <n v="2"/>
    <n v="0"/>
    <n v="143"/>
    <x v="28"/>
    <n v="2"/>
    <x v="0"/>
  </r>
  <r>
    <d v="2026-03-26T00:00:00"/>
    <s v="Child"/>
    <x v="11"/>
    <n v="17"/>
    <n v="3"/>
    <n v="2"/>
    <n v="0"/>
    <n v="22"/>
    <x v="28"/>
    <n v="2"/>
    <x v="0"/>
  </r>
  <r>
    <d v="2026-04-30T00:00:00"/>
    <s v="Child"/>
    <x v="16"/>
    <n v="558"/>
    <n v="95"/>
    <n v="2"/>
    <n v="0"/>
    <n v="655"/>
    <x v="29"/>
    <n v="2"/>
    <x v="0"/>
  </r>
  <r>
    <d v="2026-04-30T00:00:00"/>
    <s v="Child"/>
    <x v="3"/>
    <n v="133"/>
    <n v="13"/>
    <n v="2"/>
    <n v="0"/>
    <n v="147"/>
    <x v="29"/>
    <n v="2"/>
    <x v="0"/>
  </r>
  <r>
    <d v="2026-04-30T00:00:00"/>
    <s v="Child"/>
    <x v="13"/>
    <n v="7"/>
    <n v="2"/>
    <n v="2"/>
    <n v="0"/>
    <n v="12"/>
    <x v="29"/>
    <n v="2"/>
    <x v="0"/>
  </r>
  <r>
    <d v="2026-04-30T00:00:00"/>
    <s v="Child"/>
    <x v="12"/>
    <n v="8"/>
    <n v="2"/>
    <n v="2"/>
    <n v="0"/>
    <n v="11"/>
    <x v="29"/>
    <n v="2"/>
    <x v="0"/>
  </r>
  <r>
    <d v="2026-04-30T00:00:00"/>
    <s v="Child"/>
    <x v="24"/>
    <n v="817"/>
    <n v="323"/>
    <n v="2"/>
    <n v="0"/>
    <n v="1142"/>
    <x v="29"/>
    <n v="2"/>
    <x v="0"/>
  </r>
  <r>
    <d v="2026-05-28T00:00:00"/>
    <s v="Adult"/>
    <x v="6"/>
    <n v="2782"/>
    <n v="130"/>
    <n v="2"/>
    <n v="0"/>
    <n v="2914"/>
    <x v="8"/>
    <n v="2"/>
    <x v="0"/>
  </r>
  <r>
    <d v="2026-05-28T00:00:00"/>
    <s v="Child"/>
    <x v="3"/>
    <n v="136"/>
    <n v="7"/>
    <n v="2"/>
    <n v="0"/>
    <n v="144"/>
    <x v="8"/>
    <n v="2"/>
    <x v="0"/>
  </r>
  <r>
    <d v="2026-05-28T00:00:00"/>
    <s v="Child"/>
    <x v="13"/>
    <n v="5"/>
    <n v="2"/>
    <n v="2"/>
    <n v="0"/>
    <n v="9"/>
    <x v="8"/>
    <n v="2"/>
    <x v="0"/>
  </r>
  <r>
    <d v="2026-06-25T00:00:00"/>
    <s v="Adult"/>
    <x v="6"/>
    <n v="3001"/>
    <n v="128"/>
    <n v="2"/>
    <n v="0"/>
    <n v="3131"/>
    <x v="9"/>
    <n v="2"/>
    <x v="0"/>
  </r>
  <r>
    <d v="2026-06-25T00:00:00"/>
    <s v="Child"/>
    <x v="3"/>
    <n v="134"/>
    <n v="4"/>
    <n v="2"/>
    <n v="0"/>
    <n v="140"/>
    <x v="9"/>
    <n v="2"/>
    <x v="0"/>
  </r>
  <r>
    <d v="2026-06-25T00:00:00"/>
    <s v="Child"/>
    <x v="11"/>
    <n v="15"/>
    <n v="2"/>
    <n v="2"/>
    <n v="0"/>
    <n v="19"/>
    <x v="9"/>
    <n v="2"/>
    <x v="0"/>
  </r>
  <r>
    <d v="2026-07-30T00:00:00"/>
    <s v="Child"/>
    <x v="3"/>
    <n v="134"/>
    <n v="3"/>
    <n v="2"/>
    <n v="0"/>
    <n v="138"/>
    <x v="10"/>
    <n v="2"/>
    <x v="0"/>
  </r>
  <r>
    <d v="2026-08-27T00:00:00"/>
    <s v="Child"/>
    <x v="11"/>
    <n v="10"/>
    <n v="3"/>
    <n v="2"/>
    <n v="0"/>
    <n v="15"/>
    <x v="11"/>
    <n v="2"/>
    <x v="0"/>
  </r>
  <r>
    <d v="2023-01-26T00:00:00"/>
    <s v="Adult"/>
    <x v="17"/>
    <n v="391"/>
    <n v="11"/>
    <n v="2"/>
    <n v="0"/>
    <n v="404"/>
    <x v="36"/>
    <n v="2"/>
    <x v="1"/>
  </r>
  <r>
    <d v="2023-01-26T00:00:00"/>
    <s v="Adult"/>
    <x v="19"/>
    <n v="252"/>
    <n v="52"/>
    <n v="2"/>
    <n v="0"/>
    <n v="306"/>
    <x v="36"/>
    <n v="2"/>
    <x v="1"/>
  </r>
  <r>
    <d v="2023-01-26T00:00:00"/>
    <s v="Child"/>
    <x v="23"/>
    <n v="29"/>
    <n v="6"/>
    <n v="2"/>
    <n v="0"/>
    <n v="36"/>
    <x v="36"/>
    <n v="2"/>
    <x v="1"/>
  </r>
  <r>
    <d v="2023-01-26T00:00:00"/>
    <s v="Child"/>
    <x v="18"/>
    <n v="124"/>
    <n v="44"/>
    <n v="2"/>
    <n v="0"/>
    <n v="170"/>
    <x v="36"/>
    <n v="2"/>
    <x v="1"/>
  </r>
  <r>
    <d v="2023-01-26T00:00:00"/>
    <s v="Child"/>
    <x v="27"/>
    <n v="49"/>
    <n v="8"/>
    <n v="2"/>
    <n v="0"/>
    <n v="59"/>
    <x v="36"/>
    <n v="2"/>
    <x v="1"/>
  </r>
  <r>
    <d v="2023-01-26T00:00:00"/>
    <s v="Child"/>
    <x v="21"/>
    <n v="38"/>
    <n v="8"/>
    <n v="2"/>
    <n v="0"/>
    <n v="47"/>
    <x v="36"/>
    <n v="2"/>
    <x v="1"/>
  </r>
  <r>
    <d v="2023-01-26T00:00:00"/>
    <s v="Child"/>
    <x v="34"/>
    <n v="210"/>
    <n v="33"/>
    <n v="2"/>
    <n v="0"/>
    <n v="244"/>
    <x v="36"/>
    <n v="2"/>
    <x v="1"/>
  </r>
  <r>
    <d v="2023-02-23T00:00:00"/>
    <s v="Adult"/>
    <x v="31"/>
    <n v="531"/>
    <n v="45"/>
    <n v="2"/>
    <n v="0"/>
    <n v="578"/>
    <x v="37"/>
    <n v="2"/>
    <x v="1"/>
  </r>
  <r>
    <d v="2023-02-23T00:00:00"/>
    <s v="Adult"/>
    <x v="27"/>
    <n v="512"/>
    <n v="148"/>
    <n v="2"/>
    <n v="0"/>
    <n v="662"/>
    <x v="37"/>
    <n v="2"/>
    <x v="1"/>
  </r>
  <r>
    <d v="2023-02-23T00:00:00"/>
    <s v="Adult"/>
    <x v="1"/>
    <n v="676"/>
    <n v="110"/>
    <n v="2"/>
    <n v="0"/>
    <n v="789"/>
    <x v="37"/>
    <n v="2"/>
    <x v="1"/>
  </r>
  <r>
    <d v="2023-02-23T00:00:00"/>
    <s v="Adult"/>
    <x v="8"/>
    <n v="249"/>
    <n v="26"/>
    <n v="2"/>
    <n v="0"/>
    <n v="277"/>
    <x v="37"/>
    <n v="2"/>
    <x v="1"/>
  </r>
  <r>
    <d v="2023-02-23T00:00:00"/>
    <s v="Adult"/>
    <x v="19"/>
    <n v="257"/>
    <n v="50"/>
    <n v="2"/>
    <n v="0"/>
    <n v="310"/>
    <x v="37"/>
    <n v="2"/>
    <x v="1"/>
  </r>
  <r>
    <d v="2023-02-23T00:00:00"/>
    <s v="Child"/>
    <x v="26"/>
    <n v="17"/>
    <n v="12"/>
    <n v="2"/>
    <n v="0"/>
    <n v="31"/>
    <x v="37"/>
    <n v="2"/>
    <x v="1"/>
  </r>
  <r>
    <d v="2023-02-23T00:00:00"/>
    <s v="Child"/>
    <x v="21"/>
    <n v="39"/>
    <n v="8"/>
    <n v="2"/>
    <n v="0"/>
    <n v="49"/>
    <x v="37"/>
    <n v="2"/>
    <x v="1"/>
  </r>
  <r>
    <d v="2023-03-30T00:00:00"/>
    <s v="Child"/>
    <x v="2"/>
    <n v="61"/>
    <n v="9"/>
    <n v="2"/>
    <n v="0"/>
    <n v="73"/>
    <x v="38"/>
    <n v="2"/>
    <x v="1"/>
  </r>
  <r>
    <d v="2023-04-27T00:00:00"/>
    <s v="Child"/>
    <x v="2"/>
    <n v="62"/>
    <n v="9"/>
    <n v="2"/>
    <n v="0"/>
    <n v="73"/>
    <x v="39"/>
    <n v="2"/>
    <x v="1"/>
  </r>
  <r>
    <d v="2023-05-25T00:00:00"/>
    <s v="Adult"/>
    <x v="9"/>
    <n v="70"/>
    <n v="32"/>
    <n v="2"/>
    <n v="0"/>
    <n v="104"/>
    <x v="40"/>
    <n v="2"/>
    <x v="1"/>
  </r>
  <r>
    <d v="2023-05-25T00:00:00"/>
    <s v="Child"/>
    <x v="2"/>
    <n v="82"/>
    <n v="7"/>
    <n v="2"/>
    <n v="0"/>
    <n v="91"/>
    <x v="40"/>
    <n v="2"/>
    <x v="1"/>
  </r>
  <r>
    <d v="2023-05-25T00:00:00"/>
    <s v="Child"/>
    <x v="26"/>
    <n v="28"/>
    <n v="11"/>
    <n v="2"/>
    <n v="0"/>
    <n v="41"/>
    <x v="40"/>
    <n v="2"/>
    <x v="1"/>
  </r>
  <r>
    <d v="2023-06-29T00:00:00"/>
    <s v="Adult"/>
    <x v="30"/>
    <n v="931"/>
    <n v="109"/>
    <n v="2"/>
    <n v="0"/>
    <n v="1042"/>
    <x v="30"/>
    <n v="2"/>
    <x v="1"/>
  </r>
  <r>
    <d v="2023-06-29T00:00:00"/>
    <s v="Adult"/>
    <x v="31"/>
    <n v="558"/>
    <n v="63"/>
    <n v="2"/>
    <n v="0"/>
    <n v="623"/>
    <x v="30"/>
    <n v="2"/>
    <x v="1"/>
  </r>
  <r>
    <d v="2023-06-29T00:00:00"/>
    <s v="Child"/>
    <x v="2"/>
    <n v="70"/>
    <n v="11"/>
    <n v="2"/>
    <n v="0"/>
    <n v="82"/>
    <x v="30"/>
    <n v="2"/>
    <x v="1"/>
  </r>
  <r>
    <d v="2023-07-27T00:00:00"/>
    <s v="Adult"/>
    <x v="31"/>
    <n v="577"/>
    <n v="52"/>
    <n v="2"/>
    <n v="0"/>
    <n v="631"/>
    <x v="31"/>
    <n v="2"/>
    <x v="1"/>
  </r>
  <r>
    <d v="2023-07-27T00:00:00"/>
    <s v="Adult"/>
    <x v="27"/>
    <n v="541"/>
    <n v="65"/>
    <n v="2"/>
    <n v="0"/>
    <n v="608"/>
    <x v="31"/>
    <n v="2"/>
    <x v="1"/>
  </r>
  <r>
    <d v="2023-07-27T00:00:00"/>
    <s v="Child"/>
    <x v="2"/>
    <n v="62"/>
    <n v="13"/>
    <n v="2"/>
    <n v="0"/>
    <n v="77"/>
    <x v="31"/>
    <n v="2"/>
    <x v="1"/>
  </r>
  <r>
    <d v="2023-07-27T00:00:00"/>
    <s v="Child"/>
    <x v="26"/>
    <n v="29"/>
    <n v="11"/>
    <n v="2"/>
    <n v="0"/>
    <n v="42"/>
    <x v="31"/>
    <n v="2"/>
    <x v="1"/>
  </r>
  <r>
    <d v="2023-07-27T00:00:00"/>
    <s v="Child"/>
    <x v="21"/>
    <n v="25"/>
    <n v="6"/>
    <n v="2"/>
    <n v="0"/>
    <n v="33"/>
    <x v="31"/>
    <n v="2"/>
    <x v="1"/>
  </r>
  <r>
    <d v="2023-07-27T00:00:00"/>
    <s v="Child"/>
    <x v="28"/>
    <n v="55"/>
    <n v="2"/>
    <n v="2"/>
    <n v="0"/>
    <n v="59"/>
    <x v="31"/>
    <n v="2"/>
    <x v="1"/>
  </r>
  <r>
    <d v="2023-08-31T00:00:00"/>
    <s v="Adult"/>
    <x v="16"/>
    <n v="328"/>
    <n v="2"/>
    <n v="2"/>
    <n v="0"/>
    <n v="332"/>
    <x v="32"/>
    <n v="2"/>
    <x v="1"/>
  </r>
  <r>
    <d v="2023-08-31T00:00:00"/>
    <s v="Adult"/>
    <x v="3"/>
    <n v="377"/>
    <n v="6"/>
    <n v="2"/>
    <n v="0"/>
    <n v="385"/>
    <x v="32"/>
    <n v="2"/>
    <x v="1"/>
  </r>
  <r>
    <d v="2023-08-31T00:00:00"/>
    <s v="Adult"/>
    <x v="27"/>
    <n v="537"/>
    <n v="114"/>
    <n v="2"/>
    <n v="0"/>
    <n v="653"/>
    <x v="32"/>
    <n v="2"/>
    <x v="1"/>
  </r>
  <r>
    <d v="2023-08-31T00:00:00"/>
    <s v="Adult"/>
    <x v="19"/>
    <n v="232"/>
    <n v="4"/>
    <n v="2"/>
    <n v="0"/>
    <n v="238"/>
    <x v="32"/>
    <n v="2"/>
    <x v="1"/>
  </r>
  <r>
    <d v="2023-08-31T00:00:00"/>
    <s v="Child"/>
    <x v="21"/>
    <n v="18"/>
    <n v="6"/>
    <n v="2"/>
    <n v="0"/>
    <n v="26"/>
    <x v="32"/>
    <n v="2"/>
    <x v="1"/>
  </r>
  <r>
    <d v="2023-09-28T00:00:00"/>
    <s v="Adult"/>
    <x v="15"/>
    <n v="110"/>
    <n v="11"/>
    <n v="2"/>
    <n v="0"/>
    <n v="123"/>
    <x v="33"/>
    <n v="2"/>
    <x v="1"/>
  </r>
  <r>
    <d v="2023-09-28T00:00:00"/>
    <s v="Child"/>
    <x v="2"/>
    <n v="54"/>
    <n v="26"/>
    <n v="2"/>
    <n v="0"/>
    <n v="82"/>
    <x v="33"/>
    <n v="2"/>
    <x v="1"/>
  </r>
  <r>
    <d v="2023-09-28T00:00:00"/>
    <s v="Child"/>
    <x v="21"/>
    <n v="29"/>
    <n v="4"/>
    <n v="2"/>
    <n v="0"/>
    <n v="34"/>
    <x v="33"/>
    <n v="2"/>
    <x v="1"/>
  </r>
  <r>
    <d v="2023-10-26T00:00:00"/>
    <s v="Adult"/>
    <x v="13"/>
    <n v="401"/>
    <n v="24"/>
    <n v="2"/>
    <n v="0"/>
    <n v="427"/>
    <x v="41"/>
    <n v="2"/>
    <x v="1"/>
  </r>
  <r>
    <d v="2023-10-26T00:00:00"/>
    <s v="Adult"/>
    <x v="11"/>
    <n v="618"/>
    <n v="13"/>
    <n v="2"/>
    <n v="0"/>
    <n v="634"/>
    <x v="41"/>
    <n v="2"/>
    <x v="1"/>
  </r>
  <r>
    <d v="2023-10-26T00:00:00"/>
    <s v="Child"/>
    <x v="2"/>
    <n v="69"/>
    <n v="26"/>
    <n v="2"/>
    <n v="0"/>
    <n v="97"/>
    <x v="41"/>
    <n v="2"/>
    <x v="1"/>
  </r>
  <r>
    <d v="2023-11-30T00:00:00"/>
    <s v="Adult"/>
    <x v="15"/>
    <n v="148"/>
    <n v="14"/>
    <n v="2"/>
    <n v="0"/>
    <n v="164"/>
    <x v="42"/>
    <n v="2"/>
    <x v="1"/>
  </r>
  <r>
    <d v="2023-11-30T00:00:00"/>
    <s v="Child"/>
    <x v="26"/>
    <n v="26"/>
    <n v="13"/>
    <n v="2"/>
    <n v="0"/>
    <n v="41"/>
    <x v="42"/>
    <n v="2"/>
    <x v="1"/>
  </r>
  <r>
    <d v="2023-11-30T00:00:00"/>
    <s v="Child"/>
    <x v="27"/>
    <n v="92"/>
    <n v="17"/>
    <n v="2"/>
    <n v="0"/>
    <n v="110"/>
    <x v="42"/>
    <n v="2"/>
    <x v="1"/>
  </r>
  <r>
    <d v="2023-12-28T00:00:00"/>
    <s v="Child"/>
    <x v="2"/>
    <n v="84"/>
    <n v="29"/>
    <n v="2"/>
    <n v="0"/>
    <n v="115"/>
    <x v="43"/>
    <n v="2"/>
    <x v="1"/>
  </r>
  <r>
    <d v="2023-12-28T00:00:00"/>
    <s v="Child"/>
    <x v="26"/>
    <n v="26"/>
    <n v="9"/>
    <n v="2"/>
    <n v="0"/>
    <n v="37"/>
    <x v="43"/>
    <n v="2"/>
    <x v="1"/>
  </r>
  <r>
    <d v="2023-12-28T00:00:00"/>
    <s v="Child"/>
    <x v="24"/>
    <n v="30"/>
    <n v="13"/>
    <n v="2"/>
    <n v="0"/>
    <n v="45"/>
    <x v="43"/>
    <n v="2"/>
    <x v="1"/>
  </r>
  <r>
    <d v="2024-01-25T00:00:00"/>
    <s v="Child"/>
    <x v="2"/>
    <n v="76"/>
    <n v="27"/>
    <n v="2"/>
    <n v="0"/>
    <n v="105"/>
    <x v="12"/>
    <n v="2"/>
    <x v="1"/>
  </r>
  <r>
    <d v="2024-01-25T00:00:00"/>
    <s v="Child"/>
    <x v="24"/>
    <n v="32"/>
    <n v="11"/>
    <n v="2"/>
    <n v="0"/>
    <n v="45"/>
    <x v="12"/>
    <n v="2"/>
    <x v="1"/>
  </r>
  <r>
    <d v="2024-03-28T00:00:00"/>
    <s v="Adult"/>
    <x v="13"/>
    <n v="482"/>
    <n v="39"/>
    <n v="2"/>
    <n v="0"/>
    <n v="523"/>
    <x v="14"/>
    <n v="2"/>
    <x v="1"/>
  </r>
  <r>
    <d v="2024-03-28T00:00:00"/>
    <s v="Child"/>
    <x v="35"/>
    <n v="135"/>
    <n v="57"/>
    <n v="2"/>
    <n v="0"/>
    <n v="194"/>
    <x v="14"/>
    <n v="2"/>
    <x v="1"/>
  </r>
  <r>
    <d v="2024-04-25T00:00:00"/>
    <s v="Adult"/>
    <x v="30"/>
    <n v="1037"/>
    <n v="270"/>
    <n v="2"/>
    <n v="0"/>
    <n v="1310"/>
    <x v="15"/>
    <n v="2"/>
    <x v="1"/>
  </r>
  <r>
    <d v="2024-04-25T00:00:00"/>
    <s v="Adult"/>
    <x v="0"/>
    <n v="569"/>
    <n v="38"/>
    <n v="2"/>
    <n v="0"/>
    <n v="609"/>
    <x v="15"/>
    <n v="2"/>
    <x v="1"/>
  </r>
  <r>
    <d v="2024-05-30T00:00:00"/>
    <s v="Adult"/>
    <x v="11"/>
    <n v="679"/>
    <n v="91"/>
    <n v="2"/>
    <n v="0"/>
    <n v="771"/>
    <x v="0"/>
    <n v="2"/>
    <x v="1"/>
  </r>
  <r>
    <d v="2024-05-30T00:00:00"/>
    <s v="Child"/>
    <x v="23"/>
    <n v="14"/>
    <n v="2"/>
    <n v="2"/>
    <n v="0"/>
    <n v="18"/>
    <x v="0"/>
    <n v="2"/>
    <x v="1"/>
  </r>
  <r>
    <d v="2024-05-30T00:00:00"/>
    <s v="Child"/>
    <x v="11"/>
    <n v="6"/>
    <n v="0"/>
    <n v="2"/>
    <n v="0"/>
    <n v="8"/>
    <x v="0"/>
    <n v="2"/>
    <x v="1"/>
  </r>
  <r>
    <d v="2024-06-27T00:00:00"/>
    <s v="Adult"/>
    <x v="13"/>
    <n v="504"/>
    <n v="83"/>
    <n v="2"/>
    <n v="0"/>
    <n v="589"/>
    <x v="1"/>
    <n v="2"/>
    <x v="1"/>
  </r>
  <r>
    <d v="2024-06-27T00:00:00"/>
    <s v="Adult"/>
    <x v="15"/>
    <n v="113"/>
    <n v="59"/>
    <n v="2"/>
    <n v="0"/>
    <n v="174"/>
    <x v="1"/>
    <n v="2"/>
    <x v="1"/>
  </r>
  <r>
    <d v="2024-06-27T00:00:00"/>
    <s v="Adult"/>
    <x v="0"/>
    <n v="656"/>
    <n v="44"/>
    <n v="2"/>
    <n v="0"/>
    <n v="702"/>
    <x v="1"/>
    <n v="2"/>
    <x v="1"/>
  </r>
  <r>
    <d v="2024-06-27T00:00:00"/>
    <s v="Adult"/>
    <x v="8"/>
    <n v="269"/>
    <n v="25"/>
    <n v="2"/>
    <n v="0"/>
    <n v="295"/>
    <x v="1"/>
    <n v="2"/>
    <x v="1"/>
  </r>
  <r>
    <d v="2024-06-27T00:00:00"/>
    <s v="Child"/>
    <x v="27"/>
    <n v="49"/>
    <n v="41"/>
    <n v="2"/>
    <n v="0"/>
    <n v="92"/>
    <x v="1"/>
    <n v="2"/>
    <x v="1"/>
  </r>
  <r>
    <d v="2024-07-25T00:00:00"/>
    <s v="Adult"/>
    <x v="8"/>
    <n v="307"/>
    <n v="23"/>
    <n v="2"/>
    <n v="0"/>
    <n v="331"/>
    <x v="16"/>
    <n v="2"/>
    <x v="1"/>
  </r>
  <r>
    <d v="2024-07-25T00:00:00"/>
    <s v="Child"/>
    <x v="29"/>
    <n v="60"/>
    <n v="27"/>
    <n v="2"/>
    <n v="0"/>
    <n v="88"/>
    <x v="16"/>
    <n v="2"/>
    <x v="1"/>
  </r>
  <r>
    <d v="2024-07-25T00:00:00"/>
    <s v="Child"/>
    <x v="35"/>
    <n v="92"/>
    <n v="7"/>
    <n v="2"/>
    <n v="0"/>
    <n v="101"/>
    <x v="16"/>
    <n v="2"/>
    <x v="1"/>
  </r>
  <r>
    <d v="2024-08-29T00:00:00"/>
    <s v="Adult"/>
    <x v="30"/>
    <n v="975"/>
    <n v="70"/>
    <n v="2"/>
    <n v="0"/>
    <n v="1047"/>
    <x v="2"/>
    <n v="2"/>
    <x v="1"/>
  </r>
  <r>
    <d v="2024-08-29T00:00:00"/>
    <s v="Child"/>
    <x v="13"/>
    <n v="11"/>
    <n v="3"/>
    <n v="2"/>
    <n v="0"/>
    <n v="16"/>
    <x v="2"/>
    <n v="2"/>
    <x v="1"/>
  </r>
  <r>
    <d v="2024-09-26T00:00:00"/>
    <s v="Adult"/>
    <x v="19"/>
    <n v="222"/>
    <n v="34"/>
    <n v="2"/>
    <n v="0"/>
    <n v="258"/>
    <x v="17"/>
    <n v="2"/>
    <x v="1"/>
  </r>
  <r>
    <d v="2024-10-31T00:00:00"/>
    <s v="Adult"/>
    <x v="16"/>
    <n v="276"/>
    <n v="13"/>
    <n v="2"/>
    <n v="0"/>
    <n v="291"/>
    <x v="34"/>
    <n v="2"/>
    <x v="1"/>
  </r>
  <r>
    <d v="2024-10-31T00:00:00"/>
    <s v="Adult"/>
    <x v="13"/>
    <n v="593"/>
    <n v="122"/>
    <n v="2"/>
    <n v="0"/>
    <n v="718"/>
    <x v="34"/>
    <n v="2"/>
    <x v="1"/>
  </r>
  <r>
    <d v="2024-10-31T00:00:00"/>
    <s v="Adult"/>
    <x v="11"/>
    <n v="730"/>
    <n v="219"/>
    <n v="2"/>
    <n v="0"/>
    <n v="951"/>
    <x v="34"/>
    <n v="2"/>
    <x v="1"/>
  </r>
  <r>
    <d v="2024-10-31T00:00:00"/>
    <s v="Child"/>
    <x v="22"/>
    <n v="7"/>
    <n v="0"/>
    <n v="2"/>
    <n v="0"/>
    <n v="9"/>
    <x v="34"/>
    <n v="2"/>
    <x v="1"/>
  </r>
  <r>
    <d v="2024-11-28T00:00:00"/>
    <s v="Child"/>
    <x v="32"/>
    <n v="43"/>
    <n v="4"/>
    <n v="2"/>
    <n v="0"/>
    <n v="49"/>
    <x v="3"/>
    <n v="2"/>
    <x v="1"/>
  </r>
  <r>
    <d v="2024-11-28T00:00:00"/>
    <s v="Child"/>
    <x v="22"/>
    <n v="3"/>
    <n v="2"/>
    <n v="2"/>
    <n v="0"/>
    <n v="6"/>
    <x v="3"/>
    <n v="2"/>
    <x v="1"/>
  </r>
  <r>
    <d v="2024-12-19T00:00:00"/>
    <s v="Adult"/>
    <x v="11"/>
    <n v="875"/>
    <n v="371"/>
    <n v="2"/>
    <n v="0"/>
    <n v="1248"/>
    <x v="4"/>
    <n v="2"/>
    <x v="1"/>
  </r>
  <r>
    <d v="2024-12-19T00:00:00"/>
    <s v="Child"/>
    <x v="29"/>
    <n v="25"/>
    <n v="11"/>
    <n v="2"/>
    <n v="0"/>
    <n v="38"/>
    <x v="4"/>
    <n v="2"/>
    <x v="1"/>
  </r>
  <r>
    <d v="2025-01-30T00:00:00"/>
    <s v="Adult"/>
    <x v="31"/>
    <n v="602"/>
    <n v="145"/>
    <n v="2"/>
    <n v="0"/>
    <n v="749"/>
    <x v="18"/>
    <n v="2"/>
    <x v="1"/>
  </r>
  <r>
    <d v="2025-01-30T00:00:00"/>
    <s v="Adult"/>
    <x v="19"/>
    <n v="383"/>
    <n v="36"/>
    <n v="2"/>
    <n v="0"/>
    <n v="421"/>
    <x v="18"/>
    <n v="2"/>
    <x v="1"/>
  </r>
  <r>
    <d v="2025-02-27T00:00:00"/>
    <s v="Adult"/>
    <x v="19"/>
    <n v="325"/>
    <n v="41"/>
    <n v="2"/>
    <n v="0"/>
    <n v="367"/>
    <x v="35"/>
    <n v="2"/>
    <x v="1"/>
  </r>
  <r>
    <d v="2025-04-24T00:00:00"/>
    <s v="Adult"/>
    <x v="19"/>
    <n v="280"/>
    <n v="43"/>
    <n v="2"/>
    <n v="0"/>
    <n v="325"/>
    <x v="5"/>
    <n v="2"/>
    <x v="1"/>
  </r>
  <r>
    <d v="2025-05-29T00:00:00"/>
    <s v="Adult"/>
    <x v="16"/>
    <n v="368"/>
    <n v="34"/>
    <n v="2"/>
    <n v="0"/>
    <n v="403"/>
    <x v="20"/>
    <n v="2"/>
    <x v="1"/>
  </r>
  <r>
    <d v="2025-05-29T00:00:00"/>
    <s v="Adult"/>
    <x v="30"/>
    <n v="1238"/>
    <n v="102"/>
    <n v="2"/>
    <n v="0"/>
    <n v="1342"/>
    <x v="20"/>
    <n v="2"/>
    <x v="1"/>
  </r>
  <r>
    <d v="2025-05-29T00:00:00"/>
    <s v="Adult"/>
    <x v="31"/>
    <n v="532"/>
    <n v="212"/>
    <n v="2"/>
    <n v="0"/>
    <n v="746"/>
    <x v="20"/>
    <n v="2"/>
    <x v="1"/>
  </r>
  <r>
    <d v="2025-05-29T00:00:00"/>
    <s v="Adult"/>
    <x v="19"/>
    <n v="235"/>
    <n v="37"/>
    <n v="2"/>
    <n v="0"/>
    <n v="274"/>
    <x v="20"/>
    <n v="2"/>
    <x v="1"/>
  </r>
  <r>
    <d v="2025-05-29T00:00:00"/>
    <s v="Child"/>
    <x v="26"/>
    <n v="25"/>
    <n v="12"/>
    <n v="2"/>
    <n v="0"/>
    <n v="39"/>
    <x v="20"/>
    <n v="2"/>
    <x v="1"/>
  </r>
  <r>
    <d v="2025-06-26T00:00:00"/>
    <s v="Adult"/>
    <x v="30"/>
    <n v="1185"/>
    <n v="115"/>
    <n v="2"/>
    <n v="0"/>
    <n v="1302"/>
    <x v="21"/>
    <n v="2"/>
    <x v="1"/>
  </r>
  <r>
    <d v="2025-06-26T00:00:00"/>
    <s v="Child"/>
    <x v="26"/>
    <n v="18"/>
    <n v="11"/>
    <n v="2"/>
    <n v="0"/>
    <n v="31"/>
    <x v="21"/>
    <n v="2"/>
    <x v="1"/>
  </r>
  <r>
    <d v="2025-07-31T00:00:00"/>
    <s v="Adult"/>
    <x v="19"/>
    <n v="317"/>
    <n v="30"/>
    <n v="2"/>
    <n v="0"/>
    <n v="349"/>
    <x v="22"/>
    <n v="2"/>
    <x v="1"/>
  </r>
  <r>
    <d v="2025-07-31T00:00:00"/>
    <s v="Child"/>
    <x v="32"/>
    <n v="31"/>
    <n v="16"/>
    <n v="2"/>
    <n v="0"/>
    <n v="49"/>
    <x v="22"/>
    <n v="2"/>
    <x v="1"/>
  </r>
  <r>
    <d v="2025-08-28T00:00:00"/>
    <s v="Adult"/>
    <x v="9"/>
    <n v="122"/>
    <n v="25"/>
    <n v="2"/>
    <n v="0"/>
    <n v="148"/>
    <x v="23"/>
    <n v="2"/>
    <x v="1"/>
  </r>
  <r>
    <d v="2025-08-28T00:00:00"/>
    <s v="Child"/>
    <x v="32"/>
    <n v="26"/>
    <n v="8"/>
    <n v="2"/>
    <n v="0"/>
    <n v="36"/>
    <x v="23"/>
    <n v="2"/>
    <x v="1"/>
  </r>
  <r>
    <d v="2025-09-25T00:00:00"/>
    <s v="Adult"/>
    <x v="15"/>
    <n v="197"/>
    <n v="62"/>
    <n v="2"/>
    <n v="0"/>
    <n v="261"/>
    <x v="24"/>
    <n v="2"/>
    <x v="1"/>
  </r>
  <r>
    <d v="2025-10-30T00:00:00"/>
    <s v="Adult"/>
    <x v="16"/>
    <n v="414"/>
    <n v="36"/>
    <n v="2"/>
    <n v="0"/>
    <n v="452"/>
    <x v="25"/>
    <n v="2"/>
    <x v="1"/>
  </r>
  <r>
    <d v="2025-10-30T00:00:00"/>
    <s v="Adult"/>
    <x v="9"/>
    <n v="82"/>
    <n v="20"/>
    <n v="2"/>
    <n v="0"/>
    <n v="103"/>
    <x v="25"/>
    <n v="2"/>
    <x v="1"/>
  </r>
  <r>
    <d v="2025-10-30T00:00:00"/>
    <s v="Adult"/>
    <x v="3"/>
    <n v="668"/>
    <n v="233"/>
    <n v="2"/>
    <n v="0"/>
    <n v="903"/>
    <x v="25"/>
    <n v="2"/>
    <x v="1"/>
  </r>
  <r>
    <d v="2025-10-30T00:00:00"/>
    <s v="Child"/>
    <x v="29"/>
    <n v="37"/>
    <n v="4"/>
    <n v="2"/>
    <n v="0"/>
    <n v="43"/>
    <x v="25"/>
    <n v="2"/>
    <x v="1"/>
  </r>
  <r>
    <d v="2025-12-18T00:00:00"/>
    <s v="Child"/>
    <x v="32"/>
    <n v="39"/>
    <n v="5"/>
    <n v="2"/>
    <n v="0"/>
    <n v="45"/>
    <x v="27"/>
    <n v="2"/>
    <x v="1"/>
  </r>
  <r>
    <d v="2025-12-18T00:00:00"/>
    <s v="Child"/>
    <x v="19"/>
    <n v="8"/>
    <n v="2"/>
    <n v="2"/>
    <n v="0"/>
    <n v="11"/>
    <x v="27"/>
    <n v="2"/>
    <x v="1"/>
  </r>
  <r>
    <d v="2026-01-29T00:00:00"/>
    <s v="Adult"/>
    <x v="4"/>
    <n v="263"/>
    <n v="109"/>
    <n v="2"/>
    <n v="0"/>
    <n v="374"/>
    <x v="6"/>
    <n v="2"/>
    <x v="1"/>
  </r>
  <r>
    <d v="2026-02-26T00:00:00"/>
    <s v="Adult"/>
    <x v="17"/>
    <n v="532"/>
    <n v="68"/>
    <n v="2"/>
    <n v="0"/>
    <n v="603"/>
    <x v="7"/>
    <n v="2"/>
    <x v="1"/>
  </r>
  <r>
    <d v="2026-02-26T00:00:00"/>
    <s v="Child"/>
    <x v="19"/>
    <n v="7"/>
    <n v="3"/>
    <n v="2"/>
    <n v="0"/>
    <n v="12"/>
    <x v="7"/>
    <n v="2"/>
    <x v="1"/>
  </r>
  <r>
    <d v="2026-03-26T00:00:00"/>
    <s v="Adult"/>
    <x v="17"/>
    <n v="639"/>
    <n v="86"/>
    <n v="2"/>
    <n v="0"/>
    <n v="726"/>
    <x v="28"/>
    <n v="2"/>
    <x v="1"/>
  </r>
  <r>
    <d v="2026-03-26T00:00:00"/>
    <s v="Adult"/>
    <x v="4"/>
    <n v="244"/>
    <n v="144"/>
    <n v="2"/>
    <n v="0"/>
    <n v="390"/>
    <x v="28"/>
    <n v="2"/>
    <x v="1"/>
  </r>
  <r>
    <d v="2026-03-26T00:00:00"/>
    <s v="Child"/>
    <x v="32"/>
    <n v="46"/>
    <n v="11"/>
    <n v="2"/>
    <n v="0"/>
    <n v="59"/>
    <x v="28"/>
    <n v="2"/>
    <x v="1"/>
  </r>
  <r>
    <d v="2026-04-30T00:00:00"/>
    <s v="Adult"/>
    <x v="17"/>
    <n v="618"/>
    <n v="91"/>
    <n v="2"/>
    <n v="0"/>
    <n v="710"/>
    <x v="29"/>
    <n v="2"/>
    <x v="1"/>
  </r>
  <r>
    <d v="2026-04-30T00:00:00"/>
    <s v="Adult"/>
    <x v="4"/>
    <n v="191"/>
    <n v="112"/>
    <n v="2"/>
    <n v="0"/>
    <n v="305"/>
    <x v="29"/>
    <n v="2"/>
    <x v="1"/>
  </r>
  <r>
    <d v="2026-04-30T00:00:00"/>
    <s v="Adult"/>
    <x v="0"/>
    <n v="533"/>
    <n v="82"/>
    <n v="2"/>
    <n v="0"/>
    <n v="617"/>
    <x v="29"/>
    <n v="2"/>
    <x v="1"/>
  </r>
  <r>
    <d v="2026-04-30T00:00:00"/>
    <s v="Child"/>
    <x v="18"/>
    <n v="171"/>
    <n v="13"/>
    <n v="2"/>
    <n v="0"/>
    <n v="186"/>
    <x v="29"/>
    <n v="2"/>
    <x v="1"/>
  </r>
  <r>
    <d v="2026-05-28T00:00:00"/>
    <s v="Adult"/>
    <x v="10"/>
    <n v="436"/>
    <n v="12"/>
    <n v="2"/>
    <n v="0"/>
    <n v="450"/>
    <x v="8"/>
    <n v="2"/>
    <x v="1"/>
  </r>
  <r>
    <d v="2026-05-28T00:00:00"/>
    <s v="Child"/>
    <x v="18"/>
    <n v="188"/>
    <n v="19"/>
    <n v="2"/>
    <n v="0"/>
    <n v="208"/>
    <x v="8"/>
    <n v="2"/>
    <x v="1"/>
  </r>
  <r>
    <d v="2026-07-30T00:00:00"/>
    <s v="Adult"/>
    <x v="17"/>
    <n v="533"/>
    <n v="44"/>
    <n v="2"/>
    <n v="0"/>
    <n v="579"/>
    <x v="10"/>
    <n v="2"/>
    <x v="1"/>
  </r>
  <r>
    <d v="2026-08-27T00:00:00"/>
    <s v="Adult"/>
    <x v="4"/>
    <n v="214"/>
    <n v="76"/>
    <n v="2"/>
    <n v="0"/>
    <n v="292"/>
    <x v="11"/>
    <n v="2"/>
    <x v="1"/>
  </r>
  <r>
    <d v="2026-08-27T00:00:00"/>
    <s v="Adult"/>
    <x v="0"/>
    <n v="547"/>
    <n v="20"/>
    <n v="2"/>
    <n v="0"/>
    <n v="569"/>
    <x v="11"/>
    <n v="2"/>
    <x v="1"/>
  </r>
  <r>
    <d v="2023-01-26T00:00:00"/>
    <s v="Child"/>
    <x v="12"/>
    <n v="12"/>
    <n v="6"/>
    <n v="4"/>
    <n v="0"/>
    <n v="22"/>
    <x v="36"/>
    <n v="4"/>
    <x v="0"/>
  </r>
  <r>
    <d v="2023-02-23T00:00:00"/>
    <s v="Child"/>
    <x v="12"/>
    <n v="20"/>
    <n v="6"/>
    <n v="4"/>
    <n v="0"/>
    <n v="29"/>
    <x v="37"/>
    <n v="4"/>
    <x v="0"/>
  </r>
  <r>
    <d v="2023-05-25T00:00:00"/>
    <s v="Child"/>
    <x v="8"/>
    <n v="382"/>
    <n v="102"/>
    <n v="4"/>
    <n v="0"/>
    <n v="488"/>
    <x v="40"/>
    <n v="4"/>
    <x v="0"/>
  </r>
  <r>
    <d v="2023-09-28T00:00:00"/>
    <s v="Adult"/>
    <x v="17"/>
    <n v="1669"/>
    <n v="583"/>
    <n v="4"/>
    <n v="0"/>
    <n v="2256"/>
    <x v="33"/>
    <n v="4"/>
    <x v="0"/>
  </r>
  <r>
    <d v="2023-09-28T00:00:00"/>
    <s v="Adult"/>
    <x v="14"/>
    <n v="2426"/>
    <n v="391"/>
    <n v="4"/>
    <n v="0"/>
    <n v="2821"/>
    <x v="33"/>
    <n v="4"/>
    <x v="0"/>
  </r>
  <r>
    <d v="2023-10-26T00:00:00"/>
    <s v="Adult"/>
    <x v="17"/>
    <n v="1571"/>
    <n v="516"/>
    <n v="4"/>
    <n v="0"/>
    <n v="2091"/>
    <x v="41"/>
    <n v="4"/>
    <x v="0"/>
  </r>
  <r>
    <d v="2023-11-30T00:00:00"/>
    <s v="Adult"/>
    <x v="17"/>
    <n v="1568"/>
    <n v="377"/>
    <n v="4"/>
    <n v="0"/>
    <n v="1950"/>
    <x v="42"/>
    <n v="4"/>
    <x v="0"/>
  </r>
  <r>
    <d v="2023-11-30T00:00:00"/>
    <s v="Child"/>
    <x v="28"/>
    <n v="20"/>
    <n v="7"/>
    <n v="4"/>
    <n v="0"/>
    <n v="30"/>
    <x v="42"/>
    <n v="4"/>
    <x v="0"/>
  </r>
  <r>
    <d v="2023-12-28T00:00:00"/>
    <s v="Adult"/>
    <x v="6"/>
    <n v="2151"/>
    <n v="28"/>
    <n v="4"/>
    <n v="0"/>
    <n v="2183"/>
    <x v="43"/>
    <n v="4"/>
    <x v="0"/>
  </r>
  <r>
    <d v="2023-12-28T00:00:00"/>
    <s v="Child"/>
    <x v="3"/>
    <n v="171"/>
    <n v="8"/>
    <n v="4"/>
    <n v="0"/>
    <n v="182"/>
    <x v="43"/>
    <n v="4"/>
    <x v="0"/>
  </r>
  <r>
    <d v="2024-01-25T00:00:00"/>
    <s v="Child"/>
    <x v="3"/>
    <n v="192"/>
    <n v="8"/>
    <n v="4"/>
    <n v="0"/>
    <n v="204"/>
    <x v="12"/>
    <n v="4"/>
    <x v="0"/>
  </r>
  <r>
    <d v="2024-01-25T00:00:00"/>
    <s v="Child"/>
    <x v="2"/>
    <n v="214"/>
    <n v="67"/>
    <n v="4"/>
    <n v="0"/>
    <n v="285"/>
    <x v="12"/>
    <n v="4"/>
    <x v="0"/>
  </r>
  <r>
    <d v="2024-02-29T00:00:00"/>
    <s v="Adult"/>
    <x v="17"/>
    <n v="1580"/>
    <n v="384"/>
    <n v="4"/>
    <n v="0"/>
    <n v="1968"/>
    <x v="13"/>
    <n v="4"/>
    <x v="0"/>
  </r>
  <r>
    <d v="2024-03-28T00:00:00"/>
    <s v="Adult"/>
    <x v="6"/>
    <n v="2164"/>
    <n v="30"/>
    <n v="4"/>
    <n v="0"/>
    <n v="2198"/>
    <x v="14"/>
    <n v="4"/>
    <x v="0"/>
  </r>
  <r>
    <d v="2024-04-25T00:00:00"/>
    <s v="Child"/>
    <x v="2"/>
    <n v="173"/>
    <n v="73"/>
    <n v="4"/>
    <n v="0"/>
    <n v="249"/>
    <x v="15"/>
    <n v="4"/>
    <x v="0"/>
  </r>
  <r>
    <d v="2024-08-29T00:00:00"/>
    <s v="Adult"/>
    <x v="17"/>
    <n v="1453"/>
    <n v="361"/>
    <n v="4"/>
    <n v="0"/>
    <n v="1817"/>
    <x v="2"/>
    <n v="4"/>
    <x v="0"/>
  </r>
  <r>
    <d v="2024-08-29T00:00:00"/>
    <s v="Child"/>
    <x v="9"/>
    <n v="32"/>
    <n v="14"/>
    <n v="4"/>
    <n v="0"/>
    <n v="50"/>
    <x v="2"/>
    <n v="4"/>
    <x v="0"/>
  </r>
  <r>
    <d v="2024-09-26T00:00:00"/>
    <s v="Child"/>
    <x v="9"/>
    <n v="32"/>
    <n v="14"/>
    <n v="4"/>
    <n v="0"/>
    <n v="50"/>
    <x v="17"/>
    <n v="4"/>
    <x v="0"/>
  </r>
  <r>
    <d v="2024-10-31T00:00:00"/>
    <s v="Adult"/>
    <x v="6"/>
    <n v="2302"/>
    <n v="119"/>
    <n v="4"/>
    <n v="0"/>
    <n v="2425"/>
    <x v="34"/>
    <n v="4"/>
    <x v="0"/>
  </r>
  <r>
    <d v="2024-11-28T00:00:00"/>
    <s v="Adult"/>
    <x v="10"/>
    <n v="3878"/>
    <n v="656"/>
    <n v="4"/>
    <n v="0"/>
    <n v="4538"/>
    <x v="3"/>
    <n v="4"/>
    <x v="0"/>
  </r>
  <r>
    <d v="2024-11-28T00:00:00"/>
    <s v="Child"/>
    <x v="9"/>
    <n v="28"/>
    <n v="8"/>
    <n v="4"/>
    <n v="0"/>
    <n v="39"/>
    <x v="3"/>
    <n v="4"/>
    <x v="0"/>
  </r>
  <r>
    <d v="2025-07-31T00:00:00"/>
    <s v="Child"/>
    <x v="23"/>
    <n v="35"/>
    <n v="10"/>
    <n v="4"/>
    <n v="0"/>
    <n v="50"/>
    <x v="22"/>
    <n v="4"/>
    <x v="0"/>
  </r>
  <r>
    <d v="2025-07-31T00:00:00"/>
    <s v="Child"/>
    <x v="24"/>
    <n v="732"/>
    <n v="290"/>
    <n v="4"/>
    <n v="0"/>
    <n v="1026"/>
    <x v="22"/>
    <n v="4"/>
    <x v="0"/>
  </r>
  <r>
    <d v="2026-03-26T00:00:00"/>
    <s v="Child"/>
    <x v="16"/>
    <n v="553"/>
    <n v="92"/>
    <n v="4"/>
    <n v="0"/>
    <n v="649"/>
    <x v="28"/>
    <n v="4"/>
    <x v="0"/>
  </r>
  <r>
    <d v="2026-03-26T00:00:00"/>
    <s v="Child"/>
    <x v="8"/>
    <n v="399"/>
    <n v="100"/>
    <n v="4"/>
    <n v="0"/>
    <n v="502"/>
    <x v="28"/>
    <n v="4"/>
    <x v="0"/>
  </r>
  <r>
    <d v="2023-01-26T00:00:00"/>
    <s v="Adult"/>
    <x v="31"/>
    <n v="483"/>
    <n v="49"/>
    <n v="4"/>
    <n v="0"/>
    <n v="536"/>
    <x v="36"/>
    <n v="4"/>
    <x v="1"/>
  </r>
  <r>
    <d v="2023-01-26T00:00:00"/>
    <s v="Adult"/>
    <x v="8"/>
    <n v="259"/>
    <n v="38"/>
    <n v="4"/>
    <n v="0"/>
    <n v="301"/>
    <x v="36"/>
    <n v="4"/>
    <x v="1"/>
  </r>
  <r>
    <d v="2023-02-23T00:00:00"/>
    <s v="Child"/>
    <x v="23"/>
    <n v="29"/>
    <n v="11"/>
    <n v="4"/>
    <n v="0"/>
    <n v="44"/>
    <x v="37"/>
    <n v="4"/>
    <x v="1"/>
  </r>
  <r>
    <d v="2023-03-30T00:00:00"/>
    <s v="Adult"/>
    <x v="27"/>
    <n v="472"/>
    <n v="129"/>
    <n v="4"/>
    <n v="0"/>
    <n v="605"/>
    <x v="38"/>
    <n v="4"/>
    <x v="1"/>
  </r>
  <r>
    <d v="2023-03-30T00:00:00"/>
    <s v="Child"/>
    <x v="23"/>
    <n v="17"/>
    <n v="4"/>
    <n v="4"/>
    <n v="0"/>
    <n v="25"/>
    <x v="38"/>
    <n v="4"/>
    <x v="1"/>
  </r>
  <r>
    <d v="2023-03-30T00:00:00"/>
    <s v="Child"/>
    <x v="21"/>
    <n v="24"/>
    <n v="6"/>
    <n v="4"/>
    <n v="0"/>
    <n v="35"/>
    <x v="38"/>
    <n v="4"/>
    <x v="1"/>
  </r>
  <r>
    <d v="2023-04-27T00:00:00"/>
    <s v="Adult"/>
    <x v="31"/>
    <n v="561"/>
    <n v="44"/>
    <n v="4"/>
    <n v="0"/>
    <n v="609"/>
    <x v="39"/>
    <n v="4"/>
    <x v="1"/>
  </r>
  <r>
    <d v="2023-04-27T00:00:00"/>
    <s v="Adult"/>
    <x v="27"/>
    <n v="499"/>
    <n v="125"/>
    <n v="4"/>
    <n v="0"/>
    <n v="629"/>
    <x v="39"/>
    <n v="4"/>
    <x v="1"/>
  </r>
  <r>
    <d v="2023-04-27T00:00:00"/>
    <s v="Adult"/>
    <x v="1"/>
    <n v="631"/>
    <n v="126"/>
    <n v="4"/>
    <n v="0"/>
    <n v="761"/>
    <x v="39"/>
    <n v="4"/>
    <x v="1"/>
  </r>
  <r>
    <d v="2023-04-27T00:00:00"/>
    <s v="Child"/>
    <x v="21"/>
    <n v="27"/>
    <n v="4"/>
    <n v="4"/>
    <n v="0"/>
    <n v="35"/>
    <x v="39"/>
    <n v="4"/>
    <x v="1"/>
  </r>
  <r>
    <d v="2023-04-27T00:00:00"/>
    <s v="Child"/>
    <x v="34"/>
    <n v="370"/>
    <n v="62"/>
    <n v="4"/>
    <n v="0"/>
    <n v="436"/>
    <x v="39"/>
    <n v="4"/>
    <x v="1"/>
  </r>
  <r>
    <d v="2023-05-25T00:00:00"/>
    <s v="Adult"/>
    <x v="31"/>
    <n v="546"/>
    <n v="58"/>
    <n v="4"/>
    <n v="0"/>
    <n v="608"/>
    <x v="40"/>
    <n v="4"/>
    <x v="1"/>
  </r>
  <r>
    <d v="2023-05-25T00:00:00"/>
    <s v="Adult"/>
    <x v="4"/>
    <n v="222"/>
    <n v="43"/>
    <n v="4"/>
    <n v="0"/>
    <n v="268"/>
    <x v="40"/>
    <n v="4"/>
    <x v="1"/>
  </r>
  <r>
    <d v="2023-05-25T00:00:00"/>
    <s v="Adult"/>
    <x v="27"/>
    <n v="535"/>
    <n v="135"/>
    <n v="4"/>
    <n v="0"/>
    <n v="674"/>
    <x v="40"/>
    <n v="4"/>
    <x v="1"/>
  </r>
  <r>
    <d v="2023-06-29T00:00:00"/>
    <s v="Adult"/>
    <x v="15"/>
    <n v="116"/>
    <n v="31"/>
    <n v="4"/>
    <n v="0"/>
    <n v="151"/>
    <x v="30"/>
    <n v="4"/>
    <x v="1"/>
  </r>
  <r>
    <d v="2023-06-29T00:00:00"/>
    <s v="Child"/>
    <x v="21"/>
    <n v="24"/>
    <n v="6"/>
    <n v="4"/>
    <n v="0"/>
    <n v="34"/>
    <x v="30"/>
    <n v="4"/>
    <x v="1"/>
  </r>
  <r>
    <d v="2023-07-27T00:00:00"/>
    <s v="Adult"/>
    <x v="30"/>
    <n v="911"/>
    <n v="56"/>
    <n v="4"/>
    <n v="0"/>
    <n v="971"/>
    <x v="31"/>
    <n v="4"/>
    <x v="1"/>
  </r>
  <r>
    <d v="2023-07-27T00:00:00"/>
    <s v="Adult"/>
    <x v="9"/>
    <n v="86"/>
    <n v="38"/>
    <n v="4"/>
    <n v="0"/>
    <n v="128"/>
    <x v="31"/>
    <n v="4"/>
    <x v="1"/>
  </r>
  <r>
    <d v="2023-07-27T00:00:00"/>
    <s v="Adult"/>
    <x v="4"/>
    <n v="208"/>
    <n v="53"/>
    <n v="4"/>
    <n v="0"/>
    <n v="265"/>
    <x v="31"/>
    <n v="4"/>
    <x v="1"/>
  </r>
  <r>
    <d v="2023-08-31T00:00:00"/>
    <s v="Adult"/>
    <x v="15"/>
    <n v="133"/>
    <n v="19"/>
    <n v="4"/>
    <n v="0"/>
    <n v="156"/>
    <x v="32"/>
    <n v="4"/>
    <x v="1"/>
  </r>
  <r>
    <d v="2023-08-31T00:00:00"/>
    <s v="Child"/>
    <x v="26"/>
    <n v="30"/>
    <n v="8"/>
    <n v="4"/>
    <n v="0"/>
    <n v="42"/>
    <x v="32"/>
    <n v="4"/>
    <x v="1"/>
  </r>
  <r>
    <d v="2023-09-28T00:00:00"/>
    <s v="Adult"/>
    <x v="3"/>
    <n v="332"/>
    <n v="4"/>
    <n v="4"/>
    <n v="0"/>
    <n v="340"/>
    <x v="33"/>
    <n v="4"/>
    <x v="1"/>
  </r>
  <r>
    <d v="2023-09-28T00:00:00"/>
    <s v="Child"/>
    <x v="26"/>
    <n v="20"/>
    <n v="8"/>
    <n v="4"/>
    <n v="0"/>
    <n v="31"/>
    <x v="33"/>
    <n v="4"/>
    <x v="1"/>
  </r>
  <r>
    <d v="2023-10-26T00:00:00"/>
    <s v="Adult"/>
    <x v="30"/>
    <n v="996"/>
    <n v="41"/>
    <n v="4"/>
    <n v="0"/>
    <n v="1041"/>
    <x v="41"/>
    <n v="4"/>
    <x v="1"/>
  </r>
  <r>
    <d v="2023-10-26T00:00:00"/>
    <s v="Adult"/>
    <x v="4"/>
    <n v="219"/>
    <n v="74"/>
    <n v="4"/>
    <n v="0"/>
    <n v="298"/>
    <x v="41"/>
    <n v="4"/>
    <x v="1"/>
  </r>
  <r>
    <d v="2023-10-26T00:00:00"/>
    <s v="Adult"/>
    <x v="18"/>
    <n v="734"/>
    <n v="131"/>
    <n v="4"/>
    <n v="0"/>
    <n v="870"/>
    <x v="41"/>
    <n v="4"/>
    <x v="1"/>
  </r>
  <r>
    <d v="2023-10-26T00:00:00"/>
    <s v="Adult"/>
    <x v="1"/>
    <n v="681"/>
    <n v="125"/>
    <n v="4"/>
    <n v="0"/>
    <n v="810"/>
    <x v="41"/>
    <n v="4"/>
    <x v="1"/>
  </r>
  <r>
    <d v="2024-03-28T00:00:00"/>
    <s v="Adult"/>
    <x v="0"/>
    <n v="534"/>
    <n v="33"/>
    <n v="4"/>
    <n v="0"/>
    <n v="571"/>
    <x v="14"/>
    <n v="4"/>
    <x v="1"/>
  </r>
  <r>
    <d v="2024-04-25T00:00:00"/>
    <s v="Adult"/>
    <x v="27"/>
    <n v="619"/>
    <n v="208"/>
    <n v="4"/>
    <n v="0"/>
    <n v="831"/>
    <x v="15"/>
    <n v="4"/>
    <x v="1"/>
  </r>
  <r>
    <d v="2024-04-25T00:00:00"/>
    <s v="Adult"/>
    <x v="1"/>
    <n v="485"/>
    <n v="158"/>
    <n v="4"/>
    <n v="0"/>
    <n v="647"/>
    <x v="15"/>
    <n v="4"/>
    <x v="1"/>
  </r>
  <r>
    <d v="2024-04-25T00:00:00"/>
    <s v="Child"/>
    <x v="27"/>
    <n v="119"/>
    <n v="17"/>
    <n v="4"/>
    <n v="0"/>
    <n v="140"/>
    <x v="15"/>
    <n v="4"/>
    <x v="1"/>
  </r>
  <r>
    <d v="2024-05-30T00:00:00"/>
    <s v="Adult"/>
    <x v="0"/>
    <n v="626"/>
    <n v="40"/>
    <n v="4"/>
    <n v="0"/>
    <n v="669"/>
    <x v="0"/>
    <n v="4"/>
    <x v="1"/>
  </r>
  <r>
    <d v="2024-05-30T00:00:00"/>
    <s v="Child"/>
    <x v="2"/>
    <n v="40"/>
    <n v="14"/>
    <n v="4"/>
    <n v="0"/>
    <n v="57"/>
    <x v="0"/>
    <n v="4"/>
    <x v="1"/>
  </r>
  <r>
    <d v="2024-07-25T00:00:00"/>
    <s v="Child"/>
    <x v="2"/>
    <n v="10"/>
    <n v="4"/>
    <n v="4"/>
    <n v="0"/>
    <n v="17"/>
    <x v="16"/>
    <n v="4"/>
    <x v="1"/>
  </r>
  <r>
    <d v="2024-10-31T00:00:00"/>
    <s v="Adult"/>
    <x v="0"/>
    <n v="826"/>
    <n v="56"/>
    <n v="4"/>
    <n v="0"/>
    <n v="886"/>
    <x v="34"/>
    <n v="4"/>
    <x v="1"/>
  </r>
  <r>
    <d v="2024-11-28T00:00:00"/>
    <s v="Adult"/>
    <x v="11"/>
    <n v="750"/>
    <n v="310"/>
    <n v="4"/>
    <n v="0"/>
    <n v="1064"/>
    <x v="3"/>
    <n v="4"/>
    <x v="1"/>
  </r>
  <r>
    <d v="2024-12-19T00:00:00"/>
    <s v="Adult"/>
    <x v="13"/>
    <n v="504"/>
    <n v="141"/>
    <n v="4"/>
    <n v="0"/>
    <n v="648"/>
    <x v="4"/>
    <n v="4"/>
    <x v="1"/>
  </r>
  <r>
    <d v="2024-12-19T00:00:00"/>
    <s v="Adult"/>
    <x v="15"/>
    <n v="266"/>
    <n v="26"/>
    <n v="4"/>
    <n v="0"/>
    <n v="295"/>
    <x v="4"/>
    <n v="4"/>
    <x v="1"/>
  </r>
  <r>
    <d v="2025-01-30T00:00:00"/>
    <s v="Adult"/>
    <x v="15"/>
    <n v="238"/>
    <n v="53"/>
    <n v="4"/>
    <n v="0"/>
    <n v="295"/>
    <x v="18"/>
    <n v="4"/>
    <x v="1"/>
  </r>
  <r>
    <d v="2025-03-27T00:00:00"/>
    <s v="Adult"/>
    <x v="9"/>
    <n v="133"/>
    <n v="29"/>
    <n v="4"/>
    <n v="0"/>
    <n v="166"/>
    <x v="19"/>
    <n v="4"/>
    <x v="1"/>
  </r>
  <r>
    <d v="2025-10-30T00:00:00"/>
    <s v="Adult"/>
    <x v="6"/>
    <n v="585"/>
    <n v="86"/>
    <n v="4"/>
    <n v="0"/>
    <n v="675"/>
    <x v="25"/>
    <n v="4"/>
    <x v="1"/>
  </r>
  <r>
    <d v="2025-10-30T00:00:00"/>
    <s v="Adult"/>
    <x v="1"/>
    <n v="574"/>
    <n v="235"/>
    <n v="4"/>
    <n v="0"/>
    <n v="813"/>
    <x v="25"/>
    <n v="4"/>
    <x v="1"/>
  </r>
  <r>
    <d v="2025-12-18T00:00:00"/>
    <s v="Adult"/>
    <x v="26"/>
    <n v="457"/>
    <n v="63"/>
    <n v="4"/>
    <n v="0"/>
    <n v="524"/>
    <x v="27"/>
    <n v="4"/>
    <x v="1"/>
  </r>
  <r>
    <d v="2025-12-18T00:00:00"/>
    <s v="Adult"/>
    <x v="1"/>
    <n v="611"/>
    <n v="244"/>
    <n v="4"/>
    <n v="0"/>
    <n v="859"/>
    <x v="27"/>
    <n v="4"/>
    <x v="1"/>
  </r>
  <r>
    <d v="2026-02-26T00:00:00"/>
    <s v="Adult"/>
    <x v="6"/>
    <n v="613"/>
    <n v="83"/>
    <n v="4"/>
    <n v="0"/>
    <n v="700"/>
    <x v="7"/>
    <n v="4"/>
    <x v="1"/>
  </r>
  <r>
    <d v="2026-02-26T00:00:00"/>
    <s v="Adult"/>
    <x v="26"/>
    <n v="365"/>
    <n v="61"/>
    <n v="4"/>
    <n v="0"/>
    <n v="430"/>
    <x v="7"/>
    <n v="4"/>
    <x v="1"/>
  </r>
  <r>
    <d v="2026-02-26T00:00:00"/>
    <s v="Child"/>
    <x v="32"/>
    <n v="55"/>
    <n v="6"/>
    <n v="4"/>
    <n v="0"/>
    <n v="65"/>
    <x v="7"/>
    <n v="4"/>
    <x v="1"/>
  </r>
  <r>
    <d v="2026-03-26T00:00:00"/>
    <s v="Adult"/>
    <x v="6"/>
    <n v="581"/>
    <n v="90"/>
    <n v="4"/>
    <n v="0"/>
    <n v="675"/>
    <x v="28"/>
    <n v="4"/>
    <x v="1"/>
  </r>
  <r>
    <d v="2026-05-28T00:00:00"/>
    <s v="Adult"/>
    <x v="4"/>
    <n v="204"/>
    <n v="122"/>
    <n v="4"/>
    <n v="0"/>
    <n v="330"/>
    <x v="8"/>
    <n v="4"/>
    <x v="1"/>
  </r>
  <r>
    <d v="2026-05-28T00:00:00"/>
    <s v="Adult"/>
    <x v="8"/>
    <n v="423"/>
    <n v="107"/>
    <n v="4"/>
    <n v="0"/>
    <n v="534"/>
    <x v="8"/>
    <n v="4"/>
    <x v="1"/>
  </r>
  <r>
    <d v="2026-06-25T00:00:00"/>
    <s v="Adult"/>
    <x v="19"/>
    <n v="560"/>
    <n v="92"/>
    <n v="4"/>
    <n v="0"/>
    <n v="656"/>
    <x v="9"/>
    <n v="4"/>
    <x v="1"/>
  </r>
  <r>
    <d v="2026-06-25T00:00:00"/>
    <s v="Child"/>
    <x v="35"/>
    <n v="109"/>
    <n v="27"/>
    <n v="4"/>
    <n v="0"/>
    <n v="139"/>
    <x v="9"/>
    <n v="4"/>
    <x v="1"/>
  </r>
  <r>
    <d v="2023-02-23T00:00:00"/>
    <s v="Adult"/>
    <x v="30"/>
    <n v="4282"/>
    <n v="583"/>
    <n v="21"/>
    <n v="0"/>
    <n v="4886"/>
    <x v="37"/>
    <n v="21"/>
    <x v="0"/>
  </r>
  <r>
    <d v="2023-02-23T00:00:00"/>
    <s v="Child"/>
    <x v="16"/>
    <n v="1081"/>
    <n v="263"/>
    <n v="28"/>
    <n v="0"/>
    <n v="1371"/>
    <x v="37"/>
    <n v="28"/>
    <x v="0"/>
  </r>
  <r>
    <d v="2023-03-30T00:00:00"/>
    <s v="Adult"/>
    <x v="16"/>
    <n v="4475"/>
    <n v="2959"/>
    <n v="533"/>
    <n v="0"/>
    <n v="7966"/>
    <x v="38"/>
    <n v="533"/>
    <x v="0"/>
  </r>
  <r>
    <d v="2023-03-30T00:00:00"/>
    <s v="Child"/>
    <x v="16"/>
    <n v="1154"/>
    <n v="279"/>
    <n v="34"/>
    <n v="0"/>
    <n v="1467"/>
    <x v="38"/>
    <n v="34"/>
    <x v="0"/>
  </r>
  <r>
    <d v="2023-03-30T00:00:00"/>
    <s v="Child"/>
    <x v="8"/>
    <n v="406"/>
    <n v="91"/>
    <n v="14"/>
    <n v="0"/>
    <n v="510"/>
    <x v="38"/>
    <n v="14"/>
    <x v="0"/>
  </r>
  <r>
    <d v="2023-04-27T00:00:00"/>
    <s v="Adult"/>
    <x v="16"/>
    <n v="4273"/>
    <n v="2909"/>
    <n v="704"/>
    <n v="0"/>
    <n v="7887"/>
    <x v="39"/>
    <n v="704"/>
    <x v="0"/>
  </r>
  <r>
    <d v="2023-04-27T00:00:00"/>
    <s v="Child"/>
    <x v="8"/>
    <n v="399"/>
    <n v="93"/>
    <n v="9"/>
    <n v="0"/>
    <n v="500"/>
    <x v="39"/>
    <n v="9"/>
    <x v="0"/>
  </r>
  <r>
    <d v="2023-04-27T00:00:00"/>
    <s v="Child"/>
    <x v="24"/>
    <n v="651"/>
    <n v="260"/>
    <n v="15"/>
    <n v="0"/>
    <n v="927"/>
    <x v="39"/>
    <n v="15"/>
    <x v="0"/>
  </r>
  <r>
    <d v="2023-05-25T00:00:00"/>
    <s v="Adult"/>
    <x v="14"/>
    <n v="2173"/>
    <n v="347"/>
    <n v="29"/>
    <n v="0"/>
    <n v="2549"/>
    <x v="40"/>
    <n v="29"/>
    <x v="0"/>
  </r>
  <r>
    <d v="2023-05-25T00:00:00"/>
    <s v="Child"/>
    <x v="24"/>
    <n v="640"/>
    <n v="277"/>
    <n v="34"/>
    <n v="0"/>
    <n v="951"/>
    <x v="40"/>
    <n v="34"/>
    <x v="0"/>
  </r>
  <r>
    <d v="2023-06-29T00:00:00"/>
    <s v="Adult"/>
    <x v="17"/>
    <n v="1897"/>
    <n v="732"/>
    <n v="134"/>
    <n v="0"/>
    <n v="2763"/>
    <x v="30"/>
    <n v="134"/>
    <x v="0"/>
  </r>
  <r>
    <d v="2023-06-29T00:00:00"/>
    <s v="Adult"/>
    <x v="14"/>
    <n v="2159"/>
    <n v="365"/>
    <n v="23"/>
    <n v="0"/>
    <n v="2547"/>
    <x v="30"/>
    <n v="23"/>
    <x v="0"/>
  </r>
  <r>
    <d v="2023-06-29T00:00:00"/>
    <s v="Child"/>
    <x v="8"/>
    <n v="349"/>
    <n v="89"/>
    <n v="5"/>
    <n v="0"/>
    <n v="443"/>
    <x v="30"/>
    <n v="5"/>
    <x v="0"/>
  </r>
  <r>
    <d v="2023-06-29T00:00:00"/>
    <s v="Child"/>
    <x v="24"/>
    <n v="614"/>
    <n v="289"/>
    <n v="38"/>
    <n v="0"/>
    <n v="941"/>
    <x v="30"/>
    <n v="38"/>
    <x v="0"/>
  </r>
  <r>
    <d v="2023-07-27T00:00:00"/>
    <s v="Adult"/>
    <x v="6"/>
    <n v="2400"/>
    <n v="78"/>
    <n v="12"/>
    <n v="0"/>
    <n v="2490"/>
    <x v="31"/>
    <n v="12"/>
    <x v="0"/>
  </r>
  <r>
    <d v="2023-07-27T00:00:00"/>
    <s v="Adult"/>
    <x v="17"/>
    <n v="1853"/>
    <n v="602"/>
    <n v="95"/>
    <n v="0"/>
    <n v="2550"/>
    <x v="31"/>
    <n v="95"/>
    <x v="0"/>
  </r>
  <r>
    <d v="2023-07-27T00:00:00"/>
    <s v="Adult"/>
    <x v="14"/>
    <n v="2240"/>
    <n v="320"/>
    <n v="15"/>
    <n v="0"/>
    <n v="2575"/>
    <x v="31"/>
    <n v="15"/>
    <x v="0"/>
  </r>
  <r>
    <d v="2023-07-27T00:00:00"/>
    <s v="Child"/>
    <x v="16"/>
    <n v="1026"/>
    <n v="386"/>
    <n v="19"/>
    <n v="0"/>
    <n v="1430"/>
    <x v="31"/>
    <n v="19"/>
    <x v="0"/>
  </r>
  <r>
    <d v="2023-07-27T00:00:00"/>
    <s v="Child"/>
    <x v="4"/>
    <n v="264"/>
    <n v="99"/>
    <n v="5"/>
    <n v="0"/>
    <n v="368"/>
    <x v="31"/>
    <n v="5"/>
    <x v="0"/>
  </r>
  <r>
    <d v="2023-07-27T00:00:00"/>
    <s v="Child"/>
    <x v="8"/>
    <n v="341"/>
    <n v="68"/>
    <n v="11"/>
    <n v="0"/>
    <n v="421"/>
    <x v="31"/>
    <n v="11"/>
    <x v="0"/>
  </r>
  <r>
    <d v="2023-07-27T00:00:00"/>
    <s v="Child"/>
    <x v="24"/>
    <n v="638"/>
    <n v="287"/>
    <n v="69"/>
    <n v="0"/>
    <n v="993"/>
    <x v="31"/>
    <n v="69"/>
    <x v="0"/>
  </r>
  <r>
    <d v="2023-08-31T00:00:00"/>
    <s v="Adult"/>
    <x v="17"/>
    <n v="1763"/>
    <n v="590"/>
    <n v="21"/>
    <n v="0"/>
    <n v="2374"/>
    <x v="32"/>
    <n v="21"/>
    <x v="0"/>
  </r>
  <r>
    <d v="2023-08-31T00:00:00"/>
    <s v="Adult"/>
    <x v="14"/>
    <n v="2313"/>
    <n v="366"/>
    <n v="7"/>
    <n v="0"/>
    <n v="2686"/>
    <x v="32"/>
    <n v="7"/>
    <x v="0"/>
  </r>
  <r>
    <d v="2023-08-31T00:00:00"/>
    <s v="Child"/>
    <x v="16"/>
    <n v="904"/>
    <n v="470"/>
    <n v="20"/>
    <n v="0"/>
    <n v="1393"/>
    <x v="32"/>
    <n v="20"/>
    <x v="0"/>
  </r>
  <r>
    <d v="2023-08-31T00:00:00"/>
    <s v="Child"/>
    <x v="4"/>
    <n v="233"/>
    <n v="129"/>
    <n v="10"/>
    <n v="0"/>
    <n v="372"/>
    <x v="32"/>
    <n v="10"/>
    <x v="0"/>
  </r>
  <r>
    <d v="2023-08-31T00:00:00"/>
    <s v="Child"/>
    <x v="18"/>
    <n v="998"/>
    <n v="479"/>
    <n v="60"/>
    <n v="0"/>
    <n v="1537"/>
    <x v="32"/>
    <n v="60"/>
    <x v="0"/>
  </r>
  <r>
    <d v="2023-08-31T00:00:00"/>
    <s v="Child"/>
    <x v="24"/>
    <n v="606"/>
    <n v="310"/>
    <n v="82"/>
    <n v="0"/>
    <n v="998"/>
    <x v="32"/>
    <n v="82"/>
    <x v="0"/>
  </r>
  <r>
    <d v="2023-09-28T00:00:00"/>
    <s v="Adult"/>
    <x v="6"/>
    <n v="2390"/>
    <n v="116"/>
    <n v="14"/>
    <n v="0"/>
    <n v="2520"/>
    <x v="33"/>
    <n v="14"/>
    <x v="0"/>
  </r>
  <r>
    <d v="2023-09-28T00:00:00"/>
    <s v="Child"/>
    <x v="16"/>
    <n v="870"/>
    <n v="490"/>
    <n v="28"/>
    <n v="0"/>
    <n v="1389"/>
    <x v="33"/>
    <n v="28"/>
    <x v="0"/>
  </r>
  <r>
    <d v="2023-09-28T00:00:00"/>
    <s v="Child"/>
    <x v="4"/>
    <n v="229"/>
    <n v="137"/>
    <n v="19"/>
    <n v="0"/>
    <n v="386"/>
    <x v="33"/>
    <n v="19"/>
    <x v="0"/>
  </r>
  <r>
    <d v="2023-09-28T00:00:00"/>
    <s v="Child"/>
    <x v="18"/>
    <n v="888"/>
    <n v="564"/>
    <n v="28"/>
    <n v="0"/>
    <n v="1481"/>
    <x v="33"/>
    <n v="28"/>
    <x v="0"/>
  </r>
  <r>
    <d v="2023-09-28T00:00:00"/>
    <s v="Child"/>
    <x v="24"/>
    <n v="618"/>
    <n v="294"/>
    <n v="79"/>
    <n v="0"/>
    <n v="992"/>
    <x v="33"/>
    <n v="79"/>
    <x v="0"/>
  </r>
  <r>
    <d v="2023-10-26T00:00:00"/>
    <s v="Adult"/>
    <x v="6"/>
    <n v="2079"/>
    <n v="77"/>
    <n v="10"/>
    <n v="0"/>
    <n v="2166"/>
    <x v="41"/>
    <n v="10"/>
    <x v="0"/>
  </r>
  <r>
    <d v="2023-10-26T00:00:00"/>
    <s v="Child"/>
    <x v="16"/>
    <n v="770"/>
    <n v="355"/>
    <n v="23"/>
    <n v="0"/>
    <n v="1149"/>
    <x v="41"/>
    <n v="23"/>
    <x v="0"/>
  </r>
  <r>
    <d v="2023-10-26T00:00:00"/>
    <s v="Child"/>
    <x v="18"/>
    <n v="866"/>
    <n v="537"/>
    <n v="11"/>
    <n v="0"/>
    <n v="1414"/>
    <x v="41"/>
    <n v="11"/>
    <x v="0"/>
  </r>
  <r>
    <d v="2023-10-26T00:00:00"/>
    <s v="Child"/>
    <x v="24"/>
    <n v="583"/>
    <n v="359"/>
    <n v="84"/>
    <n v="0"/>
    <n v="1026"/>
    <x v="41"/>
    <n v="84"/>
    <x v="0"/>
  </r>
  <r>
    <d v="2023-11-30T00:00:00"/>
    <s v="Adult"/>
    <x v="30"/>
    <n v="4562"/>
    <n v="201"/>
    <n v="86"/>
    <n v="0"/>
    <n v="4849"/>
    <x v="42"/>
    <n v="86"/>
    <x v="0"/>
  </r>
  <r>
    <d v="2023-11-30T00:00:00"/>
    <s v="Adult"/>
    <x v="6"/>
    <n v="2045"/>
    <n v="67"/>
    <n v="7"/>
    <n v="0"/>
    <n v="2119"/>
    <x v="42"/>
    <n v="7"/>
    <x v="0"/>
  </r>
  <r>
    <d v="2023-11-30T00:00:00"/>
    <s v="Adult"/>
    <x v="18"/>
    <n v="8062"/>
    <n v="2340"/>
    <n v="253"/>
    <n v="0"/>
    <n v="10656"/>
    <x v="42"/>
    <n v="253"/>
    <x v="0"/>
  </r>
  <r>
    <d v="2023-11-30T00:00:00"/>
    <s v="Child"/>
    <x v="16"/>
    <n v="859"/>
    <n v="220"/>
    <n v="10"/>
    <n v="0"/>
    <n v="1089"/>
    <x v="42"/>
    <n v="10"/>
    <x v="0"/>
  </r>
  <r>
    <d v="2023-11-30T00:00:00"/>
    <s v="Child"/>
    <x v="18"/>
    <n v="810"/>
    <n v="469"/>
    <n v="16"/>
    <n v="0"/>
    <n v="1294"/>
    <x v="42"/>
    <n v="16"/>
    <x v="0"/>
  </r>
  <r>
    <d v="2023-11-30T00:00:00"/>
    <s v="Child"/>
    <x v="8"/>
    <n v="317"/>
    <n v="43"/>
    <n v="5"/>
    <n v="0"/>
    <n v="365"/>
    <x v="42"/>
    <n v="5"/>
    <x v="0"/>
  </r>
  <r>
    <d v="2023-12-28T00:00:00"/>
    <s v="Adult"/>
    <x v="18"/>
    <n v="7940"/>
    <n v="2108"/>
    <n v="219"/>
    <n v="0"/>
    <n v="10268"/>
    <x v="43"/>
    <n v="219"/>
    <x v="0"/>
  </r>
  <r>
    <d v="2023-12-28T00:00:00"/>
    <s v="Child"/>
    <x v="18"/>
    <n v="843"/>
    <n v="477"/>
    <n v="8"/>
    <n v="0"/>
    <n v="1328"/>
    <x v="43"/>
    <n v="8"/>
    <x v="0"/>
  </r>
  <r>
    <d v="2023-12-28T00:00:00"/>
    <s v="Child"/>
    <x v="19"/>
    <n v="701"/>
    <n v="253"/>
    <n v="33"/>
    <n v="0"/>
    <n v="986"/>
    <x v="43"/>
    <n v="33"/>
    <x v="0"/>
  </r>
  <r>
    <d v="2023-12-28T00:00:00"/>
    <s v="Child"/>
    <x v="24"/>
    <n v="593"/>
    <n v="374"/>
    <n v="89"/>
    <n v="0"/>
    <n v="1056"/>
    <x v="43"/>
    <n v="89"/>
    <x v="0"/>
  </r>
  <r>
    <d v="2024-01-25T00:00:00"/>
    <s v="Adult"/>
    <x v="18"/>
    <n v="8051"/>
    <n v="2143"/>
    <n v="228"/>
    <n v="0"/>
    <n v="10421"/>
    <x v="12"/>
    <n v="228"/>
    <x v="0"/>
  </r>
  <r>
    <d v="2024-01-25T00:00:00"/>
    <s v="Adult"/>
    <x v="14"/>
    <n v="2372"/>
    <n v="526"/>
    <n v="7"/>
    <n v="0"/>
    <n v="2905"/>
    <x v="12"/>
    <n v="7"/>
    <x v="0"/>
  </r>
  <r>
    <d v="2024-01-25T00:00:00"/>
    <s v="Child"/>
    <x v="23"/>
    <n v="45"/>
    <n v="6"/>
    <n v="1"/>
    <n v="0"/>
    <n v="52"/>
    <x v="12"/>
    <n v="1"/>
    <x v="0"/>
  </r>
  <r>
    <d v="2024-01-25T00:00:00"/>
    <s v="Child"/>
    <x v="9"/>
    <n v="29"/>
    <n v="16"/>
    <n v="6"/>
    <n v="0"/>
    <n v="51"/>
    <x v="12"/>
    <n v="6"/>
    <x v="0"/>
  </r>
  <r>
    <d v="2024-01-25T00:00:00"/>
    <s v="Child"/>
    <x v="18"/>
    <n v="875"/>
    <n v="391"/>
    <n v="14"/>
    <n v="0"/>
    <n v="1280"/>
    <x v="12"/>
    <n v="14"/>
    <x v="0"/>
  </r>
  <r>
    <d v="2024-01-25T00:00:00"/>
    <s v="Child"/>
    <x v="19"/>
    <n v="712"/>
    <n v="251"/>
    <n v="42"/>
    <n v="0"/>
    <n v="1004"/>
    <x v="12"/>
    <n v="42"/>
    <x v="0"/>
  </r>
  <r>
    <d v="2024-01-25T00:00:00"/>
    <s v="Child"/>
    <x v="24"/>
    <n v="577"/>
    <n v="364"/>
    <n v="112"/>
    <n v="0"/>
    <n v="1053"/>
    <x v="12"/>
    <n v="112"/>
    <x v="0"/>
  </r>
  <r>
    <d v="2024-02-29T00:00:00"/>
    <s v="Adult"/>
    <x v="16"/>
    <n v="5315"/>
    <n v="2016"/>
    <n v="55"/>
    <n v="0"/>
    <n v="7386"/>
    <x v="13"/>
    <n v="55"/>
    <x v="0"/>
  </r>
  <r>
    <d v="2024-02-29T00:00:00"/>
    <s v="Adult"/>
    <x v="18"/>
    <n v="8115"/>
    <n v="2151"/>
    <n v="238"/>
    <n v="0"/>
    <n v="10504"/>
    <x v="13"/>
    <n v="238"/>
    <x v="0"/>
  </r>
  <r>
    <d v="2024-02-29T00:00:00"/>
    <s v="Child"/>
    <x v="23"/>
    <n v="51"/>
    <n v="6"/>
    <n v="1"/>
    <n v="0"/>
    <n v="58"/>
    <x v="13"/>
    <n v="1"/>
    <x v="0"/>
  </r>
  <r>
    <d v="2024-02-29T00:00:00"/>
    <s v="Child"/>
    <x v="16"/>
    <n v="846"/>
    <n v="278"/>
    <n v="7"/>
    <n v="0"/>
    <n v="1131"/>
    <x v="13"/>
    <n v="7"/>
    <x v="0"/>
  </r>
  <r>
    <d v="2024-02-29T00:00:00"/>
    <s v="Child"/>
    <x v="9"/>
    <n v="33"/>
    <n v="15"/>
    <n v="6"/>
    <n v="0"/>
    <n v="54"/>
    <x v="13"/>
    <n v="6"/>
    <x v="0"/>
  </r>
  <r>
    <d v="2024-02-29T00:00:00"/>
    <s v="Child"/>
    <x v="13"/>
    <n v="31"/>
    <n v="10"/>
    <n v="3"/>
    <n v="0"/>
    <n v="43"/>
    <x v="13"/>
    <n v="3"/>
    <x v="0"/>
  </r>
  <r>
    <d v="2024-02-29T00:00:00"/>
    <s v="Child"/>
    <x v="18"/>
    <n v="985"/>
    <n v="264"/>
    <n v="22"/>
    <n v="0"/>
    <n v="1271"/>
    <x v="13"/>
    <n v="22"/>
    <x v="0"/>
  </r>
  <r>
    <d v="2024-02-29T00:00:00"/>
    <s v="Child"/>
    <x v="14"/>
    <n v="42"/>
    <n v="19"/>
    <n v="1"/>
    <n v="0"/>
    <n v="62"/>
    <x v="13"/>
    <n v="1"/>
    <x v="0"/>
  </r>
  <r>
    <d v="2024-02-29T00:00:00"/>
    <s v="Child"/>
    <x v="24"/>
    <n v="617"/>
    <n v="342"/>
    <n v="107"/>
    <n v="0"/>
    <n v="1066"/>
    <x v="13"/>
    <n v="107"/>
    <x v="0"/>
  </r>
  <r>
    <d v="2024-03-28T00:00:00"/>
    <s v="Adult"/>
    <x v="14"/>
    <n v="2570"/>
    <n v="609"/>
    <n v="60"/>
    <n v="0"/>
    <n v="3239"/>
    <x v="14"/>
    <n v="60"/>
    <x v="0"/>
  </r>
  <r>
    <d v="2024-03-28T00:00:00"/>
    <s v="Child"/>
    <x v="23"/>
    <n v="47"/>
    <n v="8"/>
    <n v="3"/>
    <n v="0"/>
    <n v="58"/>
    <x v="14"/>
    <n v="3"/>
    <x v="0"/>
  </r>
  <r>
    <d v="2024-03-28T00:00:00"/>
    <s v="Child"/>
    <x v="9"/>
    <n v="31"/>
    <n v="13"/>
    <n v="5"/>
    <n v="0"/>
    <n v="49"/>
    <x v="14"/>
    <n v="5"/>
    <x v="0"/>
  </r>
  <r>
    <d v="2024-03-28T00:00:00"/>
    <s v="Child"/>
    <x v="13"/>
    <n v="31"/>
    <n v="6"/>
    <n v="6"/>
    <n v="0"/>
    <n v="42"/>
    <x v="14"/>
    <n v="6"/>
    <x v="0"/>
  </r>
  <r>
    <d v="2024-03-28T00:00:00"/>
    <s v="Child"/>
    <x v="18"/>
    <n v="1010"/>
    <n v="272"/>
    <n v="38"/>
    <n v="0"/>
    <n v="1320"/>
    <x v="14"/>
    <n v="38"/>
    <x v="0"/>
  </r>
  <r>
    <d v="2024-03-28T00:00:00"/>
    <s v="Child"/>
    <x v="11"/>
    <n v="8"/>
    <n v="3"/>
    <n v="3"/>
    <n v="0"/>
    <n v="13"/>
    <x v="14"/>
    <n v="3"/>
    <x v="0"/>
  </r>
  <r>
    <d v="2024-03-28T00:00:00"/>
    <s v="Child"/>
    <x v="21"/>
    <n v="367"/>
    <n v="41"/>
    <n v="10"/>
    <n v="0"/>
    <n v="418"/>
    <x v="14"/>
    <n v="10"/>
    <x v="0"/>
  </r>
  <r>
    <d v="2024-04-25T00:00:00"/>
    <s v="Adult"/>
    <x v="30"/>
    <n v="4838"/>
    <n v="244"/>
    <n v="19"/>
    <n v="0"/>
    <n v="5101"/>
    <x v="15"/>
    <n v="19"/>
    <x v="0"/>
  </r>
  <r>
    <d v="2024-04-25T00:00:00"/>
    <s v="Adult"/>
    <x v="6"/>
    <n v="2253"/>
    <n v="56"/>
    <n v="3"/>
    <n v="0"/>
    <n v="2311"/>
    <x v="15"/>
    <n v="3"/>
    <x v="0"/>
  </r>
  <r>
    <d v="2024-04-25T00:00:00"/>
    <s v="Adult"/>
    <x v="17"/>
    <n v="1449"/>
    <n v="393"/>
    <n v="3"/>
    <n v="0"/>
    <n v="1845"/>
    <x v="15"/>
    <n v="3"/>
    <x v="0"/>
  </r>
  <r>
    <d v="2024-04-25T00:00:00"/>
    <s v="Adult"/>
    <x v="18"/>
    <n v="8387"/>
    <n v="2058"/>
    <n v="260"/>
    <n v="0"/>
    <n v="10704"/>
    <x v="15"/>
    <n v="260"/>
    <x v="0"/>
  </r>
  <r>
    <d v="2024-04-25T00:00:00"/>
    <s v="Adult"/>
    <x v="14"/>
    <n v="2603"/>
    <n v="615"/>
    <n v="95"/>
    <n v="0"/>
    <n v="3313"/>
    <x v="15"/>
    <n v="95"/>
    <x v="0"/>
  </r>
  <r>
    <d v="2024-04-25T00:00:00"/>
    <s v="Adult"/>
    <x v="1"/>
    <n v="427"/>
    <n v="260"/>
    <n v="40"/>
    <n v="0"/>
    <n v="727"/>
    <x v="15"/>
    <n v="40"/>
    <x v="0"/>
  </r>
  <r>
    <d v="2024-04-25T00:00:00"/>
    <s v="Child"/>
    <x v="23"/>
    <n v="55"/>
    <n v="5"/>
    <n v="3"/>
    <n v="0"/>
    <n v="64"/>
    <x v="15"/>
    <n v="3"/>
    <x v="0"/>
  </r>
  <r>
    <d v="2024-04-25T00:00:00"/>
    <s v="Child"/>
    <x v="9"/>
    <n v="30"/>
    <n v="14"/>
    <n v="6"/>
    <n v="0"/>
    <n v="50"/>
    <x v="15"/>
    <n v="6"/>
    <x v="0"/>
  </r>
  <r>
    <d v="2024-04-25T00:00:00"/>
    <s v="Child"/>
    <x v="18"/>
    <n v="1053"/>
    <n v="276"/>
    <n v="37"/>
    <n v="0"/>
    <n v="1366"/>
    <x v="15"/>
    <n v="37"/>
    <x v="0"/>
  </r>
  <r>
    <d v="2024-04-25T00:00:00"/>
    <s v="Child"/>
    <x v="21"/>
    <n v="393"/>
    <n v="36"/>
    <n v="20"/>
    <n v="0"/>
    <n v="449"/>
    <x v="15"/>
    <n v="20"/>
    <x v="0"/>
  </r>
  <r>
    <d v="2024-04-25T00:00:00"/>
    <s v="Child"/>
    <x v="24"/>
    <n v="675"/>
    <n v="284"/>
    <n v="96"/>
    <n v="0"/>
    <n v="1055"/>
    <x v="15"/>
    <n v="96"/>
    <x v="0"/>
  </r>
  <r>
    <d v="2024-05-30T00:00:00"/>
    <s v="Adult"/>
    <x v="25"/>
    <n v="793"/>
    <n v="99"/>
    <n v="14"/>
    <n v="0"/>
    <n v="905"/>
    <x v="0"/>
    <n v="14"/>
    <x v="0"/>
  </r>
  <r>
    <d v="2024-05-30T00:00:00"/>
    <s v="Adult"/>
    <x v="30"/>
    <n v="4771"/>
    <n v="292"/>
    <n v="18"/>
    <n v="0"/>
    <n v="5081"/>
    <x v="0"/>
    <n v="18"/>
    <x v="0"/>
  </r>
  <r>
    <d v="2024-05-30T00:00:00"/>
    <s v="Adult"/>
    <x v="6"/>
    <n v="2159"/>
    <n v="47"/>
    <n v="5"/>
    <n v="0"/>
    <n v="2211"/>
    <x v="0"/>
    <n v="5"/>
    <x v="0"/>
  </r>
  <r>
    <d v="2024-05-30T00:00:00"/>
    <s v="Adult"/>
    <x v="18"/>
    <n v="8859"/>
    <n v="2012"/>
    <n v="251"/>
    <n v="0"/>
    <n v="11122"/>
    <x v="0"/>
    <n v="251"/>
    <x v="0"/>
  </r>
  <r>
    <d v="2024-05-30T00:00:00"/>
    <s v="Adult"/>
    <x v="10"/>
    <n v="3741"/>
    <n v="808"/>
    <n v="1"/>
    <n v="0"/>
    <n v="4550"/>
    <x v="0"/>
    <n v="1"/>
    <x v="0"/>
  </r>
  <r>
    <d v="2024-05-30T00:00:00"/>
    <s v="Adult"/>
    <x v="1"/>
    <n v="378"/>
    <n v="268"/>
    <n v="58"/>
    <n v="0"/>
    <n v="703"/>
    <x v="0"/>
    <n v="58"/>
    <x v="0"/>
  </r>
  <r>
    <d v="2024-05-30T00:00:00"/>
    <s v="Child"/>
    <x v="23"/>
    <n v="60"/>
    <n v="8"/>
    <n v="3"/>
    <n v="0"/>
    <n v="71"/>
    <x v="0"/>
    <n v="3"/>
    <x v="0"/>
  </r>
  <r>
    <d v="2024-05-30T00:00:00"/>
    <s v="Child"/>
    <x v="9"/>
    <n v="27"/>
    <n v="14"/>
    <n v="7"/>
    <n v="0"/>
    <n v="47"/>
    <x v="0"/>
    <n v="7"/>
    <x v="0"/>
  </r>
  <r>
    <d v="2024-05-30T00:00:00"/>
    <s v="Child"/>
    <x v="13"/>
    <n v="29"/>
    <n v="11"/>
    <n v="3"/>
    <n v="0"/>
    <n v="43"/>
    <x v="0"/>
    <n v="3"/>
    <x v="0"/>
  </r>
  <r>
    <d v="2024-05-30T00:00:00"/>
    <s v="Child"/>
    <x v="18"/>
    <n v="1134"/>
    <n v="251"/>
    <n v="37"/>
    <n v="0"/>
    <n v="1422"/>
    <x v="0"/>
    <n v="37"/>
    <x v="0"/>
  </r>
  <r>
    <d v="2024-05-30T00:00:00"/>
    <s v="Child"/>
    <x v="11"/>
    <n v="8"/>
    <n v="1"/>
    <n v="1"/>
    <n v="0"/>
    <n v="10"/>
    <x v="0"/>
    <n v="1"/>
    <x v="0"/>
  </r>
  <r>
    <d v="2024-05-30T00:00:00"/>
    <s v="Child"/>
    <x v="21"/>
    <n v="418"/>
    <n v="34"/>
    <n v="19"/>
    <n v="0"/>
    <n v="471"/>
    <x v="0"/>
    <n v="19"/>
    <x v="0"/>
  </r>
  <r>
    <d v="2024-05-30T00:00:00"/>
    <s v="Child"/>
    <x v="8"/>
    <n v="298"/>
    <n v="47"/>
    <n v="3"/>
    <n v="0"/>
    <n v="347"/>
    <x v="0"/>
    <n v="3"/>
    <x v="0"/>
  </r>
  <r>
    <d v="2024-05-30T00:00:00"/>
    <s v="Child"/>
    <x v="24"/>
    <n v="705"/>
    <n v="278"/>
    <n v="53"/>
    <n v="0"/>
    <n v="1035"/>
    <x v="0"/>
    <n v="53"/>
    <x v="0"/>
  </r>
  <r>
    <d v="2024-06-27T00:00:00"/>
    <s v="Adult"/>
    <x v="25"/>
    <n v="728"/>
    <n v="89"/>
    <n v="18"/>
    <n v="0"/>
    <n v="836"/>
    <x v="1"/>
    <n v="18"/>
    <x v="0"/>
  </r>
  <r>
    <d v="2024-06-27T00:00:00"/>
    <s v="Adult"/>
    <x v="30"/>
    <n v="5035"/>
    <n v="372"/>
    <n v="11"/>
    <n v="0"/>
    <n v="5418"/>
    <x v="1"/>
    <n v="11"/>
    <x v="0"/>
  </r>
  <r>
    <d v="2024-06-27T00:00:00"/>
    <s v="Adult"/>
    <x v="6"/>
    <n v="2188"/>
    <n v="50"/>
    <n v="9"/>
    <n v="0"/>
    <n v="2246"/>
    <x v="1"/>
    <n v="9"/>
    <x v="0"/>
  </r>
  <r>
    <d v="2024-06-27T00:00:00"/>
    <s v="Adult"/>
    <x v="17"/>
    <n v="1498"/>
    <n v="364"/>
    <n v="5"/>
    <n v="0"/>
    <n v="1867"/>
    <x v="1"/>
    <n v="5"/>
    <x v="0"/>
  </r>
  <r>
    <d v="2024-06-27T00:00:00"/>
    <s v="Adult"/>
    <x v="18"/>
    <n v="9154"/>
    <n v="2014"/>
    <n v="314"/>
    <n v="0"/>
    <n v="11482"/>
    <x v="1"/>
    <n v="314"/>
    <x v="0"/>
  </r>
  <r>
    <d v="2024-06-27T00:00:00"/>
    <s v="Adult"/>
    <x v="10"/>
    <n v="3738"/>
    <n v="787"/>
    <n v="1"/>
    <n v="0"/>
    <n v="4526"/>
    <x v="1"/>
    <n v="1"/>
    <x v="0"/>
  </r>
  <r>
    <d v="2024-06-27T00:00:00"/>
    <s v="Adult"/>
    <x v="1"/>
    <n v="353"/>
    <n v="226"/>
    <n v="86"/>
    <n v="0"/>
    <n v="664"/>
    <x v="1"/>
    <n v="86"/>
    <x v="0"/>
  </r>
  <r>
    <d v="2024-06-27T00:00:00"/>
    <s v="Child"/>
    <x v="23"/>
    <n v="46"/>
    <n v="11"/>
    <n v="3"/>
    <n v="0"/>
    <n v="59"/>
    <x v="1"/>
    <n v="3"/>
    <x v="0"/>
  </r>
  <r>
    <d v="2024-06-27T00:00:00"/>
    <s v="Child"/>
    <x v="16"/>
    <n v="848"/>
    <n v="207"/>
    <n v="42"/>
    <n v="0"/>
    <n v="1097"/>
    <x v="1"/>
    <n v="42"/>
    <x v="0"/>
  </r>
  <r>
    <d v="2024-06-27T00:00:00"/>
    <s v="Child"/>
    <x v="9"/>
    <n v="26"/>
    <n v="14"/>
    <n v="6"/>
    <n v="0"/>
    <n v="46"/>
    <x v="1"/>
    <n v="6"/>
    <x v="0"/>
  </r>
  <r>
    <d v="2024-06-27T00:00:00"/>
    <s v="Child"/>
    <x v="13"/>
    <n v="32"/>
    <n v="10"/>
    <n v="6"/>
    <n v="0"/>
    <n v="47"/>
    <x v="1"/>
    <n v="6"/>
    <x v="0"/>
  </r>
  <r>
    <d v="2024-06-27T00:00:00"/>
    <s v="Child"/>
    <x v="18"/>
    <n v="1164"/>
    <n v="310"/>
    <n v="13"/>
    <n v="0"/>
    <n v="1487"/>
    <x v="1"/>
    <n v="13"/>
    <x v="0"/>
  </r>
  <r>
    <d v="2024-06-27T00:00:00"/>
    <s v="Child"/>
    <x v="21"/>
    <n v="437"/>
    <n v="30"/>
    <n v="17"/>
    <n v="0"/>
    <n v="485"/>
    <x v="1"/>
    <n v="17"/>
    <x v="0"/>
  </r>
  <r>
    <d v="2024-06-27T00:00:00"/>
    <s v="Child"/>
    <x v="8"/>
    <n v="310"/>
    <n v="47"/>
    <n v="7"/>
    <n v="0"/>
    <n v="364"/>
    <x v="1"/>
    <n v="7"/>
    <x v="0"/>
  </r>
  <r>
    <d v="2024-06-27T00:00:00"/>
    <s v="Child"/>
    <x v="24"/>
    <n v="735"/>
    <n v="275"/>
    <n v="15"/>
    <n v="0"/>
    <n v="1025"/>
    <x v="1"/>
    <n v="15"/>
    <x v="0"/>
  </r>
  <r>
    <d v="2024-07-25T00:00:00"/>
    <s v="Adult"/>
    <x v="25"/>
    <n v="750"/>
    <n v="80"/>
    <n v="14"/>
    <n v="0"/>
    <n v="844"/>
    <x v="16"/>
    <n v="14"/>
    <x v="0"/>
  </r>
  <r>
    <d v="2024-07-25T00:00:00"/>
    <s v="Adult"/>
    <x v="30"/>
    <n v="5234"/>
    <n v="401"/>
    <n v="102"/>
    <n v="0"/>
    <n v="5737"/>
    <x v="16"/>
    <n v="102"/>
    <x v="0"/>
  </r>
  <r>
    <d v="2024-07-25T00:00:00"/>
    <s v="Adult"/>
    <x v="17"/>
    <n v="1484"/>
    <n v="375"/>
    <n v="5"/>
    <n v="0"/>
    <n v="1864"/>
    <x v="16"/>
    <n v="5"/>
    <x v="0"/>
  </r>
  <r>
    <d v="2024-07-25T00:00:00"/>
    <s v="Adult"/>
    <x v="10"/>
    <n v="3875"/>
    <n v="661"/>
    <n v="3"/>
    <n v="0"/>
    <n v="4539"/>
    <x v="16"/>
    <n v="3"/>
    <x v="0"/>
  </r>
  <r>
    <d v="2024-07-25T00:00:00"/>
    <s v="Adult"/>
    <x v="1"/>
    <n v="335"/>
    <n v="209"/>
    <n v="84"/>
    <n v="0"/>
    <n v="628"/>
    <x v="16"/>
    <n v="84"/>
    <x v="0"/>
  </r>
  <r>
    <d v="2024-07-25T00:00:00"/>
    <s v="Child"/>
    <x v="16"/>
    <n v="855"/>
    <n v="140"/>
    <n v="63"/>
    <n v="0"/>
    <n v="1058"/>
    <x v="16"/>
    <n v="63"/>
    <x v="0"/>
  </r>
  <r>
    <d v="2024-07-25T00:00:00"/>
    <s v="Child"/>
    <x v="9"/>
    <n v="26"/>
    <n v="14"/>
    <n v="6"/>
    <n v="0"/>
    <n v="47"/>
    <x v="16"/>
    <n v="6"/>
    <x v="0"/>
  </r>
  <r>
    <d v="2024-07-25T00:00:00"/>
    <s v="Child"/>
    <x v="18"/>
    <n v="1077"/>
    <n v="356"/>
    <n v="5"/>
    <n v="0"/>
    <n v="1437"/>
    <x v="16"/>
    <n v="5"/>
    <x v="0"/>
  </r>
  <r>
    <d v="2024-07-25T00:00:00"/>
    <s v="Child"/>
    <x v="14"/>
    <n v="56"/>
    <n v="10"/>
    <n v="3"/>
    <n v="0"/>
    <n v="68"/>
    <x v="16"/>
    <n v="3"/>
    <x v="0"/>
  </r>
  <r>
    <d v="2024-07-25T00:00:00"/>
    <s v="Child"/>
    <x v="21"/>
    <n v="411"/>
    <n v="29"/>
    <n v="5"/>
    <n v="0"/>
    <n v="445"/>
    <x v="16"/>
    <n v="5"/>
    <x v="0"/>
  </r>
  <r>
    <d v="2024-07-25T00:00:00"/>
    <s v="Child"/>
    <x v="8"/>
    <n v="300"/>
    <n v="41"/>
    <n v="5"/>
    <n v="0"/>
    <n v="346"/>
    <x v="16"/>
    <n v="5"/>
    <x v="0"/>
  </r>
  <r>
    <d v="2024-08-29T00:00:00"/>
    <s v="Adult"/>
    <x v="30"/>
    <n v="5665"/>
    <n v="349"/>
    <n v="23"/>
    <n v="0"/>
    <n v="6037"/>
    <x v="2"/>
    <n v="23"/>
    <x v="0"/>
  </r>
  <r>
    <d v="2024-08-29T00:00:00"/>
    <s v="Child"/>
    <x v="16"/>
    <n v="788"/>
    <n v="115"/>
    <n v="57"/>
    <n v="0"/>
    <n v="960"/>
    <x v="2"/>
    <n v="57"/>
    <x v="0"/>
  </r>
  <r>
    <d v="2024-08-29T00:00:00"/>
    <s v="Child"/>
    <x v="18"/>
    <n v="1017"/>
    <n v="427"/>
    <n v="5"/>
    <n v="0"/>
    <n v="1448"/>
    <x v="2"/>
    <n v="5"/>
    <x v="0"/>
  </r>
  <r>
    <d v="2024-08-29T00:00:00"/>
    <s v="Child"/>
    <x v="14"/>
    <n v="45"/>
    <n v="3"/>
    <n v="3"/>
    <n v="0"/>
    <n v="50"/>
    <x v="2"/>
    <n v="3"/>
    <x v="0"/>
  </r>
  <r>
    <d v="2024-08-29T00:00:00"/>
    <s v="Child"/>
    <x v="11"/>
    <n v="9"/>
    <n v="1"/>
    <n v="1"/>
    <n v="0"/>
    <n v="12"/>
    <x v="2"/>
    <n v="1"/>
    <x v="0"/>
  </r>
  <r>
    <d v="2024-08-29T00:00:00"/>
    <s v="Child"/>
    <x v="21"/>
    <n v="421"/>
    <n v="27"/>
    <n v="13"/>
    <n v="0"/>
    <n v="461"/>
    <x v="2"/>
    <n v="13"/>
    <x v="0"/>
  </r>
  <r>
    <d v="2024-08-29T00:00:00"/>
    <s v="Child"/>
    <x v="8"/>
    <n v="265"/>
    <n v="44"/>
    <n v="10"/>
    <n v="0"/>
    <n v="319"/>
    <x v="2"/>
    <n v="10"/>
    <x v="0"/>
  </r>
  <r>
    <d v="2024-09-26T00:00:00"/>
    <s v="Adult"/>
    <x v="30"/>
    <n v="5670"/>
    <n v="404"/>
    <n v="150"/>
    <n v="0"/>
    <n v="6224"/>
    <x v="17"/>
    <n v="150"/>
    <x v="0"/>
  </r>
  <r>
    <d v="2024-09-26T00:00:00"/>
    <s v="Adult"/>
    <x v="14"/>
    <n v="2240"/>
    <n v="608"/>
    <n v="114"/>
    <n v="0"/>
    <n v="2962"/>
    <x v="17"/>
    <n v="114"/>
    <x v="0"/>
  </r>
  <r>
    <d v="2024-09-26T00:00:00"/>
    <s v="Child"/>
    <x v="13"/>
    <n v="25"/>
    <n v="16"/>
    <n v="3"/>
    <n v="0"/>
    <n v="44"/>
    <x v="17"/>
    <n v="3"/>
    <x v="0"/>
  </r>
  <r>
    <d v="2024-09-26T00:00:00"/>
    <s v="Child"/>
    <x v="18"/>
    <n v="969"/>
    <n v="417"/>
    <n v="5"/>
    <n v="0"/>
    <n v="1391"/>
    <x v="17"/>
    <n v="5"/>
    <x v="0"/>
  </r>
  <r>
    <d v="2024-09-26T00:00:00"/>
    <s v="Child"/>
    <x v="14"/>
    <n v="39"/>
    <n v="6"/>
    <n v="1"/>
    <n v="0"/>
    <n v="46"/>
    <x v="17"/>
    <n v="1"/>
    <x v="0"/>
  </r>
  <r>
    <d v="2024-09-26T00:00:00"/>
    <s v="Child"/>
    <x v="11"/>
    <n v="9"/>
    <n v="3"/>
    <n v="1"/>
    <n v="0"/>
    <n v="13"/>
    <x v="17"/>
    <n v="1"/>
    <x v="0"/>
  </r>
  <r>
    <d v="2024-09-26T00:00:00"/>
    <s v="Child"/>
    <x v="21"/>
    <n v="410"/>
    <n v="34"/>
    <n v="9"/>
    <n v="0"/>
    <n v="452"/>
    <x v="17"/>
    <n v="9"/>
    <x v="0"/>
  </r>
  <r>
    <d v="2024-09-26T00:00:00"/>
    <s v="Child"/>
    <x v="8"/>
    <n v="276"/>
    <n v="36"/>
    <n v="11"/>
    <n v="0"/>
    <n v="323"/>
    <x v="17"/>
    <n v="11"/>
    <x v="0"/>
  </r>
  <r>
    <d v="2024-10-31T00:00:00"/>
    <s v="Adult"/>
    <x v="30"/>
    <n v="6058"/>
    <n v="402"/>
    <n v="52"/>
    <n v="0"/>
    <n v="6513"/>
    <x v="34"/>
    <n v="52"/>
    <x v="0"/>
  </r>
  <r>
    <d v="2024-10-31T00:00:00"/>
    <s v="Adult"/>
    <x v="18"/>
    <n v="9143"/>
    <n v="1586"/>
    <n v="95"/>
    <n v="0"/>
    <n v="10825"/>
    <x v="34"/>
    <n v="95"/>
    <x v="0"/>
  </r>
  <r>
    <d v="2024-10-31T00:00:00"/>
    <s v="Adult"/>
    <x v="10"/>
    <n v="3884"/>
    <n v="700"/>
    <n v="3"/>
    <n v="0"/>
    <n v="4587"/>
    <x v="34"/>
    <n v="3"/>
    <x v="0"/>
  </r>
  <r>
    <d v="2024-10-31T00:00:00"/>
    <s v="Child"/>
    <x v="9"/>
    <n v="26"/>
    <n v="13"/>
    <n v="7"/>
    <n v="0"/>
    <n v="46"/>
    <x v="34"/>
    <n v="7"/>
    <x v="0"/>
  </r>
  <r>
    <d v="2024-10-31T00:00:00"/>
    <s v="Child"/>
    <x v="18"/>
    <n v="929"/>
    <n v="436"/>
    <n v="3"/>
    <n v="0"/>
    <n v="1368"/>
    <x v="34"/>
    <n v="3"/>
    <x v="0"/>
  </r>
  <r>
    <d v="2024-10-31T00:00:00"/>
    <s v="Child"/>
    <x v="14"/>
    <n v="37"/>
    <n v="6"/>
    <n v="1"/>
    <n v="0"/>
    <n v="44"/>
    <x v="34"/>
    <n v="1"/>
    <x v="0"/>
  </r>
  <r>
    <d v="2024-10-31T00:00:00"/>
    <s v="Child"/>
    <x v="8"/>
    <n v="285"/>
    <n v="42"/>
    <n v="9"/>
    <n v="0"/>
    <n v="336"/>
    <x v="34"/>
    <n v="9"/>
    <x v="0"/>
  </r>
  <r>
    <d v="2024-11-28T00:00:00"/>
    <s v="Adult"/>
    <x v="30"/>
    <n v="5943"/>
    <n v="368"/>
    <n v="5"/>
    <n v="0"/>
    <n v="6316"/>
    <x v="3"/>
    <n v="5"/>
    <x v="0"/>
  </r>
  <r>
    <d v="2024-11-28T00:00:00"/>
    <s v="Adult"/>
    <x v="17"/>
    <n v="1445"/>
    <n v="451"/>
    <n v="11"/>
    <n v="0"/>
    <n v="1906"/>
    <x v="3"/>
    <n v="11"/>
    <x v="0"/>
  </r>
  <r>
    <d v="2024-11-28T00:00:00"/>
    <s v="Adult"/>
    <x v="18"/>
    <n v="8997"/>
    <n v="1512"/>
    <n v="54"/>
    <n v="0"/>
    <n v="10563"/>
    <x v="3"/>
    <n v="54"/>
    <x v="0"/>
  </r>
  <r>
    <d v="2024-11-28T00:00:00"/>
    <s v="Adult"/>
    <x v="14"/>
    <n v="2127"/>
    <n v="676"/>
    <n v="107"/>
    <n v="0"/>
    <n v="2910"/>
    <x v="3"/>
    <n v="107"/>
    <x v="0"/>
  </r>
  <r>
    <d v="2024-11-28T00:00:00"/>
    <s v="Child"/>
    <x v="16"/>
    <n v="595"/>
    <n v="151"/>
    <n v="15"/>
    <n v="0"/>
    <n v="762"/>
    <x v="3"/>
    <n v="15"/>
    <x v="0"/>
  </r>
  <r>
    <d v="2024-11-28T00:00:00"/>
    <s v="Child"/>
    <x v="13"/>
    <n v="29"/>
    <n v="18"/>
    <n v="8"/>
    <n v="0"/>
    <n v="55"/>
    <x v="3"/>
    <n v="8"/>
    <x v="0"/>
  </r>
  <r>
    <d v="2024-11-28T00:00:00"/>
    <s v="Child"/>
    <x v="14"/>
    <n v="31"/>
    <n v="5"/>
    <n v="3"/>
    <n v="0"/>
    <n v="38"/>
    <x v="3"/>
    <n v="3"/>
    <x v="0"/>
  </r>
  <r>
    <d v="2024-11-28T00:00:00"/>
    <s v="Child"/>
    <x v="21"/>
    <n v="405"/>
    <n v="19"/>
    <n v="3"/>
    <n v="0"/>
    <n v="427"/>
    <x v="3"/>
    <n v="3"/>
    <x v="0"/>
  </r>
  <r>
    <d v="2024-11-28T00:00:00"/>
    <s v="Child"/>
    <x v="12"/>
    <n v="6"/>
    <n v="3"/>
    <n v="1"/>
    <n v="0"/>
    <n v="10"/>
    <x v="3"/>
    <n v="1"/>
    <x v="0"/>
  </r>
  <r>
    <d v="2024-11-28T00:00:00"/>
    <s v="Child"/>
    <x v="8"/>
    <n v="292"/>
    <n v="40"/>
    <n v="10"/>
    <n v="0"/>
    <n v="342"/>
    <x v="3"/>
    <n v="10"/>
    <x v="0"/>
  </r>
  <r>
    <d v="2024-12-19T00:00:00"/>
    <s v="Adult"/>
    <x v="6"/>
    <n v="1667"/>
    <n v="115"/>
    <n v="1"/>
    <n v="0"/>
    <n v="1783"/>
    <x v="4"/>
    <n v="1"/>
    <x v="0"/>
  </r>
  <r>
    <d v="2024-12-19T00:00:00"/>
    <s v="Adult"/>
    <x v="17"/>
    <n v="1420"/>
    <n v="472"/>
    <n v="6"/>
    <n v="0"/>
    <n v="1898"/>
    <x v="4"/>
    <n v="6"/>
    <x v="0"/>
  </r>
  <r>
    <d v="2024-12-19T00:00:00"/>
    <s v="Adult"/>
    <x v="18"/>
    <n v="8385"/>
    <n v="1377"/>
    <n v="24"/>
    <n v="0"/>
    <n v="9786"/>
    <x v="4"/>
    <n v="24"/>
    <x v="0"/>
  </r>
  <r>
    <d v="2024-12-19T00:00:00"/>
    <s v="Adult"/>
    <x v="14"/>
    <n v="2122"/>
    <n v="585"/>
    <n v="81"/>
    <n v="0"/>
    <n v="2788"/>
    <x v="4"/>
    <n v="81"/>
    <x v="0"/>
  </r>
  <r>
    <d v="2024-12-19T00:00:00"/>
    <s v="Adult"/>
    <x v="21"/>
    <n v="2116"/>
    <n v="436"/>
    <n v="59"/>
    <n v="0"/>
    <n v="2611"/>
    <x v="4"/>
    <n v="59"/>
    <x v="0"/>
  </r>
  <r>
    <d v="2024-12-19T00:00:00"/>
    <s v="Adult"/>
    <x v="10"/>
    <n v="3862"/>
    <n v="649"/>
    <n v="3"/>
    <n v="0"/>
    <n v="4514"/>
    <x v="4"/>
    <n v="3"/>
    <x v="0"/>
  </r>
  <r>
    <d v="2024-12-19T00:00:00"/>
    <s v="Adult"/>
    <x v="24"/>
    <n v="3139"/>
    <n v="553"/>
    <n v="28"/>
    <n v="0"/>
    <n v="3719"/>
    <x v="4"/>
    <n v="28"/>
    <x v="0"/>
  </r>
  <r>
    <d v="2024-12-19T00:00:00"/>
    <s v="Child"/>
    <x v="13"/>
    <n v="33"/>
    <n v="18"/>
    <n v="8"/>
    <n v="0"/>
    <n v="58"/>
    <x v="4"/>
    <n v="8"/>
    <x v="0"/>
  </r>
  <r>
    <d v="2024-12-19T00:00:00"/>
    <s v="Child"/>
    <x v="11"/>
    <n v="17"/>
    <n v="2"/>
    <n v="1"/>
    <n v="0"/>
    <n v="20"/>
    <x v="4"/>
    <n v="1"/>
    <x v="0"/>
  </r>
  <r>
    <d v="2024-12-19T00:00:00"/>
    <s v="Child"/>
    <x v="21"/>
    <n v="434"/>
    <n v="18"/>
    <n v="3"/>
    <n v="0"/>
    <n v="455"/>
    <x v="4"/>
    <n v="3"/>
    <x v="0"/>
  </r>
  <r>
    <d v="2024-12-19T00:00:00"/>
    <s v="Child"/>
    <x v="12"/>
    <n v="12"/>
    <n v="2"/>
    <n v="1"/>
    <n v="0"/>
    <n v="15"/>
    <x v="4"/>
    <n v="1"/>
    <x v="0"/>
  </r>
  <r>
    <d v="2024-12-19T00:00:00"/>
    <s v="Child"/>
    <x v="8"/>
    <n v="308"/>
    <n v="42"/>
    <n v="13"/>
    <n v="0"/>
    <n v="363"/>
    <x v="4"/>
    <n v="13"/>
    <x v="0"/>
  </r>
  <r>
    <d v="2025-01-30T00:00:00"/>
    <s v="Adult"/>
    <x v="30"/>
    <n v="5543"/>
    <n v="609"/>
    <n v="1"/>
    <n v="0"/>
    <n v="6153"/>
    <x v="18"/>
    <n v="1"/>
    <x v="0"/>
  </r>
  <r>
    <d v="2025-01-30T00:00:00"/>
    <s v="Adult"/>
    <x v="18"/>
    <n v="9172"/>
    <n v="1853"/>
    <n v="32"/>
    <n v="0"/>
    <n v="11056"/>
    <x v="18"/>
    <n v="32"/>
    <x v="0"/>
  </r>
  <r>
    <d v="2025-01-30T00:00:00"/>
    <s v="Child"/>
    <x v="16"/>
    <n v="501"/>
    <n v="180"/>
    <n v="5"/>
    <n v="0"/>
    <n v="686"/>
    <x v="18"/>
    <n v="5"/>
    <x v="0"/>
  </r>
  <r>
    <d v="2025-01-30T00:00:00"/>
    <s v="Child"/>
    <x v="13"/>
    <n v="53"/>
    <n v="13"/>
    <n v="3"/>
    <n v="0"/>
    <n v="69"/>
    <x v="18"/>
    <n v="3"/>
    <x v="0"/>
  </r>
  <r>
    <d v="2025-01-30T00:00:00"/>
    <s v="Child"/>
    <x v="18"/>
    <n v="725"/>
    <n v="515"/>
    <n v="1"/>
    <n v="0"/>
    <n v="1241"/>
    <x v="18"/>
    <n v="1"/>
    <x v="0"/>
  </r>
  <r>
    <d v="2025-01-30T00:00:00"/>
    <s v="Child"/>
    <x v="11"/>
    <n v="15"/>
    <n v="1"/>
    <n v="3"/>
    <n v="0"/>
    <n v="19"/>
    <x v="18"/>
    <n v="3"/>
    <x v="0"/>
  </r>
  <r>
    <d v="2025-01-30T00:00:00"/>
    <s v="Child"/>
    <x v="12"/>
    <n v="6"/>
    <n v="2"/>
    <n v="1"/>
    <n v="0"/>
    <n v="9"/>
    <x v="18"/>
    <n v="1"/>
    <x v="0"/>
  </r>
  <r>
    <d v="2025-02-27T00:00:00"/>
    <s v="Adult"/>
    <x v="30"/>
    <n v="5849"/>
    <n v="647"/>
    <n v="42"/>
    <n v="0"/>
    <n v="6538"/>
    <x v="35"/>
    <n v="42"/>
    <x v="0"/>
  </r>
  <r>
    <d v="2025-02-27T00:00:00"/>
    <s v="Adult"/>
    <x v="6"/>
    <n v="1720"/>
    <n v="181"/>
    <n v="3"/>
    <n v="0"/>
    <n v="1904"/>
    <x v="35"/>
    <n v="3"/>
    <x v="0"/>
  </r>
  <r>
    <d v="2025-02-27T00:00:00"/>
    <s v="Adult"/>
    <x v="18"/>
    <n v="9664"/>
    <n v="2015"/>
    <n v="42"/>
    <n v="0"/>
    <n v="11720"/>
    <x v="35"/>
    <n v="42"/>
    <x v="0"/>
  </r>
  <r>
    <d v="2025-02-27T00:00:00"/>
    <s v="Adult"/>
    <x v="10"/>
    <n v="3812"/>
    <n v="887"/>
    <n v="3"/>
    <n v="0"/>
    <n v="4702"/>
    <x v="35"/>
    <n v="3"/>
    <x v="0"/>
  </r>
  <r>
    <d v="2025-02-27T00:00:00"/>
    <s v="Child"/>
    <x v="16"/>
    <n v="503"/>
    <n v="191"/>
    <n v="5"/>
    <n v="0"/>
    <n v="699"/>
    <x v="35"/>
    <n v="5"/>
    <x v="0"/>
  </r>
  <r>
    <d v="2025-02-27T00:00:00"/>
    <s v="Child"/>
    <x v="13"/>
    <n v="47"/>
    <n v="18"/>
    <n v="3"/>
    <n v="0"/>
    <n v="68"/>
    <x v="35"/>
    <n v="3"/>
    <x v="0"/>
  </r>
  <r>
    <d v="2025-02-27T00:00:00"/>
    <s v="Child"/>
    <x v="18"/>
    <n v="752"/>
    <n v="458"/>
    <n v="9"/>
    <n v="0"/>
    <n v="1218"/>
    <x v="35"/>
    <n v="9"/>
    <x v="0"/>
  </r>
  <r>
    <d v="2025-02-27T00:00:00"/>
    <s v="Child"/>
    <x v="12"/>
    <n v="6"/>
    <n v="1"/>
    <n v="3"/>
    <n v="0"/>
    <n v="10"/>
    <x v="35"/>
    <n v="3"/>
    <x v="0"/>
  </r>
  <r>
    <d v="2025-03-27T00:00:00"/>
    <s v="Adult"/>
    <x v="25"/>
    <n v="732"/>
    <n v="5"/>
    <n v="8"/>
    <n v="0"/>
    <n v="745"/>
    <x v="19"/>
    <n v="8"/>
    <x v="0"/>
  </r>
  <r>
    <d v="2025-03-27T00:00:00"/>
    <s v="Adult"/>
    <x v="30"/>
    <n v="6007"/>
    <n v="606"/>
    <n v="13"/>
    <n v="0"/>
    <n v="6625"/>
    <x v="19"/>
    <n v="13"/>
    <x v="0"/>
  </r>
  <r>
    <d v="2025-03-27T00:00:00"/>
    <s v="Adult"/>
    <x v="6"/>
    <n v="1789"/>
    <n v="177"/>
    <n v="27"/>
    <n v="0"/>
    <n v="1993"/>
    <x v="19"/>
    <n v="27"/>
    <x v="0"/>
  </r>
  <r>
    <d v="2025-03-27T00:00:00"/>
    <s v="Adult"/>
    <x v="17"/>
    <n v="1615"/>
    <n v="707"/>
    <n v="40"/>
    <n v="0"/>
    <n v="2362"/>
    <x v="19"/>
    <n v="40"/>
    <x v="0"/>
  </r>
  <r>
    <d v="2025-03-27T00:00:00"/>
    <s v="Adult"/>
    <x v="18"/>
    <n v="9835"/>
    <n v="2307"/>
    <n v="58"/>
    <n v="0"/>
    <n v="12200"/>
    <x v="19"/>
    <n v="58"/>
    <x v="0"/>
  </r>
  <r>
    <d v="2025-03-27T00:00:00"/>
    <s v="Adult"/>
    <x v="14"/>
    <n v="2196"/>
    <n v="759"/>
    <n v="84"/>
    <n v="0"/>
    <n v="3039"/>
    <x v="19"/>
    <n v="84"/>
    <x v="0"/>
  </r>
  <r>
    <d v="2025-03-27T00:00:00"/>
    <s v="Child"/>
    <x v="16"/>
    <n v="521"/>
    <n v="202"/>
    <n v="6"/>
    <n v="0"/>
    <n v="729"/>
    <x v="19"/>
    <n v="6"/>
    <x v="0"/>
  </r>
  <r>
    <d v="2025-03-27T00:00:00"/>
    <s v="Child"/>
    <x v="13"/>
    <n v="40"/>
    <n v="21"/>
    <n v="5"/>
    <n v="0"/>
    <n v="66"/>
    <x v="19"/>
    <n v="5"/>
    <x v="0"/>
  </r>
  <r>
    <d v="2025-03-27T00:00:00"/>
    <s v="Child"/>
    <x v="18"/>
    <n v="760"/>
    <n v="436"/>
    <n v="28"/>
    <n v="0"/>
    <n v="1224"/>
    <x v="19"/>
    <n v="28"/>
    <x v="0"/>
  </r>
  <r>
    <d v="2025-03-27T00:00:00"/>
    <s v="Child"/>
    <x v="12"/>
    <n v="6"/>
    <n v="1"/>
    <n v="1"/>
    <n v="0"/>
    <n v="8"/>
    <x v="19"/>
    <n v="1"/>
    <x v="0"/>
  </r>
  <r>
    <d v="2025-04-24T00:00:00"/>
    <s v="Adult"/>
    <x v="30"/>
    <n v="6043"/>
    <n v="860"/>
    <n v="194"/>
    <n v="0"/>
    <n v="7097"/>
    <x v="5"/>
    <n v="194"/>
    <x v="0"/>
  </r>
  <r>
    <d v="2025-04-24T00:00:00"/>
    <s v="Adult"/>
    <x v="6"/>
    <n v="1775"/>
    <n v="211"/>
    <n v="49"/>
    <n v="0"/>
    <n v="2035"/>
    <x v="5"/>
    <n v="49"/>
    <x v="0"/>
  </r>
  <r>
    <d v="2025-04-24T00:00:00"/>
    <s v="Adult"/>
    <x v="18"/>
    <n v="10142"/>
    <n v="2844"/>
    <n v="82"/>
    <n v="0"/>
    <n v="13068"/>
    <x v="5"/>
    <n v="82"/>
    <x v="0"/>
  </r>
  <r>
    <d v="2025-04-24T00:00:00"/>
    <s v="Adult"/>
    <x v="14"/>
    <n v="2107"/>
    <n v="801"/>
    <n v="94"/>
    <n v="0"/>
    <n v="3002"/>
    <x v="5"/>
    <n v="94"/>
    <x v="0"/>
  </r>
  <r>
    <d v="2025-04-24T00:00:00"/>
    <s v="Adult"/>
    <x v="10"/>
    <n v="3661"/>
    <n v="1040"/>
    <n v="1"/>
    <n v="0"/>
    <n v="4702"/>
    <x v="5"/>
    <n v="1"/>
    <x v="0"/>
  </r>
  <r>
    <d v="2025-04-24T00:00:00"/>
    <s v="Child"/>
    <x v="16"/>
    <n v="496"/>
    <n v="207"/>
    <n v="23"/>
    <n v="0"/>
    <n v="726"/>
    <x v="5"/>
    <n v="23"/>
    <x v="0"/>
  </r>
  <r>
    <d v="2025-04-24T00:00:00"/>
    <s v="Child"/>
    <x v="13"/>
    <n v="36"/>
    <n v="26"/>
    <n v="7"/>
    <n v="0"/>
    <n v="69"/>
    <x v="5"/>
    <n v="7"/>
    <x v="0"/>
  </r>
  <r>
    <d v="2025-04-24T00:00:00"/>
    <s v="Child"/>
    <x v="18"/>
    <n v="783"/>
    <n v="436"/>
    <n v="23"/>
    <n v="0"/>
    <n v="1242"/>
    <x v="5"/>
    <n v="23"/>
    <x v="0"/>
  </r>
  <r>
    <d v="2025-04-24T00:00:00"/>
    <s v="Child"/>
    <x v="7"/>
    <n v="127"/>
    <n v="65"/>
    <n v="19"/>
    <n v="0"/>
    <n v="210"/>
    <x v="5"/>
    <n v="19"/>
    <x v="0"/>
  </r>
  <r>
    <d v="2025-04-24T00:00:00"/>
    <s v="Child"/>
    <x v="12"/>
    <n v="5"/>
    <n v="1"/>
    <n v="1"/>
    <n v="0"/>
    <n v="7"/>
    <x v="5"/>
    <n v="1"/>
    <x v="0"/>
  </r>
  <r>
    <d v="2025-05-29T00:00:00"/>
    <s v="Adult"/>
    <x v="6"/>
    <n v="1943"/>
    <n v="230"/>
    <n v="60"/>
    <n v="0"/>
    <n v="2233"/>
    <x v="20"/>
    <n v="60"/>
    <x v="0"/>
  </r>
  <r>
    <d v="2025-05-29T00:00:00"/>
    <s v="Adult"/>
    <x v="17"/>
    <n v="1858"/>
    <n v="660"/>
    <n v="93"/>
    <n v="0"/>
    <n v="2610"/>
    <x v="20"/>
    <n v="93"/>
    <x v="0"/>
  </r>
  <r>
    <d v="2025-05-29T00:00:00"/>
    <s v="Adult"/>
    <x v="18"/>
    <n v="10374"/>
    <n v="2972"/>
    <n v="89"/>
    <n v="0"/>
    <n v="13435"/>
    <x v="20"/>
    <n v="89"/>
    <x v="0"/>
  </r>
  <r>
    <d v="2025-05-29T00:00:00"/>
    <s v="Adult"/>
    <x v="10"/>
    <n v="3394"/>
    <n v="1092"/>
    <n v="10"/>
    <n v="0"/>
    <n v="4496"/>
    <x v="20"/>
    <n v="10"/>
    <x v="0"/>
  </r>
  <r>
    <d v="2025-05-29T00:00:00"/>
    <s v="Child"/>
    <x v="23"/>
    <n v="29"/>
    <n v="13"/>
    <n v="1"/>
    <n v="0"/>
    <n v="43"/>
    <x v="20"/>
    <n v="1"/>
    <x v="0"/>
  </r>
  <r>
    <d v="2025-05-29T00:00:00"/>
    <s v="Child"/>
    <x v="18"/>
    <n v="803"/>
    <n v="414"/>
    <n v="15"/>
    <n v="0"/>
    <n v="1232"/>
    <x v="20"/>
    <n v="15"/>
    <x v="0"/>
  </r>
  <r>
    <d v="2025-05-29T00:00:00"/>
    <s v="Child"/>
    <x v="7"/>
    <n v="143"/>
    <n v="55"/>
    <n v="9"/>
    <n v="0"/>
    <n v="207"/>
    <x v="20"/>
    <n v="9"/>
    <x v="0"/>
  </r>
  <r>
    <d v="2025-05-29T00:00:00"/>
    <s v="Child"/>
    <x v="12"/>
    <n v="3"/>
    <n v="1"/>
    <n v="1"/>
    <n v="0"/>
    <n v="5"/>
    <x v="20"/>
    <n v="1"/>
    <x v="0"/>
  </r>
  <r>
    <d v="2025-05-29T00:00:00"/>
    <s v="Child"/>
    <x v="8"/>
    <n v="324"/>
    <n v="49"/>
    <n v="23"/>
    <n v="0"/>
    <n v="396"/>
    <x v="20"/>
    <n v="23"/>
    <x v="0"/>
  </r>
  <r>
    <d v="2025-06-26T00:00:00"/>
    <s v="Adult"/>
    <x v="30"/>
    <n v="6354"/>
    <n v="1207"/>
    <n v="66"/>
    <n v="0"/>
    <n v="7627"/>
    <x v="21"/>
    <n v="66"/>
    <x v="0"/>
  </r>
  <r>
    <d v="2025-06-26T00:00:00"/>
    <s v="Adult"/>
    <x v="6"/>
    <n v="1934"/>
    <n v="232"/>
    <n v="65"/>
    <n v="0"/>
    <n v="2231"/>
    <x v="21"/>
    <n v="65"/>
    <x v="0"/>
  </r>
  <r>
    <d v="2025-06-26T00:00:00"/>
    <s v="Adult"/>
    <x v="17"/>
    <n v="1674"/>
    <n v="647"/>
    <n v="134"/>
    <n v="0"/>
    <n v="2455"/>
    <x v="21"/>
    <n v="134"/>
    <x v="0"/>
  </r>
  <r>
    <d v="2025-06-26T00:00:00"/>
    <s v="Adult"/>
    <x v="18"/>
    <n v="10501"/>
    <n v="2934"/>
    <n v="135"/>
    <n v="0"/>
    <n v="13570"/>
    <x v="21"/>
    <n v="135"/>
    <x v="0"/>
  </r>
  <r>
    <d v="2025-06-26T00:00:00"/>
    <s v="Adult"/>
    <x v="14"/>
    <n v="2197"/>
    <n v="773"/>
    <n v="147"/>
    <n v="0"/>
    <n v="3117"/>
    <x v="21"/>
    <n v="147"/>
    <x v="0"/>
  </r>
  <r>
    <d v="2025-06-26T00:00:00"/>
    <s v="Adult"/>
    <x v="10"/>
    <n v="3567"/>
    <n v="982"/>
    <n v="20"/>
    <n v="0"/>
    <n v="4569"/>
    <x v="21"/>
    <n v="20"/>
    <x v="0"/>
  </r>
  <r>
    <d v="2025-06-26T00:00:00"/>
    <s v="Child"/>
    <x v="23"/>
    <n v="31"/>
    <n v="12"/>
    <n v="1"/>
    <n v="0"/>
    <n v="45"/>
    <x v="21"/>
    <n v="1"/>
    <x v="0"/>
  </r>
  <r>
    <d v="2025-06-26T00:00:00"/>
    <s v="Child"/>
    <x v="18"/>
    <n v="805"/>
    <n v="362"/>
    <n v="46"/>
    <n v="0"/>
    <n v="1213"/>
    <x v="21"/>
    <n v="46"/>
    <x v="0"/>
  </r>
  <r>
    <d v="2025-06-26T00:00:00"/>
    <s v="Child"/>
    <x v="7"/>
    <n v="133"/>
    <n v="62"/>
    <n v="14"/>
    <n v="0"/>
    <n v="209"/>
    <x v="21"/>
    <n v="14"/>
    <x v="0"/>
  </r>
  <r>
    <d v="2025-06-26T00:00:00"/>
    <s v="Child"/>
    <x v="12"/>
    <n v="2"/>
    <n v="2"/>
    <n v="1"/>
    <n v="0"/>
    <n v="5"/>
    <x v="21"/>
    <n v="1"/>
    <x v="0"/>
  </r>
  <r>
    <d v="2025-06-26T00:00:00"/>
    <s v="Child"/>
    <x v="8"/>
    <n v="326"/>
    <n v="62"/>
    <n v="25"/>
    <n v="0"/>
    <n v="413"/>
    <x v="21"/>
    <n v="25"/>
    <x v="0"/>
  </r>
  <r>
    <d v="2025-07-31T00:00:00"/>
    <s v="Adult"/>
    <x v="6"/>
    <n v="1907"/>
    <n v="227"/>
    <n v="77"/>
    <n v="0"/>
    <n v="2211"/>
    <x v="22"/>
    <n v="77"/>
    <x v="0"/>
  </r>
  <r>
    <d v="2025-07-31T00:00:00"/>
    <s v="Adult"/>
    <x v="18"/>
    <n v="11061"/>
    <n v="3047"/>
    <n v="196"/>
    <n v="0"/>
    <n v="14304"/>
    <x v="22"/>
    <n v="196"/>
    <x v="0"/>
  </r>
  <r>
    <d v="2025-07-31T00:00:00"/>
    <s v="Adult"/>
    <x v="14"/>
    <n v="2292"/>
    <n v="748"/>
    <n v="136"/>
    <n v="0"/>
    <n v="3176"/>
    <x v="22"/>
    <n v="136"/>
    <x v="0"/>
  </r>
  <r>
    <d v="2025-07-31T00:00:00"/>
    <s v="Adult"/>
    <x v="21"/>
    <n v="2236"/>
    <n v="492"/>
    <n v="70"/>
    <n v="0"/>
    <n v="2798"/>
    <x v="22"/>
    <n v="70"/>
    <x v="0"/>
  </r>
  <r>
    <d v="2025-07-31T00:00:00"/>
    <s v="Child"/>
    <x v="16"/>
    <n v="475"/>
    <n v="201"/>
    <n v="62"/>
    <n v="0"/>
    <n v="738"/>
    <x v="22"/>
    <n v="62"/>
    <x v="0"/>
  </r>
  <r>
    <d v="2025-07-31T00:00:00"/>
    <s v="Child"/>
    <x v="18"/>
    <n v="790"/>
    <n v="344"/>
    <n v="57"/>
    <n v="0"/>
    <n v="1191"/>
    <x v="22"/>
    <n v="57"/>
    <x v="0"/>
  </r>
  <r>
    <d v="2025-07-31T00:00:00"/>
    <s v="Child"/>
    <x v="7"/>
    <n v="138"/>
    <n v="61"/>
    <n v="24"/>
    <n v="0"/>
    <n v="224"/>
    <x v="22"/>
    <n v="24"/>
    <x v="0"/>
  </r>
  <r>
    <d v="2025-07-31T00:00:00"/>
    <s v="Child"/>
    <x v="12"/>
    <n v="3"/>
    <n v="2"/>
    <n v="1"/>
    <n v="0"/>
    <n v="6"/>
    <x v="22"/>
    <n v="1"/>
    <x v="0"/>
  </r>
  <r>
    <d v="2025-07-31T00:00:00"/>
    <s v="Child"/>
    <x v="8"/>
    <n v="339"/>
    <n v="66"/>
    <n v="26"/>
    <n v="0"/>
    <n v="431"/>
    <x v="22"/>
    <n v="26"/>
    <x v="0"/>
  </r>
  <r>
    <d v="2025-08-28T00:00:00"/>
    <s v="Adult"/>
    <x v="6"/>
    <n v="2030"/>
    <n v="235"/>
    <n v="79"/>
    <n v="0"/>
    <n v="2344"/>
    <x v="23"/>
    <n v="79"/>
    <x v="0"/>
  </r>
  <r>
    <d v="2025-08-28T00:00:00"/>
    <s v="Adult"/>
    <x v="18"/>
    <n v="11444"/>
    <n v="3348"/>
    <n v="368"/>
    <n v="0"/>
    <n v="15160"/>
    <x v="23"/>
    <n v="368"/>
    <x v="0"/>
  </r>
  <r>
    <d v="2025-08-28T00:00:00"/>
    <s v="Adult"/>
    <x v="14"/>
    <n v="2345"/>
    <n v="819"/>
    <n v="159"/>
    <n v="0"/>
    <n v="3323"/>
    <x v="23"/>
    <n v="159"/>
    <x v="0"/>
  </r>
  <r>
    <d v="2025-08-28T00:00:00"/>
    <s v="Adult"/>
    <x v="10"/>
    <n v="3974"/>
    <n v="1097"/>
    <n v="31"/>
    <n v="0"/>
    <n v="5102"/>
    <x v="23"/>
    <n v="31"/>
    <x v="0"/>
  </r>
  <r>
    <d v="2025-08-28T00:00:00"/>
    <s v="Child"/>
    <x v="16"/>
    <n v="438"/>
    <n v="216"/>
    <n v="67"/>
    <n v="0"/>
    <n v="721"/>
    <x v="23"/>
    <n v="67"/>
    <x v="0"/>
  </r>
  <r>
    <d v="2025-08-28T00:00:00"/>
    <s v="Child"/>
    <x v="9"/>
    <n v="16"/>
    <n v="3"/>
    <n v="1"/>
    <n v="0"/>
    <n v="20"/>
    <x v="23"/>
    <n v="1"/>
    <x v="0"/>
  </r>
  <r>
    <d v="2025-08-28T00:00:00"/>
    <s v="Child"/>
    <x v="18"/>
    <n v="811"/>
    <n v="354"/>
    <n v="22"/>
    <n v="0"/>
    <n v="1186"/>
    <x v="23"/>
    <n v="22"/>
    <x v="0"/>
  </r>
  <r>
    <d v="2025-08-28T00:00:00"/>
    <s v="Child"/>
    <x v="7"/>
    <n v="128"/>
    <n v="72"/>
    <n v="32"/>
    <n v="0"/>
    <n v="233"/>
    <x v="23"/>
    <n v="32"/>
    <x v="0"/>
  </r>
  <r>
    <d v="2025-08-28T00:00:00"/>
    <s v="Child"/>
    <x v="24"/>
    <n v="706"/>
    <n v="312"/>
    <n v="3"/>
    <n v="0"/>
    <n v="1021"/>
    <x v="23"/>
    <n v="3"/>
    <x v="0"/>
  </r>
  <r>
    <d v="2025-09-25T00:00:00"/>
    <s v="Adult"/>
    <x v="6"/>
    <n v="2042"/>
    <n v="226"/>
    <n v="71"/>
    <n v="0"/>
    <n v="2339"/>
    <x v="24"/>
    <n v="71"/>
    <x v="0"/>
  </r>
  <r>
    <d v="2025-09-25T00:00:00"/>
    <s v="Adult"/>
    <x v="17"/>
    <n v="1821"/>
    <n v="744"/>
    <n v="218"/>
    <n v="0"/>
    <n v="2783"/>
    <x v="24"/>
    <n v="218"/>
    <x v="0"/>
  </r>
  <r>
    <d v="2025-09-25T00:00:00"/>
    <s v="Adult"/>
    <x v="18"/>
    <n v="11533"/>
    <n v="3551"/>
    <n v="475"/>
    <n v="0"/>
    <n v="15559"/>
    <x v="24"/>
    <n v="475"/>
    <x v="0"/>
  </r>
  <r>
    <d v="2025-09-25T00:00:00"/>
    <s v="Adult"/>
    <x v="14"/>
    <n v="2264"/>
    <n v="871"/>
    <n v="149"/>
    <n v="0"/>
    <n v="3284"/>
    <x v="24"/>
    <n v="149"/>
    <x v="0"/>
  </r>
  <r>
    <d v="2025-09-25T00:00:00"/>
    <s v="Child"/>
    <x v="16"/>
    <n v="420"/>
    <n v="222"/>
    <n v="80"/>
    <n v="0"/>
    <n v="723"/>
    <x v="24"/>
    <n v="80"/>
    <x v="0"/>
  </r>
  <r>
    <d v="2025-09-25T00:00:00"/>
    <s v="Child"/>
    <x v="9"/>
    <n v="25"/>
    <n v="3"/>
    <n v="1"/>
    <n v="0"/>
    <n v="29"/>
    <x v="24"/>
    <n v="1"/>
    <x v="0"/>
  </r>
  <r>
    <d v="2025-09-25T00:00:00"/>
    <s v="Child"/>
    <x v="7"/>
    <n v="128"/>
    <n v="82"/>
    <n v="34"/>
    <n v="0"/>
    <n v="244"/>
    <x v="24"/>
    <n v="34"/>
    <x v="0"/>
  </r>
  <r>
    <d v="2025-09-25T00:00:00"/>
    <s v="Child"/>
    <x v="8"/>
    <n v="366"/>
    <n v="92"/>
    <n v="26"/>
    <n v="0"/>
    <n v="484"/>
    <x v="24"/>
    <n v="26"/>
    <x v="0"/>
  </r>
  <r>
    <d v="2025-10-30T00:00:00"/>
    <s v="Adult"/>
    <x v="17"/>
    <n v="1610"/>
    <n v="723"/>
    <n v="234"/>
    <n v="0"/>
    <n v="2567"/>
    <x v="25"/>
    <n v="234"/>
    <x v="0"/>
  </r>
  <r>
    <d v="2025-10-30T00:00:00"/>
    <s v="Adult"/>
    <x v="18"/>
    <n v="11791"/>
    <n v="3783"/>
    <n v="621"/>
    <n v="0"/>
    <n v="16196"/>
    <x v="25"/>
    <n v="621"/>
    <x v="0"/>
  </r>
  <r>
    <d v="2025-10-30T00:00:00"/>
    <s v="Adult"/>
    <x v="21"/>
    <n v="2162"/>
    <n v="632"/>
    <n v="182"/>
    <n v="0"/>
    <n v="2976"/>
    <x v="25"/>
    <n v="182"/>
    <x v="0"/>
  </r>
  <r>
    <d v="2025-10-30T00:00:00"/>
    <s v="Adult"/>
    <x v="1"/>
    <n v="308"/>
    <n v="180"/>
    <n v="6"/>
    <n v="0"/>
    <n v="493"/>
    <x v="25"/>
    <n v="6"/>
    <x v="0"/>
  </r>
  <r>
    <d v="2025-10-30T00:00:00"/>
    <s v="Child"/>
    <x v="23"/>
    <n v="34"/>
    <n v="12"/>
    <n v="5"/>
    <n v="0"/>
    <n v="51"/>
    <x v="25"/>
    <n v="5"/>
    <x v="0"/>
  </r>
  <r>
    <d v="2025-10-30T00:00:00"/>
    <s v="Child"/>
    <x v="16"/>
    <n v="378"/>
    <n v="114"/>
    <n v="44"/>
    <n v="0"/>
    <n v="536"/>
    <x v="25"/>
    <n v="44"/>
    <x v="0"/>
  </r>
  <r>
    <d v="2025-11-27T00:00:00"/>
    <s v="Adult"/>
    <x v="16"/>
    <n v="4276"/>
    <n v="792"/>
    <n v="96"/>
    <n v="0"/>
    <n v="5164"/>
    <x v="26"/>
    <n v="96"/>
    <x v="0"/>
  </r>
  <r>
    <d v="2025-11-27T00:00:00"/>
    <s v="Adult"/>
    <x v="17"/>
    <n v="1783"/>
    <n v="767"/>
    <n v="223"/>
    <n v="0"/>
    <n v="2773"/>
    <x v="26"/>
    <n v="223"/>
    <x v="0"/>
  </r>
  <r>
    <d v="2025-11-27T00:00:00"/>
    <s v="Adult"/>
    <x v="10"/>
    <n v="4302"/>
    <n v="1185"/>
    <n v="88"/>
    <n v="0"/>
    <n v="5575"/>
    <x v="26"/>
    <n v="88"/>
    <x v="0"/>
  </r>
  <r>
    <d v="2025-11-27T00:00:00"/>
    <s v="Adult"/>
    <x v="1"/>
    <n v="332"/>
    <n v="183"/>
    <n v="12"/>
    <n v="0"/>
    <n v="527"/>
    <x v="26"/>
    <n v="12"/>
    <x v="0"/>
  </r>
  <r>
    <d v="2025-11-27T00:00:00"/>
    <s v="Child"/>
    <x v="23"/>
    <n v="37"/>
    <n v="8"/>
    <n v="7"/>
    <n v="0"/>
    <n v="52"/>
    <x v="26"/>
    <n v="7"/>
    <x v="0"/>
  </r>
  <r>
    <d v="2025-11-27T00:00:00"/>
    <s v="Child"/>
    <x v="16"/>
    <n v="409"/>
    <n v="83"/>
    <n v="29"/>
    <n v="0"/>
    <n v="522"/>
    <x v="26"/>
    <n v="29"/>
    <x v="0"/>
  </r>
  <r>
    <d v="2025-11-27T00:00:00"/>
    <s v="Child"/>
    <x v="18"/>
    <n v="752"/>
    <n v="355"/>
    <n v="3"/>
    <n v="0"/>
    <n v="1109"/>
    <x v="26"/>
    <n v="3"/>
    <x v="0"/>
  </r>
  <r>
    <d v="2025-11-27T00:00:00"/>
    <s v="Child"/>
    <x v="7"/>
    <n v="128"/>
    <n v="94"/>
    <n v="18"/>
    <n v="0"/>
    <n v="240"/>
    <x v="26"/>
    <n v="18"/>
    <x v="0"/>
  </r>
  <r>
    <d v="2025-11-27T00:00:00"/>
    <s v="Child"/>
    <x v="8"/>
    <n v="389"/>
    <n v="81"/>
    <n v="35"/>
    <n v="0"/>
    <n v="505"/>
    <x v="26"/>
    <n v="35"/>
    <x v="0"/>
  </r>
  <r>
    <d v="2025-12-18T00:00:00"/>
    <s v="Adult"/>
    <x v="6"/>
    <n v="2266"/>
    <n v="94"/>
    <n v="1"/>
    <n v="0"/>
    <n v="2361"/>
    <x v="27"/>
    <n v="1"/>
    <x v="0"/>
  </r>
  <r>
    <d v="2025-12-18T00:00:00"/>
    <s v="Adult"/>
    <x v="17"/>
    <n v="1787"/>
    <n v="781"/>
    <n v="230"/>
    <n v="0"/>
    <n v="2798"/>
    <x v="27"/>
    <n v="230"/>
    <x v="0"/>
  </r>
  <r>
    <d v="2025-12-18T00:00:00"/>
    <s v="Adult"/>
    <x v="14"/>
    <n v="2356"/>
    <n v="936"/>
    <n v="120"/>
    <n v="0"/>
    <n v="3412"/>
    <x v="27"/>
    <n v="120"/>
    <x v="0"/>
  </r>
  <r>
    <d v="2025-12-18T00:00:00"/>
    <s v="Adult"/>
    <x v="10"/>
    <n v="4325"/>
    <n v="1224"/>
    <n v="94"/>
    <n v="0"/>
    <n v="5643"/>
    <x v="27"/>
    <n v="94"/>
    <x v="0"/>
  </r>
  <r>
    <d v="2025-12-18T00:00:00"/>
    <s v="Adult"/>
    <x v="1"/>
    <n v="336"/>
    <n v="188"/>
    <n v="23"/>
    <n v="0"/>
    <n v="547"/>
    <x v="27"/>
    <n v="23"/>
    <x v="0"/>
  </r>
  <r>
    <d v="2025-12-18T00:00:00"/>
    <s v="Child"/>
    <x v="32"/>
    <n v="979"/>
    <n v="300"/>
    <n v="74"/>
    <n v="0"/>
    <n v="1354"/>
    <x v="27"/>
    <n v="74"/>
    <x v="0"/>
  </r>
  <r>
    <d v="2025-12-18T00:00:00"/>
    <s v="Child"/>
    <x v="18"/>
    <n v="710"/>
    <n v="358"/>
    <n v="3"/>
    <n v="0"/>
    <n v="1071"/>
    <x v="27"/>
    <n v="3"/>
    <x v="0"/>
  </r>
  <r>
    <d v="2025-12-18T00:00:00"/>
    <s v="Child"/>
    <x v="7"/>
    <n v="125"/>
    <n v="88"/>
    <n v="9"/>
    <n v="0"/>
    <n v="221"/>
    <x v="27"/>
    <n v="9"/>
    <x v="0"/>
  </r>
  <r>
    <d v="2026-01-29T00:00:00"/>
    <s v="Adult"/>
    <x v="25"/>
    <n v="737"/>
    <n v="182"/>
    <n v="5"/>
    <n v="0"/>
    <n v="924"/>
    <x v="6"/>
    <n v="5"/>
    <x v="0"/>
  </r>
  <r>
    <d v="2026-01-29T00:00:00"/>
    <s v="Adult"/>
    <x v="6"/>
    <n v="2390"/>
    <n v="105"/>
    <n v="8"/>
    <n v="0"/>
    <n v="2503"/>
    <x v="6"/>
    <n v="8"/>
    <x v="0"/>
  </r>
  <r>
    <d v="2026-01-29T00:00:00"/>
    <s v="Adult"/>
    <x v="1"/>
    <n v="361"/>
    <n v="212"/>
    <n v="40"/>
    <n v="0"/>
    <n v="613"/>
    <x v="6"/>
    <n v="40"/>
    <x v="0"/>
  </r>
  <r>
    <d v="2026-01-29T00:00:00"/>
    <s v="Child"/>
    <x v="32"/>
    <n v="1000"/>
    <n v="299"/>
    <n v="61"/>
    <n v="0"/>
    <n v="1360"/>
    <x v="6"/>
    <n v="61"/>
    <x v="0"/>
  </r>
  <r>
    <d v="2026-01-29T00:00:00"/>
    <s v="Child"/>
    <x v="18"/>
    <n v="717"/>
    <n v="389"/>
    <n v="34"/>
    <n v="0"/>
    <n v="1140"/>
    <x v="6"/>
    <n v="34"/>
    <x v="0"/>
  </r>
  <r>
    <d v="2026-01-29T00:00:00"/>
    <s v="Child"/>
    <x v="7"/>
    <n v="91"/>
    <n v="57"/>
    <n v="9"/>
    <n v="0"/>
    <n v="157"/>
    <x v="6"/>
    <n v="9"/>
    <x v="0"/>
  </r>
  <r>
    <d v="2026-01-29T00:00:00"/>
    <s v="Child"/>
    <x v="24"/>
    <n v="741"/>
    <n v="341"/>
    <n v="1"/>
    <n v="0"/>
    <n v="1084"/>
    <x v="6"/>
    <n v="1"/>
    <x v="0"/>
  </r>
  <r>
    <d v="2026-02-26T00:00:00"/>
    <s v="Adult"/>
    <x v="25"/>
    <n v="757"/>
    <n v="188"/>
    <n v="12"/>
    <n v="0"/>
    <n v="957"/>
    <x v="7"/>
    <n v="12"/>
    <x v="0"/>
  </r>
  <r>
    <d v="2026-02-26T00:00:00"/>
    <s v="Adult"/>
    <x v="16"/>
    <n v="4693"/>
    <n v="625"/>
    <n v="10"/>
    <n v="0"/>
    <n v="5327"/>
    <x v="7"/>
    <n v="10"/>
    <x v="0"/>
  </r>
  <r>
    <d v="2026-02-26T00:00:00"/>
    <s v="Adult"/>
    <x v="1"/>
    <n v="355"/>
    <n v="211"/>
    <n v="49"/>
    <n v="0"/>
    <n v="615"/>
    <x v="7"/>
    <n v="49"/>
    <x v="0"/>
  </r>
  <r>
    <d v="2026-02-26T00:00:00"/>
    <s v="Child"/>
    <x v="23"/>
    <n v="49"/>
    <n v="9"/>
    <n v="7"/>
    <n v="0"/>
    <n v="65"/>
    <x v="7"/>
    <n v="7"/>
    <x v="0"/>
  </r>
  <r>
    <d v="2026-02-26T00:00:00"/>
    <s v="Child"/>
    <x v="18"/>
    <n v="794"/>
    <n v="353"/>
    <n v="54"/>
    <n v="0"/>
    <n v="1202"/>
    <x v="7"/>
    <n v="54"/>
    <x v="0"/>
  </r>
  <r>
    <d v="2026-02-26T00:00:00"/>
    <s v="Child"/>
    <x v="7"/>
    <n v="103"/>
    <n v="52"/>
    <n v="18"/>
    <n v="0"/>
    <n v="173"/>
    <x v="7"/>
    <n v="18"/>
    <x v="0"/>
  </r>
  <r>
    <d v="2026-02-26T00:00:00"/>
    <s v="Child"/>
    <x v="8"/>
    <n v="386"/>
    <n v="89"/>
    <n v="9"/>
    <n v="0"/>
    <n v="484"/>
    <x v="7"/>
    <n v="9"/>
    <x v="0"/>
  </r>
  <r>
    <d v="2026-02-26T00:00:00"/>
    <s v="Child"/>
    <x v="24"/>
    <n v="779"/>
    <n v="344"/>
    <n v="1"/>
    <n v="0"/>
    <n v="1125"/>
    <x v="7"/>
    <n v="1"/>
    <x v="0"/>
  </r>
  <r>
    <d v="2026-03-26T00:00:00"/>
    <s v="Adult"/>
    <x v="25"/>
    <n v="838"/>
    <n v="208"/>
    <n v="22"/>
    <n v="0"/>
    <n v="1068"/>
    <x v="28"/>
    <n v="22"/>
    <x v="0"/>
  </r>
  <r>
    <d v="2026-03-26T00:00:00"/>
    <s v="Adult"/>
    <x v="16"/>
    <n v="4599"/>
    <n v="897"/>
    <n v="9"/>
    <n v="0"/>
    <n v="5505"/>
    <x v="28"/>
    <n v="9"/>
    <x v="0"/>
  </r>
  <r>
    <d v="2026-03-26T00:00:00"/>
    <s v="Adult"/>
    <x v="1"/>
    <n v="368"/>
    <n v="224"/>
    <n v="46"/>
    <n v="0"/>
    <n v="638"/>
    <x v="28"/>
    <n v="46"/>
    <x v="0"/>
  </r>
  <r>
    <d v="2026-03-26T00:00:00"/>
    <s v="Child"/>
    <x v="23"/>
    <n v="46"/>
    <n v="5"/>
    <n v="7"/>
    <n v="0"/>
    <n v="59"/>
    <x v="28"/>
    <n v="7"/>
    <x v="0"/>
  </r>
  <r>
    <d v="2026-03-26T00:00:00"/>
    <s v="Child"/>
    <x v="4"/>
    <n v="134"/>
    <n v="60"/>
    <n v="19"/>
    <n v="0"/>
    <n v="213"/>
    <x v="28"/>
    <n v="19"/>
    <x v="0"/>
  </r>
  <r>
    <d v="2026-03-26T00:00:00"/>
    <s v="Child"/>
    <x v="18"/>
    <n v="826"/>
    <n v="317"/>
    <n v="84"/>
    <n v="0"/>
    <n v="1227"/>
    <x v="28"/>
    <n v="84"/>
    <x v="0"/>
  </r>
  <r>
    <d v="2026-03-26T00:00:00"/>
    <s v="Child"/>
    <x v="21"/>
    <n v="425"/>
    <n v="74"/>
    <n v="7"/>
    <n v="0"/>
    <n v="506"/>
    <x v="28"/>
    <n v="7"/>
    <x v="0"/>
  </r>
  <r>
    <d v="2026-03-26T00:00:00"/>
    <s v="Child"/>
    <x v="7"/>
    <n v="114"/>
    <n v="33"/>
    <n v="5"/>
    <n v="0"/>
    <n v="152"/>
    <x v="28"/>
    <n v="5"/>
    <x v="0"/>
  </r>
  <r>
    <d v="2026-03-26T00:00:00"/>
    <s v="Child"/>
    <x v="24"/>
    <n v="793"/>
    <n v="335"/>
    <n v="5"/>
    <n v="0"/>
    <n v="1132"/>
    <x v="28"/>
    <n v="5"/>
    <x v="0"/>
  </r>
  <r>
    <d v="2026-04-30T00:00:00"/>
    <s v="Adult"/>
    <x v="25"/>
    <n v="883"/>
    <n v="218"/>
    <n v="33"/>
    <n v="0"/>
    <n v="1133"/>
    <x v="29"/>
    <n v="33"/>
    <x v="0"/>
  </r>
  <r>
    <d v="2026-04-30T00:00:00"/>
    <s v="Adult"/>
    <x v="16"/>
    <n v="4846"/>
    <n v="1115"/>
    <n v="10"/>
    <n v="0"/>
    <n v="5971"/>
    <x v="29"/>
    <n v="10"/>
    <x v="0"/>
  </r>
  <r>
    <d v="2026-04-30T00:00:00"/>
    <s v="Adult"/>
    <x v="7"/>
    <n v="3245"/>
    <n v="1200"/>
    <n v="14"/>
    <n v="0"/>
    <n v="4459"/>
    <x v="29"/>
    <n v="14"/>
    <x v="0"/>
  </r>
  <r>
    <d v="2026-04-30T00:00:00"/>
    <s v="Adult"/>
    <x v="10"/>
    <n v="4559"/>
    <n v="1598"/>
    <n v="90"/>
    <n v="0"/>
    <n v="6247"/>
    <x v="29"/>
    <n v="90"/>
    <x v="0"/>
  </r>
  <r>
    <d v="2026-04-30T00:00:00"/>
    <s v="Adult"/>
    <x v="1"/>
    <n v="427"/>
    <n v="251"/>
    <n v="48"/>
    <n v="0"/>
    <n v="726"/>
    <x v="29"/>
    <n v="48"/>
    <x v="0"/>
  </r>
  <r>
    <d v="2026-04-30T00:00:00"/>
    <s v="Child"/>
    <x v="4"/>
    <n v="153"/>
    <n v="46"/>
    <n v="15"/>
    <n v="0"/>
    <n v="213"/>
    <x v="29"/>
    <n v="15"/>
    <x v="0"/>
  </r>
  <r>
    <d v="2026-04-30T00:00:00"/>
    <s v="Child"/>
    <x v="18"/>
    <n v="901"/>
    <n v="347"/>
    <n v="101"/>
    <n v="0"/>
    <n v="1349"/>
    <x v="29"/>
    <n v="101"/>
    <x v="0"/>
  </r>
  <r>
    <d v="2026-04-30T00:00:00"/>
    <s v="Child"/>
    <x v="7"/>
    <n v="125"/>
    <n v="30"/>
    <n v="5"/>
    <n v="0"/>
    <n v="160"/>
    <x v="29"/>
    <n v="5"/>
    <x v="0"/>
  </r>
  <r>
    <d v="2026-05-28T00:00:00"/>
    <s v="Adult"/>
    <x v="25"/>
    <n v="950"/>
    <n v="204"/>
    <n v="39"/>
    <n v="0"/>
    <n v="1193"/>
    <x v="8"/>
    <n v="39"/>
    <x v="0"/>
  </r>
  <r>
    <d v="2026-05-28T00:00:00"/>
    <s v="Adult"/>
    <x v="16"/>
    <n v="5016"/>
    <n v="1292"/>
    <n v="37"/>
    <n v="0"/>
    <n v="6344"/>
    <x v="8"/>
    <n v="37"/>
    <x v="0"/>
  </r>
  <r>
    <d v="2026-05-28T00:00:00"/>
    <s v="Adult"/>
    <x v="10"/>
    <n v="4494"/>
    <n v="1639"/>
    <n v="123"/>
    <n v="0"/>
    <n v="6256"/>
    <x v="8"/>
    <n v="123"/>
    <x v="0"/>
  </r>
  <r>
    <d v="2026-05-28T00:00:00"/>
    <s v="Adult"/>
    <x v="1"/>
    <n v="486"/>
    <n v="272"/>
    <n v="57"/>
    <n v="0"/>
    <n v="815"/>
    <x v="8"/>
    <n v="57"/>
    <x v="0"/>
  </r>
  <r>
    <d v="2026-05-28T00:00:00"/>
    <s v="Child"/>
    <x v="16"/>
    <n v="563"/>
    <n v="131"/>
    <n v="6"/>
    <n v="0"/>
    <n v="700"/>
    <x v="8"/>
    <n v="6"/>
    <x v="0"/>
  </r>
  <r>
    <d v="2026-05-28T00:00:00"/>
    <s v="Child"/>
    <x v="18"/>
    <n v="983"/>
    <n v="333"/>
    <n v="44"/>
    <n v="0"/>
    <n v="1360"/>
    <x v="8"/>
    <n v="44"/>
    <x v="0"/>
  </r>
  <r>
    <d v="2026-05-28T00:00:00"/>
    <s v="Child"/>
    <x v="7"/>
    <n v="127"/>
    <n v="32"/>
    <n v="7"/>
    <n v="0"/>
    <n v="166"/>
    <x v="8"/>
    <n v="7"/>
    <x v="0"/>
  </r>
  <r>
    <d v="2026-05-28T00:00:00"/>
    <s v="Child"/>
    <x v="12"/>
    <n v="7"/>
    <n v="4"/>
    <n v="1"/>
    <n v="0"/>
    <n v="13"/>
    <x v="8"/>
    <n v="1"/>
    <x v="0"/>
  </r>
  <r>
    <d v="2026-05-28T00:00:00"/>
    <s v="Child"/>
    <x v="24"/>
    <n v="812"/>
    <n v="370"/>
    <n v="5"/>
    <n v="0"/>
    <n v="1187"/>
    <x v="8"/>
    <n v="5"/>
    <x v="0"/>
  </r>
  <r>
    <d v="2026-06-25T00:00:00"/>
    <s v="Adult"/>
    <x v="25"/>
    <n v="934"/>
    <n v="200"/>
    <n v="32"/>
    <n v="0"/>
    <n v="1166"/>
    <x v="9"/>
    <n v="32"/>
    <x v="0"/>
  </r>
  <r>
    <d v="2026-06-25T00:00:00"/>
    <s v="Adult"/>
    <x v="9"/>
    <n v="2473"/>
    <n v="1068"/>
    <n v="109"/>
    <n v="0"/>
    <n v="3650"/>
    <x v="9"/>
    <n v="109"/>
    <x v="0"/>
  </r>
  <r>
    <d v="2026-06-25T00:00:00"/>
    <s v="Child"/>
    <x v="16"/>
    <n v="547"/>
    <n v="140"/>
    <n v="3"/>
    <n v="0"/>
    <n v="691"/>
    <x v="9"/>
    <n v="3"/>
    <x v="0"/>
  </r>
  <r>
    <d v="2026-06-25T00:00:00"/>
    <s v="Child"/>
    <x v="18"/>
    <n v="966"/>
    <n v="308"/>
    <n v="57"/>
    <n v="0"/>
    <n v="1331"/>
    <x v="9"/>
    <n v="57"/>
    <x v="0"/>
  </r>
  <r>
    <d v="2026-06-25T00:00:00"/>
    <s v="Child"/>
    <x v="12"/>
    <n v="9"/>
    <n v="3"/>
    <n v="1"/>
    <n v="0"/>
    <n v="13"/>
    <x v="9"/>
    <n v="1"/>
    <x v="0"/>
  </r>
  <r>
    <d v="2026-06-25T00:00:00"/>
    <s v="Child"/>
    <x v="8"/>
    <n v="433"/>
    <n v="102"/>
    <n v="8"/>
    <n v="0"/>
    <n v="543"/>
    <x v="9"/>
    <n v="8"/>
    <x v="0"/>
  </r>
  <r>
    <d v="2026-06-25T00:00:00"/>
    <s v="Child"/>
    <x v="24"/>
    <n v="817"/>
    <n v="347"/>
    <n v="12"/>
    <n v="0"/>
    <n v="1176"/>
    <x v="9"/>
    <n v="12"/>
    <x v="0"/>
  </r>
  <r>
    <d v="2026-07-30T00:00:00"/>
    <s v="Adult"/>
    <x v="16"/>
    <n v="5458"/>
    <n v="1443"/>
    <n v="65"/>
    <n v="0"/>
    <n v="6965"/>
    <x v="10"/>
    <n v="65"/>
    <x v="0"/>
  </r>
  <r>
    <d v="2026-07-30T00:00:00"/>
    <s v="Adult"/>
    <x v="7"/>
    <n v="3459"/>
    <n v="979"/>
    <n v="42"/>
    <n v="0"/>
    <n v="4479"/>
    <x v="10"/>
    <n v="42"/>
    <x v="0"/>
  </r>
  <r>
    <d v="2026-07-30T00:00:00"/>
    <s v="Adult"/>
    <x v="10"/>
    <n v="4866"/>
    <n v="1571"/>
    <n v="127"/>
    <n v="0"/>
    <n v="6564"/>
    <x v="10"/>
    <n v="127"/>
    <x v="0"/>
  </r>
  <r>
    <d v="2026-07-30T00:00:00"/>
    <s v="Child"/>
    <x v="18"/>
    <n v="929"/>
    <n v="340"/>
    <n v="80"/>
    <n v="0"/>
    <n v="1349"/>
    <x v="10"/>
    <n v="80"/>
    <x v="0"/>
  </r>
  <r>
    <d v="2026-07-30T00:00:00"/>
    <s v="Child"/>
    <x v="21"/>
    <n v="439"/>
    <n v="52"/>
    <n v="9"/>
    <n v="0"/>
    <n v="500"/>
    <x v="10"/>
    <n v="9"/>
    <x v="0"/>
  </r>
  <r>
    <d v="2026-07-30T00:00:00"/>
    <s v="Child"/>
    <x v="8"/>
    <n v="412"/>
    <n v="79"/>
    <n v="11"/>
    <n v="0"/>
    <n v="502"/>
    <x v="10"/>
    <n v="11"/>
    <x v="0"/>
  </r>
  <r>
    <d v="2026-08-27T00:00:00"/>
    <s v="Adult"/>
    <x v="16"/>
    <n v="5403"/>
    <n v="1468"/>
    <n v="78"/>
    <n v="0"/>
    <n v="6949"/>
    <x v="11"/>
    <n v="78"/>
    <x v="0"/>
  </r>
  <r>
    <d v="2026-08-27T00:00:00"/>
    <s v="Adult"/>
    <x v="6"/>
    <n v="3264"/>
    <n v="222"/>
    <n v="1"/>
    <n v="0"/>
    <n v="3487"/>
    <x v="11"/>
    <n v="1"/>
    <x v="0"/>
  </r>
  <r>
    <d v="2026-08-27T00:00:00"/>
    <s v="Adult"/>
    <x v="1"/>
    <n v="663"/>
    <n v="306"/>
    <n v="98"/>
    <n v="0"/>
    <n v="1067"/>
    <x v="11"/>
    <n v="98"/>
    <x v="0"/>
  </r>
  <r>
    <d v="2026-08-27T00:00:00"/>
    <s v="Child"/>
    <x v="16"/>
    <n v="519"/>
    <n v="166"/>
    <n v="23"/>
    <n v="0"/>
    <n v="707"/>
    <x v="11"/>
    <n v="23"/>
    <x v="0"/>
  </r>
  <r>
    <d v="2026-08-27T00:00:00"/>
    <s v="Child"/>
    <x v="3"/>
    <n v="119"/>
    <n v="6"/>
    <n v="1"/>
    <n v="0"/>
    <n v="126"/>
    <x v="11"/>
    <n v="1"/>
    <x v="0"/>
  </r>
  <r>
    <d v="2026-08-27T00:00:00"/>
    <s v="Child"/>
    <x v="18"/>
    <n v="873"/>
    <n v="392"/>
    <n v="60"/>
    <n v="0"/>
    <n v="1325"/>
    <x v="11"/>
    <n v="60"/>
    <x v="0"/>
  </r>
  <r>
    <d v="2026-08-27T00:00:00"/>
    <s v="Child"/>
    <x v="21"/>
    <n v="413"/>
    <n v="46"/>
    <n v="10"/>
    <n v="0"/>
    <n v="468"/>
    <x v="11"/>
    <n v="10"/>
    <x v="0"/>
  </r>
  <r>
    <d v="2026-08-27T00:00:00"/>
    <s v="Child"/>
    <x v="8"/>
    <n v="423"/>
    <n v="78"/>
    <n v="9"/>
    <n v="0"/>
    <n v="510"/>
    <x v="11"/>
    <n v="9"/>
    <x v="0"/>
  </r>
  <r>
    <d v="2023-01-26T00:00:00"/>
    <s v="Adult"/>
    <x v="30"/>
    <n v="1068"/>
    <n v="133"/>
    <n v="8"/>
    <n v="0"/>
    <n v="1209"/>
    <x v="36"/>
    <n v="8"/>
    <x v="1"/>
  </r>
  <r>
    <d v="2023-01-26T00:00:00"/>
    <s v="Adult"/>
    <x v="4"/>
    <n v="206"/>
    <n v="19"/>
    <n v="6"/>
    <n v="0"/>
    <n v="231"/>
    <x v="36"/>
    <n v="6"/>
    <x v="1"/>
  </r>
  <r>
    <d v="2023-01-26T00:00:00"/>
    <s v="Adult"/>
    <x v="0"/>
    <n v="896"/>
    <n v="88"/>
    <n v="8"/>
    <n v="0"/>
    <n v="992"/>
    <x v="36"/>
    <n v="8"/>
    <x v="1"/>
  </r>
  <r>
    <d v="2023-01-26T00:00:00"/>
    <s v="Child"/>
    <x v="2"/>
    <n v="60"/>
    <n v="10"/>
    <n v="5"/>
    <n v="0"/>
    <n v="75"/>
    <x v="36"/>
    <n v="5"/>
    <x v="1"/>
  </r>
  <r>
    <d v="2023-02-23T00:00:00"/>
    <s v="Adult"/>
    <x v="30"/>
    <n v="915"/>
    <n v="144"/>
    <n v="11"/>
    <n v="0"/>
    <n v="1070"/>
    <x v="37"/>
    <n v="11"/>
    <x v="1"/>
  </r>
  <r>
    <d v="2023-02-23T00:00:00"/>
    <s v="Adult"/>
    <x v="9"/>
    <n v="137"/>
    <n v="30"/>
    <n v="6"/>
    <n v="0"/>
    <n v="173"/>
    <x v="37"/>
    <n v="6"/>
    <x v="1"/>
  </r>
  <r>
    <d v="2023-02-23T00:00:00"/>
    <s v="Child"/>
    <x v="2"/>
    <n v="55"/>
    <n v="6"/>
    <n v="7"/>
    <n v="0"/>
    <n v="68"/>
    <x v="37"/>
    <n v="7"/>
    <x v="1"/>
  </r>
  <r>
    <d v="2023-03-30T00:00:00"/>
    <s v="Adult"/>
    <x v="30"/>
    <n v="926"/>
    <n v="171"/>
    <n v="8"/>
    <n v="0"/>
    <n v="1105"/>
    <x v="38"/>
    <n v="8"/>
    <x v="1"/>
  </r>
  <r>
    <d v="2023-03-30T00:00:00"/>
    <s v="Adult"/>
    <x v="4"/>
    <n v="222"/>
    <n v="21"/>
    <n v="6"/>
    <n v="0"/>
    <n v="249"/>
    <x v="38"/>
    <n v="6"/>
    <x v="1"/>
  </r>
  <r>
    <d v="2023-03-30T00:00:00"/>
    <s v="Adult"/>
    <x v="21"/>
    <n v="445"/>
    <n v="106"/>
    <n v="29"/>
    <n v="0"/>
    <n v="580"/>
    <x v="38"/>
    <n v="29"/>
    <x v="1"/>
  </r>
  <r>
    <d v="2023-03-30T00:00:00"/>
    <s v="Adult"/>
    <x v="1"/>
    <n v="639"/>
    <n v="123"/>
    <n v="8"/>
    <n v="0"/>
    <n v="770"/>
    <x v="38"/>
    <n v="8"/>
    <x v="1"/>
  </r>
  <r>
    <d v="2023-03-30T00:00:00"/>
    <s v="Adult"/>
    <x v="19"/>
    <n v="220"/>
    <n v="52"/>
    <n v="6"/>
    <n v="0"/>
    <n v="278"/>
    <x v="38"/>
    <n v="6"/>
    <x v="1"/>
  </r>
  <r>
    <d v="2023-04-27T00:00:00"/>
    <s v="Adult"/>
    <x v="30"/>
    <n v="956"/>
    <n v="205"/>
    <n v="6"/>
    <n v="0"/>
    <n v="1167"/>
    <x v="39"/>
    <n v="6"/>
    <x v="1"/>
  </r>
  <r>
    <d v="2023-04-27T00:00:00"/>
    <s v="Adult"/>
    <x v="4"/>
    <n v="245"/>
    <n v="28"/>
    <n v="6"/>
    <n v="0"/>
    <n v="280"/>
    <x v="39"/>
    <n v="6"/>
    <x v="1"/>
  </r>
  <r>
    <d v="2023-04-27T00:00:00"/>
    <s v="Adult"/>
    <x v="21"/>
    <n v="409"/>
    <n v="114"/>
    <n v="28"/>
    <n v="0"/>
    <n v="551"/>
    <x v="39"/>
    <n v="28"/>
    <x v="1"/>
  </r>
  <r>
    <d v="2023-05-25T00:00:00"/>
    <s v="Adult"/>
    <x v="30"/>
    <n v="935"/>
    <n v="146"/>
    <n v="18"/>
    <n v="0"/>
    <n v="1100"/>
    <x v="40"/>
    <n v="18"/>
    <x v="1"/>
  </r>
  <r>
    <d v="2023-05-25T00:00:00"/>
    <s v="Adult"/>
    <x v="1"/>
    <n v="576"/>
    <n v="125"/>
    <n v="10"/>
    <n v="0"/>
    <n v="711"/>
    <x v="40"/>
    <n v="10"/>
    <x v="1"/>
  </r>
  <r>
    <d v="2023-05-25T00:00:00"/>
    <s v="Child"/>
    <x v="23"/>
    <n v="20"/>
    <n v="4"/>
    <n v="8"/>
    <n v="0"/>
    <n v="32"/>
    <x v="40"/>
    <n v="8"/>
    <x v="1"/>
  </r>
  <r>
    <d v="2023-05-25T00:00:00"/>
    <s v="Child"/>
    <x v="36"/>
    <n v="181"/>
    <n v="26"/>
    <n v="10"/>
    <n v="0"/>
    <n v="218"/>
    <x v="40"/>
    <n v="10"/>
    <x v="1"/>
  </r>
  <r>
    <d v="2023-06-29T00:00:00"/>
    <s v="Adult"/>
    <x v="27"/>
    <n v="573"/>
    <n v="133"/>
    <n v="6"/>
    <n v="0"/>
    <n v="712"/>
    <x v="30"/>
    <n v="6"/>
    <x v="1"/>
  </r>
  <r>
    <d v="2023-06-29T00:00:00"/>
    <s v="Adult"/>
    <x v="1"/>
    <n v="521"/>
    <n v="148"/>
    <n v="9"/>
    <n v="0"/>
    <n v="678"/>
    <x v="30"/>
    <n v="9"/>
    <x v="1"/>
  </r>
  <r>
    <d v="2023-06-29T00:00:00"/>
    <s v="Child"/>
    <x v="23"/>
    <n v="26"/>
    <n v="4"/>
    <n v="6"/>
    <n v="0"/>
    <n v="35"/>
    <x v="30"/>
    <n v="6"/>
    <x v="1"/>
  </r>
  <r>
    <d v="2023-07-27T00:00:00"/>
    <s v="Adult"/>
    <x v="1"/>
    <n v="606"/>
    <n v="148"/>
    <n v="14"/>
    <n v="0"/>
    <n v="767"/>
    <x v="31"/>
    <n v="14"/>
    <x v="1"/>
  </r>
  <r>
    <d v="2023-07-27T00:00:00"/>
    <s v="Child"/>
    <x v="36"/>
    <n v="184"/>
    <n v="23"/>
    <n v="16"/>
    <n v="0"/>
    <n v="223"/>
    <x v="31"/>
    <n v="16"/>
    <x v="1"/>
  </r>
  <r>
    <d v="2023-07-27T00:00:00"/>
    <s v="Child"/>
    <x v="34"/>
    <n v="310"/>
    <n v="132"/>
    <n v="8"/>
    <n v="0"/>
    <n v="449"/>
    <x v="31"/>
    <n v="8"/>
    <x v="1"/>
  </r>
  <r>
    <d v="2023-08-31T00:00:00"/>
    <s v="Adult"/>
    <x v="4"/>
    <n v="226"/>
    <n v="57"/>
    <n v="6"/>
    <n v="0"/>
    <n v="288"/>
    <x v="32"/>
    <n v="6"/>
    <x v="1"/>
  </r>
  <r>
    <d v="2023-08-31T00:00:00"/>
    <s v="Adult"/>
    <x v="1"/>
    <n v="659"/>
    <n v="133"/>
    <n v="12"/>
    <n v="0"/>
    <n v="804"/>
    <x v="32"/>
    <n v="12"/>
    <x v="1"/>
  </r>
  <r>
    <d v="2023-08-31T00:00:00"/>
    <s v="Child"/>
    <x v="36"/>
    <n v="193"/>
    <n v="26"/>
    <n v="12"/>
    <n v="0"/>
    <n v="230"/>
    <x v="32"/>
    <n v="12"/>
    <x v="1"/>
  </r>
  <r>
    <d v="2023-08-31T00:00:00"/>
    <s v="Child"/>
    <x v="34"/>
    <n v="228"/>
    <n v="168"/>
    <n v="11"/>
    <n v="0"/>
    <n v="406"/>
    <x v="32"/>
    <n v="11"/>
    <x v="1"/>
  </r>
  <r>
    <d v="2023-09-28T00:00:00"/>
    <s v="Child"/>
    <x v="36"/>
    <n v="194"/>
    <n v="19"/>
    <n v="8"/>
    <n v="0"/>
    <n v="220"/>
    <x v="33"/>
    <n v="8"/>
    <x v="1"/>
  </r>
  <r>
    <d v="2023-09-28T00:00:00"/>
    <s v="Child"/>
    <x v="34"/>
    <n v="156"/>
    <n v="229"/>
    <n v="8"/>
    <n v="0"/>
    <n v="393"/>
    <x v="33"/>
    <n v="8"/>
    <x v="1"/>
  </r>
  <r>
    <d v="2023-10-26T00:00:00"/>
    <s v="Adult"/>
    <x v="34"/>
    <n v="1932"/>
    <n v="749"/>
    <n v="123"/>
    <n v="0"/>
    <n v="2805"/>
    <x v="41"/>
    <n v="123"/>
    <x v="1"/>
  </r>
  <r>
    <d v="2023-10-26T00:00:00"/>
    <s v="Child"/>
    <x v="26"/>
    <n v="31"/>
    <n v="8"/>
    <n v="6"/>
    <n v="0"/>
    <n v="44"/>
    <x v="41"/>
    <n v="6"/>
    <x v="1"/>
  </r>
  <r>
    <d v="2023-10-26T00:00:00"/>
    <s v="Child"/>
    <x v="34"/>
    <n v="157"/>
    <n v="225"/>
    <n v="6"/>
    <n v="0"/>
    <n v="388"/>
    <x v="41"/>
    <n v="6"/>
    <x v="1"/>
  </r>
  <r>
    <d v="2023-11-30T00:00:00"/>
    <s v="Adult"/>
    <x v="4"/>
    <n v="256"/>
    <n v="81"/>
    <n v="10"/>
    <n v="0"/>
    <n v="347"/>
    <x v="42"/>
    <n v="10"/>
    <x v="1"/>
  </r>
  <r>
    <d v="2023-11-30T00:00:00"/>
    <s v="Adult"/>
    <x v="18"/>
    <n v="762"/>
    <n v="154"/>
    <n v="6"/>
    <n v="0"/>
    <n v="922"/>
    <x v="42"/>
    <n v="6"/>
    <x v="1"/>
  </r>
  <r>
    <d v="2023-11-30T00:00:00"/>
    <s v="Adult"/>
    <x v="21"/>
    <n v="437"/>
    <n v="129"/>
    <n v="20"/>
    <n v="0"/>
    <n v="587"/>
    <x v="42"/>
    <n v="20"/>
    <x v="1"/>
  </r>
  <r>
    <d v="2023-11-30T00:00:00"/>
    <s v="Child"/>
    <x v="2"/>
    <n v="58"/>
    <n v="28"/>
    <n v="5"/>
    <n v="0"/>
    <n v="91"/>
    <x v="42"/>
    <n v="5"/>
    <x v="1"/>
  </r>
  <r>
    <d v="2023-12-28T00:00:00"/>
    <s v="Adult"/>
    <x v="9"/>
    <n v="98"/>
    <n v="60"/>
    <n v="19"/>
    <n v="0"/>
    <n v="177"/>
    <x v="43"/>
    <n v="19"/>
    <x v="1"/>
  </r>
  <r>
    <d v="2023-12-28T00:00:00"/>
    <s v="Adult"/>
    <x v="4"/>
    <n v="256"/>
    <n v="82"/>
    <n v="17"/>
    <n v="0"/>
    <n v="355"/>
    <x v="43"/>
    <n v="17"/>
    <x v="1"/>
  </r>
  <r>
    <d v="2023-12-28T00:00:00"/>
    <s v="Adult"/>
    <x v="21"/>
    <n v="401"/>
    <n v="110"/>
    <n v="13"/>
    <n v="0"/>
    <n v="524"/>
    <x v="43"/>
    <n v="13"/>
    <x v="1"/>
  </r>
  <r>
    <d v="2023-12-28T00:00:00"/>
    <s v="Adult"/>
    <x v="34"/>
    <n v="1801"/>
    <n v="723"/>
    <n v="8"/>
    <n v="0"/>
    <n v="2532"/>
    <x v="43"/>
    <n v="8"/>
    <x v="1"/>
  </r>
  <r>
    <d v="2023-12-28T00:00:00"/>
    <s v="Child"/>
    <x v="34"/>
    <n v="178"/>
    <n v="203"/>
    <n v="16"/>
    <n v="0"/>
    <n v="397"/>
    <x v="43"/>
    <n v="16"/>
    <x v="1"/>
  </r>
  <r>
    <d v="2024-01-25T00:00:00"/>
    <s v="Adult"/>
    <x v="4"/>
    <n v="234"/>
    <n v="80"/>
    <n v="18"/>
    <n v="0"/>
    <n v="332"/>
    <x v="12"/>
    <n v="18"/>
    <x v="1"/>
  </r>
  <r>
    <d v="2024-01-25T00:00:00"/>
    <s v="Adult"/>
    <x v="26"/>
    <n v="758"/>
    <n v="289"/>
    <n v="9"/>
    <n v="0"/>
    <n v="1055"/>
    <x v="12"/>
    <n v="9"/>
    <x v="1"/>
  </r>
  <r>
    <d v="2024-01-25T00:00:00"/>
    <s v="Adult"/>
    <x v="18"/>
    <n v="1026"/>
    <n v="200"/>
    <n v="12"/>
    <n v="0"/>
    <n v="1238"/>
    <x v="12"/>
    <n v="12"/>
    <x v="1"/>
  </r>
  <r>
    <d v="2024-01-25T00:00:00"/>
    <s v="Adult"/>
    <x v="21"/>
    <n v="418"/>
    <n v="124"/>
    <n v="17"/>
    <n v="0"/>
    <n v="559"/>
    <x v="12"/>
    <n v="17"/>
    <x v="1"/>
  </r>
  <r>
    <d v="2024-01-25T00:00:00"/>
    <s v="Child"/>
    <x v="29"/>
    <n v="90"/>
    <n v="75"/>
    <n v="16"/>
    <n v="0"/>
    <n v="181"/>
    <x v="12"/>
    <n v="16"/>
    <x v="1"/>
  </r>
  <r>
    <d v="2024-01-25T00:00:00"/>
    <s v="Child"/>
    <x v="34"/>
    <n v="174"/>
    <n v="209"/>
    <n v="28"/>
    <n v="0"/>
    <n v="411"/>
    <x v="12"/>
    <n v="28"/>
    <x v="1"/>
  </r>
  <r>
    <d v="2024-02-29T00:00:00"/>
    <s v="Adult"/>
    <x v="9"/>
    <n v="74"/>
    <n v="37"/>
    <n v="10"/>
    <n v="0"/>
    <n v="121"/>
    <x v="13"/>
    <n v="10"/>
    <x v="1"/>
  </r>
  <r>
    <d v="2024-02-29T00:00:00"/>
    <s v="Adult"/>
    <x v="4"/>
    <n v="227"/>
    <n v="75"/>
    <n v="23"/>
    <n v="0"/>
    <n v="325"/>
    <x v="13"/>
    <n v="23"/>
    <x v="1"/>
  </r>
  <r>
    <d v="2024-02-29T00:00:00"/>
    <s v="Adult"/>
    <x v="21"/>
    <n v="368"/>
    <n v="124"/>
    <n v="14"/>
    <n v="0"/>
    <n v="506"/>
    <x v="13"/>
    <n v="14"/>
    <x v="1"/>
  </r>
  <r>
    <d v="2024-02-29T00:00:00"/>
    <s v="Child"/>
    <x v="2"/>
    <n v="69"/>
    <n v="21"/>
    <n v="11"/>
    <n v="0"/>
    <n v="100"/>
    <x v="13"/>
    <n v="11"/>
    <x v="1"/>
  </r>
  <r>
    <d v="2024-02-29T00:00:00"/>
    <s v="Child"/>
    <x v="34"/>
    <n v="260"/>
    <n v="181"/>
    <n v="78"/>
    <n v="0"/>
    <n v="519"/>
    <x v="13"/>
    <n v="78"/>
    <x v="1"/>
  </r>
  <r>
    <d v="2024-03-28T00:00:00"/>
    <s v="Adult"/>
    <x v="4"/>
    <n v="245"/>
    <n v="67"/>
    <n v="25"/>
    <n v="0"/>
    <n v="337"/>
    <x v="14"/>
    <n v="25"/>
    <x v="1"/>
  </r>
  <r>
    <d v="2024-03-28T00:00:00"/>
    <s v="Adult"/>
    <x v="21"/>
    <n v="372"/>
    <n v="121"/>
    <n v="21"/>
    <n v="0"/>
    <n v="514"/>
    <x v="14"/>
    <n v="21"/>
    <x v="1"/>
  </r>
  <r>
    <d v="2024-03-28T00:00:00"/>
    <s v="Adult"/>
    <x v="1"/>
    <n v="558"/>
    <n v="135"/>
    <n v="6"/>
    <n v="0"/>
    <n v="698"/>
    <x v="14"/>
    <n v="6"/>
    <x v="1"/>
  </r>
  <r>
    <d v="2024-03-28T00:00:00"/>
    <s v="Adult"/>
    <x v="34"/>
    <n v="2006"/>
    <n v="906"/>
    <n v="193"/>
    <n v="0"/>
    <n v="3105"/>
    <x v="14"/>
    <n v="193"/>
    <x v="1"/>
  </r>
  <r>
    <d v="2024-03-28T00:00:00"/>
    <s v="Child"/>
    <x v="2"/>
    <n v="50"/>
    <n v="22"/>
    <n v="7"/>
    <n v="0"/>
    <n v="79"/>
    <x v="14"/>
    <n v="7"/>
    <x v="1"/>
  </r>
  <r>
    <d v="2024-03-28T00:00:00"/>
    <s v="Child"/>
    <x v="29"/>
    <n v="73"/>
    <n v="48"/>
    <n v="18"/>
    <n v="0"/>
    <n v="139"/>
    <x v="14"/>
    <n v="18"/>
    <x v="1"/>
  </r>
  <r>
    <d v="2024-03-28T00:00:00"/>
    <s v="Child"/>
    <x v="34"/>
    <n v="239"/>
    <n v="157"/>
    <n v="148"/>
    <n v="0"/>
    <n v="543"/>
    <x v="14"/>
    <n v="148"/>
    <x v="1"/>
  </r>
  <r>
    <d v="2024-04-25T00:00:00"/>
    <s v="Adult"/>
    <x v="4"/>
    <n v="219"/>
    <n v="77"/>
    <n v="32"/>
    <n v="0"/>
    <n v="327"/>
    <x v="15"/>
    <n v="32"/>
    <x v="1"/>
  </r>
  <r>
    <d v="2024-04-25T00:00:00"/>
    <s v="Child"/>
    <x v="2"/>
    <n v="40"/>
    <n v="18"/>
    <n v="3"/>
    <n v="0"/>
    <n v="61"/>
    <x v="15"/>
    <n v="3"/>
    <x v="1"/>
  </r>
  <r>
    <d v="2024-04-25T00:00:00"/>
    <s v="Child"/>
    <x v="11"/>
    <n v="10"/>
    <n v="0"/>
    <n v="3"/>
    <n v="0"/>
    <n v="13"/>
    <x v="15"/>
    <n v="3"/>
    <x v="1"/>
  </r>
  <r>
    <d v="2024-04-25T00:00:00"/>
    <s v="Child"/>
    <x v="34"/>
    <n v="222"/>
    <n v="188"/>
    <n v="117"/>
    <n v="0"/>
    <n v="526"/>
    <x v="15"/>
    <n v="117"/>
    <x v="1"/>
  </r>
  <r>
    <d v="2024-05-30T00:00:00"/>
    <s v="Adult"/>
    <x v="4"/>
    <n v="234"/>
    <n v="74"/>
    <n v="36"/>
    <n v="0"/>
    <n v="344"/>
    <x v="0"/>
    <n v="36"/>
    <x v="1"/>
  </r>
  <r>
    <d v="2024-05-30T00:00:00"/>
    <s v="Adult"/>
    <x v="26"/>
    <n v="621"/>
    <n v="186"/>
    <n v="20"/>
    <n v="0"/>
    <n v="827"/>
    <x v="0"/>
    <n v="20"/>
    <x v="1"/>
  </r>
  <r>
    <d v="2024-05-30T00:00:00"/>
    <s v="Adult"/>
    <x v="18"/>
    <n v="990"/>
    <n v="270"/>
    <n v="38"/>
    <n v="0"/>
    <n v="1298"/>
    <x v="0"/>
    <n v="38"/>
    <x v="1"/>
  </r>
  <r>
    <d v="2024-05-30T00:00:00"/>
    <s v="Adult"/>
    <x v="27"/>
    <n v="610"/>
    <n v="216"/>
    <n v="11"/>
    <n v="0"/>
    <n v="837"/>
    <x v="0"/>
    <n v="11"/>
    <x v="1"/>
  </r>
  <r>
    <d v="2024-05-30T00:00:00"/>
    <s v="Adult"/>
    <x v="21"/>
    <n v="341"/>
    <n v="138"/>
    <n v="40"/>
    <n v="0"/>
    <n v="519"/>
    <x v="0"/>
    <n v="40"/>
    <x v="1"/>
  </r>
  <r>
    <d v="2024-05-30T00:00:00"/>
    <s v="Adult"/>
    <x v="1"/>
    <n v="507"/>
    <n v="171"/>
    <n v="7"/>
    <n v="0"/>
    <n v="685"/>
    <x v="0"/>
    <n v="7"/>
    <x v="1"/>
  </r>
  <r>
    <d v="2024-05-30T00:00:00"/>
    <s v="Child"/>
    <x v="29"/>
    <n v="67"/>
    <n v="48"/>
    <n v="13"/>
    <n v="0"/>
    <n v="128"/>
    <x v="0"/>
    <n v="13"/>
    <x v="1"/>
  </r>
  <r>
    <d v="2024-05-30T00:00:00"/>
    <s v="Child"/>
    <x v="35"/>
    <n v="78"/>
    <n v="13"/>
    <n v="3"/>
    <n v="0"/>
    <n v="94"/>
    <x v="0"/>
    <n v="3"/>
    <x v="1"/>
  </r>
  <r>
    <d v="2024-06-27T00:00:00"/>
    <s v="Adult"/>
    <x v="4"/>
    <n v="267"/>
    <n v="66"/>
    <n v="40"/>
    <n v="0"/>
    <n v="373"/>
    <x v="1"/>
    <n v="40"/>
    <x v="1"/>
  </r>
  <r>
    <d v="2024-06-27T00:00:00"/>
    <s v="Adult"/>
    <x v="26"/>
    <n v="572"/>
    <n v="202"/>
    <n v="22"/>
    <n v="0"/>
    <n v="796"/>
    <x v="1"/>
    <n v="22"/>
    <x v="1"/>
  </r>
  <r>
    <d v="2024-06-27T00:00:00"/>
    <s v="Adult"/>
    <x v="27"/>
    <n v="649"/>
    <n v="269"/>
    <n v="7"/>
    <n v="0"/>
    <n v="925"/>
    <x v="1"/>
    <n v="7"/>
    <x v="1"/>
  </r>
  <r>
    <d v="2024-06-27T00:00:00"/>
    <s v="Adult"/>
    <x v="21"/>
    <n v="361"/>
    <n v="136"/>
    <n v="39"/>
    <n v="0"/>
    <n v="536"/>
    <x v="1"/>
    <n v="39"/>
    <x v="1"/>
  </r>
  <r>
    <d v="2024-06-27T00:00:00"/>
    <s v="Adult"/>
    <x v="1"/>
    <n v="467"/>
    <n v="148"/>
    <n v="14"/>
    <n v="0"/>
    <n v="629"/>
    <x v="1"/>
    <n v="14"/>
    <x v="1"/>
  </r>
  <r>
    <d v="2024-06-27T00:00:00"/>
    <s v="Child"/>
    <x v="23"/>
    <n v="14"/>
    <n v="1"/>
    <n v="1"/>
    <n v="0"/>
    <n v="17"/>
    <x v="1"/>
    <n v="1"/>
    <x v="1"/>
  </r>
  <r>
    <d v="2024-06-27T00:00:00"/>
    <s v="Child"/>
    <x v="13"/>
    <n v="6"/>
    <n v="3"/>
    <n v="1"/>
    <n v="0"/>
    <n v="10"/>
    <x v="1"/>
    <n v="1"/>
    <x v="1"/>
  </r>
  <r>
    <d v="2024-06-27T00:00:00"/>
    <s v="Child"/>
    <x v="2"/>
    <n v="36"/>
    <n v="23"/>
    <n v="3"/>
    <n v="0"/>
    <n v="62"/>
    <x v="1"/>
    <n v="3"/>
    <x v="1"/>
  </r>
  <r>
    <d v="2024-06-27T00:00:00"/>
    <s v="Child"/>
    <x v="29"/>
    <n v="67"/>
    <n v="49"/>
    <n v="11"/>
    <n v="0"/>
    <n v="127"/>
    <x v="1"/>
    <n v="11"/>
    <x v="1"/>
  </r>
  <r>
    <d v="2024-06-27T00:00:00"/>
    <s v="Child"/>
    <x v="24"/>
    <n v="17"/>
    <n v="3"/>
    <n v="1"/>
    <n v="0"/>
    <n v="21"/>
    <x v="1"/>
    <n v="1"/>
    <x v="1"/>
  </r>
  <r>
    <d v="2024-07-25T00:00:00"/>
    <s v="Adult"/>
    <x v="13"/>
    <n v="591"/>
    <n v="113"/>
    <n v="5"/>
    <n v="0"/>
    <n v="709"/>
    <x v="16"/>
    <n v="5"/>
    <x v="1"/>
  </r>
  <r>
    <d v="2024-07-25T00:00:00"/>
    <s v="Adult"/>
    <x v="26"/>
    <n v="537"/>
    <n v="177"/>
    <n v="21"/>
    <n v="0"/>
    <n v="734"/>
    <x v="16"/>
    <n v="21"/>
    <x v="1"/>
  </r>
  <r>
    <d v="2024-07-25T00:00:00"/>
    <s v="Adult"/>
    <x v="18"/>
    <n v="907"/>
    <n v="169"/>
    <n v="28"/>
    <n v="0"/>
    <n v="1104"/>
    <x v="16"/>
    <n v="28"/>
    <x v="1"/>
  </r>
  <r>
    <d v="2024-07-25T00:00:00"/>
    <s v="Adult"/>
    <x v="27"/>
    <n v="485"/>
    <n v="244"/>
    <n v="10"/>
    <n v="0"/>
    <n v="739"/>
    <x v="16"/>
    <n v="10"/>
    <x v="1"/>
  </r>
  <r>
    <d v="2024-07-25T00:00:00"/>
    <s v="Adult"/>
    <x v="21"/>
    <n v="331"/>
    <n v="110"/>
    <n v="50"/>
    <n v="0"/>
    <n v="491"/>
    <x v="16"/>
    <n v="50"/>
    <x v="1"/>
  </r>
  <r>
    <d v="2024-07-25T00:00:00"/>
    <s v="Adult"/>
    <x v="1"/>
    <n v="424"/>
    <n v="153"/>
    <n v="10"/>
    <n v="0"/>
    <n v="587"/>
    <x v="16"/>
    <n v="10"/>
    <x v="1"/>
  </r>
  <r>
    <d v="2024-07-25T00:00:00"/>
    <s v="Child"/>
    <x v="27"/>
    <n v="57"/>
    <n v="43"/>
    <n v="6"/>
    <n v="0"/>
    <n v="106"/>
    <x v="16"/>
    <n v="6"/>
    <x v="1"/>
  </r>
  <r>
    <d v="2024-07-25T00:00:00"/>
    <s v="Child"/>
    <x v="34"/>
    <n v="217"/>
    <n v="190"/>
    <n v="67"/>
    <n v="0"/>
    <n v="474"/>
    <x v="16"/>
    <n v="67"/>
    <x v="1"/>
  </r>
  <r>
    <d v="2024-07-25T00:00:00"/>
    <s v="Child"/>
    <x v="24"/>
    <n v="18"/>
    <n v="0"/>
    <n v="1"/>
    <n v="0"/>
    <n v="19"/>
    <x v="16"/>
    <n v="1"/>
    <x v="1"/>
  </r>
  <r>
    <d v="2024-08-29T00:00:00"/>
    <s v="Adult"/>
    <x v="13"/>
    <n v="572"/>
    <n v="164"/>
    <n v="12"/>
    <n v="0"/>
    <n v="748"/>
    <x v="2"/>
    <n v="12"/>
    <x v="1"/>
  </r>
  <r>
    <d v="2024-08-29T00:00:00"/>
    <s v="Adult"/>
    <x v="26"/>
    <n v="560"/>
    <n v="189"/>
    <n v="30"/>
    <n v="0"/>
    <n v="779"/>
    <x v="2"/>
    <n v="30"/>
    <x v="1"/>
  </r>
  <r>
    <d v="2024-08-29T00:00:00"/>
    <s v="Adult"/>
    <x v="18"/>
    <n v="912"/>
    <n v="164"/>
    <n v="20"/>
    <n v="0"/>
    <n v="1095"/>
    <x v="2"/>
    <n v="20"/>
    <x v="1"/>
  </r>
  <r>
    <d v="2024-08-29T00:00:00"/>
    <s v="Adult"/>
    <x v="15"/>
    <n v="174"/>
    <n v="48"/>
    <n v="8"/>
    <n v="0"/>
    <n v="230"/>
    <x v="2"/>
    <n v="8"/>
    <x v="1"/>
  </r>
  <r>
    <d v="2024-08-29T00:00:00"/>
    <s v="Adult"/>
    <x v="27"/>
    <n v="480"/>
    <n v="234"/>
    <n v="19"/>
    <n v="0"/>
    <n v="733"/>
    <x v="2"/>
    <n v="19"/>
    <x v="1"/>
  </r>
  <r>
    <d v="2024-08-29T00:00:00"/>
    <s v="Adult"/>
    <x v="21"/>
    <n v="329"/>
    <n v="111"/>
    <n v="55"/>
    <n v="0"/>
    <n v="495"/>
    <x v="2"/>
    <n v="55"/>
    <x v="1"/>
  </r>
  <r>
    <d v="2024-08-29T00:00:00"/>
    <s v="Adult"/>
    <x v="1"/>
    <n v="512"/>
    <n v="157"/>
    <n v="12"/>
    <n v="0"/>
    <n v="681"/>
    <x v="2"/>
    <n v="12"/>
    <x v="1"/>
  </r>
  <r>
    <d v="2024-08-29T00:00:00"/>
    <s v="Child"/>
    <x v="27"/>
    <n v="46"/>
    <n v="47"/>
    <n v="8"/>
    <n v="0"/>
    <n v="101"/>
    <x v="2"/>
    <n v="8"/>
    <x v="1"/>
  </r>
  <r>
    <d v="2024-08-29T00:00:00"/>
    <s v="Child"/>
    <x v="35"/>
    <n v="101"/>
    <n v="10"/>
    <n v="5"/>
    <n v="0"/>
    <n v="116"/>
    <x v="2"/>
    <n v="5"/>
    <x v="1"/>
  </r>
  <r>
    <d v="2024-09-26T00:00:00"/>
    <s v="Adult"/>
    <x v="26"/>
    <n v="463"/>
    <n v="147"/>
    <n v="33"/>
    <n v="0"/>
    <n v="644"/>
    <x v="17"/>
    <n v="33"/>
    <x v="1"/>
  </r>
  <r>
    <d v="2024-09-26T00:00:00"/>
    <s v="Adult"/>
    <x v="18"/>
    <n v="982"/>
    <n v="172"/>
    <n v="8"/>
    <n v="0"/>
    <n v="1162"/>
    <x v="17"/>
    <n v="8"/>
    <x v="1"/>
  </r>
  <r>
    <d v="2024-09-26T00:00:00"/>
    <s v="Adult"/>
    <x v="15"/>
    <n v="171"/>
    <n v="36"/>
    <n v="8"/>
    <n v="0"/>
    <n v="215"/>
    <x v="17"/>
    <n v="8"/>
    <x v="1"/>
  </r>
  <r>
    <d v="2024-09-26T00:00:00"/>
    <s v="Adult"/>
    <x v="27"/>
    <n v="486"/>
    <n v="195"/>
    <n v="31"/>
    <n v="0"/>
    <n v="713"/>
    <x v="17"/>
    <n v="31"/>
    <x v="1"/>
  </r>
  <r>
    <d v="2024-09-26T00:00:00"/>
    <s v="Adult"/>
    <x v="21"/>
    <n v="389"/>
    <n v="114"/>
    <n v="64"/>
    <n v="0"/>
    <n v="567"/>
    <x v="17"/>
    <n v="64"/>
    <x v="1"/>
  </r>
  <r>
    <d v="2024-09-26T00:00:00"/>
    <s v="Adult"/>
    <x v="1"/>
    <n v="503"/>
    <n v="149"/>
    <n v="10"/>
    <n v="0"/>
    <n v="662"/>
    <x v="17"/>
    <n v="10"/>
    <x v="1"/>
  </r>
  <r>
    <d v="2024-09-26T00:00:00"/>
    <s v="Child"/>
    <x v="29"/>
    <n v="39"/>
    <n v="25"/>
    <n v="1"/>
    <n v="0"/>
    <n v="65"/>
    <x v="17"/>
    <n v="1"/>
    <x v="1"/>
  </r>
  <r>
    <d v="2024-09-26T00:00:00"/>
    <s v="Child"/>
    <x v="27"/>
    <n v="52"/>
    <n v="47"/>
    <n v="5"/>
    <n v="0"/>
    <n v="104"/>
    <x v="17"/>
    <n v="5"/>
    <x v="1"/>
  </r>
  <r>
    <d v="2024-09-26T00:00:00"/>
    <s v="Child"/>
    <x v="35"/>
    <n v="97"/>
    <n v="9"/>
    <n v="7"/>
    <n v="0"/>
    <n v="113"/>
    <x v="17"/>
    <n v="7"/>
    <x v="1"/>
  </r>
  <r>
    <d v="2024-10-31T00:00:00"/>
    <s v="Adult"/>
    <x v="18"/>
    <n v="1101"/>
    <n v="169"/>
    <n v="3"/>
    <n v="0"/>
    <n v="1272"/>
    <x v="34"/>
    <n v="3"/>
    <x v="1"/>
  </r>
  <r>
    <d v="2024-10-31T00:00:00"/>
    <s v="Adult"/>
    <x v="15"/>
    <n v="234"/>
    <n v="35"/>
    <n v="19"/>
    <n v="0"/>
    <n v="287"/>
    <x v="34"/>
    <n v="19"/>
    <x v="1"/>
  </r>
  <r>
    <d v="2024-10-31T00:00:00"/>
    <s v="Adult"/>
    <x v="1"/>
    <n v="490"/>
    <n v="132"/>
    <n v="16"/>
    <n v="0"/>
    <n v="638"/>
    <x v="34"/>
    <n v="16"/>
    <x v="1"/>
  </r>
  <r>
    <d v="2024-10-31T00:00:00"/>
    <s v="Adult"/>
    <x v="19"/>
    <n v="246"/>
    <n v="32"/>
    <n v="3"/>
    <n v="0"/>
    <n v="281"/>
    <x v="34"/>
    <n v="3"/>
    <x v="1"/>
  </r>
  <r>
    <d v="2024-10-31T00:00:00"/>
    <s v="Child"/>
    <x v="29"/>
    <n v="38"/>
    <n v="23"/>
    <n v="3"/>
    <n v="0"/>
    <n v="64"/>
    <x v="34"/>
    <n v="3"/>
    <x v="1"/>
  </r>
  <r>
    <d v="2024-11-28T00:00:00"/>
    <s v="Adult"/>
    <x v="9"/>
    <n v="146"/>
    <n v="28"/>
    <n v="11"/>
    <n v="0"/>
    <n v="184"/>
    <x v="3"/>
    <n v="11"/>
    <x v="1"/>
  </r>
  <r>
    <d v="2024-11-28T00:00:00"/>
    <s v="Adult"/>
    <x v="6"/>
    <n v="479"/>
    <n v="99"/>
    <n v="8"/>
    <n v="0"/>
    <n v="586"/>
    <x v="3"/>
    <n v="8"/>
    <x v="1"/>
  </r>
  <r>
    <d v="2024-11-28T00:00:00"/>
    <s v="Adult"/>
    <x v="13"/>
    <n v="518"/>
    <n v="155"/>
    <n v="8"/>
    <n v="0"/>
    <n v="681"/>
    <x v="3"/>
    <n v="8"/>
    <x v="1"/>
  </r>
  <r>
    <d v="2024-11-28T00:00:00"/>
    <s v="Adult"/>
    <x v="18"/>
    <n v="1061"/>
    <n v="190"/>
    <n v="3"/>
    <n v="0"/>
    <n v="1254"/>
    <x v="3"/>
    <n v="3"/>
    <x v="1"/>
  </r>
  <r>
    <d v="2024-11-28T00:00:00"/>
    <s v="Adult"/>
    <x v="15"/>
    <n v="241"/>
    <n v="25"/>
    <n v="10"/>
    <n v="0"/>
    <n v="276"/>
    <x v="3"/>
    <n v="10"/>
    <x v="1"/>
  </r>
  <r>
    <d v="2024-11-28T00:00:00"/>
    <s v="Adult"/>
    <x v="1"/>
    <n v="539"/>
    <n v="133"/>
    <n v="10"/>
    <n v="0"/>
    <n v="682"/>
    <x v="3"/>
    <n v="10"/>
    <x v="1"/>
  </r>
  <r>
    <d v="2024-11-28T00:00:00"/>
    <s v="Adult"/>
    <x v="8"/>
    <n v="326"/>
    <n v="30"/>
    <n v="3"/>
    <n v="0"/>
    <n v="358"/>
    <x v="3"/>
    <n v="3"/>
    <x v="1"/>
  </r>
  <r>
    <d v="2024-11-28T00:00:00"/>
    <s v="Child"/>
    <x v="29"/>
    <n v="37"/>
    <n v="13"/>
    <n v="3"/>
    <n v="0"/>
    <n v="52"/>
    <x v="3"/>
    <n v="3"/>
    <x v="1"/>
  </r>
  <r>
    <d v="2024-11-28T00:00:00"/>
    <s v="Child"/>
    <x v="27"/>
    <n v="61"/>
    <n v="34"/>
    <n v="14"/>
    <n v="0"/>
    <n v="108"/>
    <x v="3"/>
    <n v="14"/>
    <x v="1"/>
  </r>
  <r>
    <d v="2024-11-28T00:00:00"/>
    <s v="Child"/>
    <x v="12"/>
    <n v="0"/>
    <n v="0"/>
    <n v="1"/>
    <n v="0"/>
    <n v="1"/>
    <x v="3"/>
    <n v="1"/>
    <x v="1"/>
  </r>
  <r>
    <d v="2024-12-19T00:00:00"/>
    <s v="Adult"/>
    <x v="6"/>
    <n v="607"/>
    <n v="83"/>
    <n v="3"/>
    <n v="0"/>
    <n v="693"/>
    <x v="4"/>
    <n v="3"/>
    <x v="1"/>
  </r>
  <r>
    <d v="2024-12-19T00:00:00"/>
    <s v="Adult"/>
    <x v="26"/>
    <n v="620"/>
    <n v="96"/>
    <n v="44"/>
    <n v="0"/>
    <n v="760"/>
    <x v="4"/>
    <n v="44"/>
    <x v="1"/>
  </r>
  <r>
    <d v="2024-12-19T00:00:00"/>
    <s v="Adult"/>
    <x v="27"/>
    <n v="617"/>
    <n v="220"/>
    <n v="43"/>
    <n v="0"/>
    <n v="880"/>
    <x v="4"/>
    <n v="43"/>
    <x v="1"/>
  </r>
  <r>
    <d v="2024-12-19T00:00:00"/>
    <s v="Adult"/>
    <x v="1"/>
    <n v="519"/>
    <n v="141"/>
    <n v="6"/>
    <n v="0"/>
    <n v="666"/>
    <x v="4"/>
    <n v="6"/>
    <x v="1"/>
  </r>
  <r>
    <d v="2024-12-19T00:00:00"/>
    <s v="Adult"/>
    <x v="8"/>
    <n v="314"/>
    <n v="34"/>
    <n v="3"/>
    <n v="0"/>
    <n v="351"/>
    <x v="4"/>
    <n v="3"/>
    <x v="1"/>
  </r>
  <r>
    <d v="2024-12-19T00:00:00"/>
    <s v="Child"/>
    <x v="27"/>
    <n v="54"/>
    <n v="21"/>
    <n v="28"/>
    <n v="0"/>
    <n v="103"/>
    <x v="4"/>
    <n v="28"/>
    <x v="1"/>
  </r>
  <r>
    <d v="2025-01-30T00:00:00"/>
    <s v="Adult"/>
    <x v="13"/>
    <n v="465"/>
    <n v="112"/>
    <n v="9"/>
    <n v="0"/>
    <n v="586"/>
    <x v="18"/>
    <n v="9"/>
    <x v="1"/>
  </r>
  <r>
    <d v="2025-01-30T00:00:00"/>
    <s v="Adult"/>
    <x v="18"/>
    <n v="1240"/>
    <n v="359"/>
    <n v="13"/>
    <n v="0"/>
    <n v="1613"/>
    <x v="18"/>
    <n v="13"/>
    <x v="1"/>
  </r>
  <r>
    <d v="2025-01-30T00:00:00"/>
    <s v="Adult"/>
    <x v="11"/>
    <n v="897"/>
    <n v="463"/>
    <n v="18"/>
    <n v="0"/>
    <n v="1378"/>
    <x v="18"/>
    <n v="18"/>
    <x v="1"/>
  </r>
  <r>
    <d v="2025-01-30T00:00:00"/>
    <s v="Adult"/>
    <x v="1"/>
    <n v="576"/>
    <n v="158"/>
    <n v="12"/>
    <n v="0"/>
    <n v="746"/>
    <x v="18"/>
    <n v="12"/>
    <x v="1"/>
  </r>
  <r>
    <d v="2025-01-30T00:00:00"/>
    <s v="Adult"/>
    <x v="8"/>
    <n v="324"/>
    <n v="45"/>
    <n v="9"/>
    <n v="0"/>
    <n v="377"/>
    <x v="18"/>
    <n v="9"/>
    <x v="1"/>
  </r>
  <r>
    <d v="2025-01-30T00:00:00"/>
    <s v="Child"/>
    <x v="29"/>
    <n v="29"/>
    <n v="7"/>
    <n v="3"/>
    <n v="0"/>
    <n v="39"/>
    <x v="18"/>
    <n v="3"/>
    <x v="1"/>
  </r>
  <r>
    <d v="2025-02-27T00:00:00"/>
    <s v="Adult"/>
    <x v="13"/>
    <n v="503"/>
    <n v="111"/>
    <n v="12"/>
    <n v="0"/>
    <n v="626"/>
    <x v="35"/>
    <n v="12"/>
    <x v="1"/>
  </r>
  <r>
    <d v="2025-02-27T00:00:00"/>
    <s v="Adult"/>
    <x v="29"/>
    <n v="1625"/>
    <n v="357"/>
    <n v="33"/>
    <n v="0"/>
    <n v="2015"/>
    <x v="35"/>
    <n v="33"/>
    <x v="1"/>
  </r>
  <r>
    <d v="2025-02-27T00:00:00"/>
    <s v="Adult"/>
    <x v="8"/>
    <n v="395"/>
    <n v="48"/>
    <n v="12"/>
    <n v="0"/>
    <n v="455"/>
    <x v="35"/>
    <n v="12"/>
    <x v="1"/>
  </r>
  <r>
    <d v="2025-02-27T00:00:00"/>
    <s v="Child"/>
    <x v="29"/>
    <n v="31"/>
    <n v="4"/>
    <n v="7"/>
    <n v="0"/>
    <n v="42"/>
    <x v="35"/>
    <n v="7"/>
    <x v="1"/>
  </r>
  <r>
    <d v="2025-03-27T00:00:00"/>
    <s v="Adult"/>
    <x v="6"/>
    <n v="508"/>
    <n v="91"/>
    <n v="8"/>
    <n v="0"/>
    <n v="607"/>
    <x v="19"/>
    <n v="8"/>
    <x v="1"/>
  </r>
  <r>
    <d v="2025-03-27T00:00:00"/>
    <s v="Adult"/>
    <x v="13"/>
    <n v="475"/>
    <n v="136"/>
    <n v="20"/>
    <n v="0"/>
    <n v="631"/>
    <x v="19"/>
    <n v="20"/>
    <x v="1"/>
  </r>
  <r>
    <d v="2025-03-27T00:00:00"/>
    <s v="Adult"/>
    <x v="11"/>
    <n v="832"/>
    <n v="474"/>
    <n v="45"/>
    <n v="0"/>
    <n v="1350"/>
    <x v="19"/>
    <n v="45"/>
    <x v="1"/>
  </r>
  <r>
    <d v="2025-03-27T00:00:00"/>
    <s v="Adult"/>
    <x v="8"/>
    <n v="350"/>
    <n v="52"/>
    <n v="7"/>
    <n v="0"/>
    <n v="409"/>
    <x v="19"/>
    <n v="7"/>
    <x v="1"/>
  </r>
  <r>
    <d v="2025-03-27T00:00:00"/>
    <s v="Child"/>
    <x v="29"/>
    <n v="34"/>
    <n v="7"/>
    <n v="8"/>
    <n v="0"/>
    <n v="49"/>
    <x v="19"/>
    <n v="8"/>
    <x v="1"/>
  </r>
  <r>
    <d v="2025-03-27T00:00:00"/>
    <s v="Child"/>
    <x v="27"/>
    <n v="37"/>
    <n v="27"/>
    <n v="23"/>
    <n v="0"/>
    <n v="87"/>
    <x v="19"/>
    <n v="23"/>
    <x v="1"/>
  </r>
  <r>
    <d v="2025-04-24T00:00:00"/>
    <s v="Adult"/>
    <x v="9"/>
    <n v="122"/>
    <n v="38"/>
    <n v="1"/>
    <n v="0"/>
    <n v="161"/>
    <x v="5"/>
    <n v="1"/>
    <x v="1"/>
  </r>
  <r>
    <d v="2025-04-24T00:00:00"/>
    <s v="Adult"/>
    <x v="6"/>
    <n v="545"/>
    <n v="100"/>
    <n v="11"/>
    <n v="0"/>
    <n v="656"/>
    <x v="5"/>
    <n v="11"/>
    <x v="1"/>
  </r>
  <r>
    <d v="2025-04-24T00:00:00"/>
    <s v="Adult"/>
    <x v="31"/>
    <n v="562"/>
    <n v="202"/>
    <n v="3"/>
    <n v="0"/>
    <n v="767"/>
    <x v="5"/>
    <n v="3"/>
    <x v="1"/>
  </r>
  <r>
    <d v="2025-04-24T00:00:00"/>
    <s v="Child"/>
    <x v="29"/>
    <n v="63"/>
    <n v="8"/>
    <n v="5"/>
    <n v="0"/>
    <n v="75"/>
    <x v="5"/>
    <n v="5"/>
    <x v="1"/>
  </r>
  <r>
    <d v="2025-04-24T00:00:00"/>
    <s v="Child"/>
    <x v="27"/>
    <n v="54"/>
    <n v="24"/>
    <n v="23"/>
    <n v="0"/>
    <n v="100"/>
    <x v="5"/>
    <n v="23"/>
    <x v="1"/>
  </r>
  <r>
    <d v="2025-05-29T00:00:00"/>
    <s v="Adult"/>
    <x v="9"/>
    <n v="115"/>
    <n v="38"/>
    <n v="3"/>
    <n v="0"/>
    <n v="155"/>
    <x v="20"/>
    <n v="3"/>
    <x v="1"/>
  </r>
  <r>
    <d v="2025-05-29T00:00:00"/>
    <s v="Adult"/>
    <x v="0"/>
    <n v="719"/>
    <n v="113"/>
    <n v="7"/>
    <n v="0"/>
    <n v="839"/>
    <x v="20"/>
    <n v="7"/>
    <x v="1"/>
  </r>
  <r>
    <d v="2025-05-29T00:00:00"/>
    <s v="Adult"/>
    <x v="8"/>
    <n v="401"/>
    <n v="37"/>
    <n v="15"/>
    <n v="0"/>
    <n v="452"/>
    <x v="20"/>
    <n v="15"/>
    <x v="1"/>
  </r>
  <r>
    <d v="2025-05-29T00:00:00"/>
    <s v="Child"/>
    <x v="27"/>
    <n v="52"/>
    <n v="26"/>
    <n v="24"/>
    <n v="0"/>
    <n v="102"/>
    <x v="20"/>
    <n v="24"/>
    <x v="1"/>
  </r>
  <r>
    <d v="2025-06-26T00:00:00"/>
    <s v="Adult"/>
    <x v="9"/>
    <n v="115"/>
    <n v="31"/>
    <n v="3"/>
    <n v="0"/>
    <n v="149"/>
    <x v="21"/>
    <n v="3"/>
    <x v="1"/>
  </r>
  <r>
    <d v="2025-06-26T00:00:00"/>
    <s v="Adult"/>
    <x v="13"/>
    <n v="484"/>
    <n v="145"/>
    <n v="40"/>
    <n v="0"/>
    <n v="668"/>
    <x v="21"/>
    <n v="40"/>
    <x v="1"/>
  </r>
  <r>
    <d v="2025-06-26T00:00:00"/>
    <s v="Adult"/>
    <x v="31"/>
    <n v="556"/>
    <n v="213"/>
    <n v="3"/>
    <n v="0"/>
    <n v="772"/>
    <x v="21"/>
    <n v="3"/>
    <x v="1"/>
  </r>
  <r>
    <d v="2025-06-26T00:00:00"/>
    <s v="Adult"/>
    <x v="26"/>
    <n v="487"/>
    <n v="62"/>
    <n v="15"/>
    <n v="0"/>
    <n v="565"/>
    <x v="21"/>
    <n v="15"/>
    <x v="1"/>
  </r>
  <r>
    <d v="2025-06-26T00:00:00"/>
    <s v="Adult"/>
    <x v="15"/>
    <n v="188"/>
    <n v="66"/>
    <n v="5"/>
    <n v="0"/>
    <n v="259"/>
    <x v="21"/>
    <n v="5"/>
    <x v="1"/>
  </r>
  <r>
    <d v="2025-06-26T00:00:00"/>
    <s v="Adult"/>
    <x v="19"/>
    <n v="249"/>
    <n v="44"/>
    <n v="1"/>
    <n v="0"/>
    <n v="295"/>
    <x v="21"/>
    <n v="1"/>
    <x v="1"/>
  </r>
  <r>
    <d v="2025-07-31T00:00:00"/>
    <s v="Adult"/>
    <x v="30"/>
    <n v="1311"/>
    <n v="108"/>
    <n v="11"/>
    <n v="0"/>
    <n v="1429"/>
    <x v="22"/>
    <n v="11"/>
    <x v="1"/>
  </r>
  <r>
    <d v="2025-07-31T00:00:00"/>
    <s v="Adult"/>
    <x v="9"/>
    <n v="100"/>
    <n v="20"/>
    <n v="3"/>
    <n v="0"/>
    <n v="123"/>
    <x v="22"/>
    <n v="3"/>
    <x v="1"/>
  </r>
  <r>
    <d v="2025-07-31T00:00:00"/>
    <s v="Adult"/>
    <x v="13"/>
    <n v="475"/>
    <n v="107"/>
    <n v="10"/>
    <n v="0"/>
    <n v="591"/>
    <x v="22"/>
    <n v="10"/>
    <x v="1"/>
  </r>
  <r>
    <d v="2025-07-31T00:00:00"/>
    <s v="Adult"/>
    <x v="15"/>
    <n v="190"/>
    <n v="54"/>
    <n v="6"/>
    <n v="0"/>
    <n v="250"/>
    <x v="22"/>
    <n v="6"/>
    <x v="1"/>
  </r>
  <r>
    <d v="2025-07-31T00:00:00"/>
    <s v="Adult"/>
    <x v="0"/>
    <n v="697"/>
    <n v="86"/>
    <n v="15"/>
    <n v="0"/>
    <n v="797"/>
    <x v="22"/>
    <n v="15"/>
    <x v="1"/>
  </r>
  <r>
    <d v="2025-07-31T00:00:00"/>
    <s v="Adult"/>
    <x v="8"/>
    <n v="414"/>
    <n v="37"/>
    <n v="18"/>
    <n v="0"/>
    <n v="469"/>
    <x v="22"/>
    <n v="18"/>
    <x v="1"/>
  </r>
  <r>
    <d v="2025-07-31T00:00:00"/>
    <s v="Child"/>
    <x v="26"/>
    <n v="24"/>
    <n v="8"/>
    <n v="1"/>
    <n v="0"/>
    <n v="33"/>
    <x v="22"/>
    <n v="1"/>
    <x v="1"/>
  </r>
  <r>
    <d v="2025-08-28T00:00:00"/>
    <s v="Adult"/>
    <x v="30"/>
    <n v="1197"/>
    <n v="140"/>
    <n v="15"/>
    <n v="0"/>
    <n v="1352"/>
    <x v="23"/>
    <n v="15"/>
    <x v="1"/>
  </r>
  <r>
    <d v="2025-08-28T00:00:00"/>
    <s v="Adult"/>
    <x v="15"/>
    <n v="182"/>
    <n v="68"/>
    <n v="8"/>
    <n v="0"/>
    <n v="258"/>
    <x v="23"/>
    <n v="8"/>
    <x v="1"/>
  </r>
  <r>
    <d v="2025-09-25T00:00:00"/>
    <s v="Adult"/>
    <x v="30"/>
    <n v="1353"/>
    <n v="215"/>
    <n v="23"/>
    <n v="0"/>
    <n v="1591"/>
    <x v="24"/>
    <n v="23"/>
    <x v="1"/>
  </r>
  <r>
    <d v="2025-09-25T00:00:00"/>
    <s v="Adult"/>
    <x v="13"/>
    <n v="430"/>
    <n v="116"/>
    <n v="3"/>
    <n v="0"/>
    <n v="550"/>
    <x v="24"/>
    <n v="3"/>
    <x v="1"/>
  </r>
  <r>
    <d v="2025-09-25T00:00:00"/>
    <s v="Adult"/>
    <x v="31"/>
    <n v="536"/>
    <n v="208"/>
    <n v="21"/>
    <n v="0"/>
    <n v="765"/>
    <x v="24"/>
    <n v="21"/>
    <x v="1"/>
  </r>
  <r>
    <d v="2025-09-25T00:00:00"/>
    <s v="Adult"/>
    <x v="1"/>
    <n v="584"/>
    <n v="263"/>
    <n v="1"/>
    <n v="0"/>
    <n v="848"/>
    <x v="24"/>
    <n v="1"/>
    <x v="1"/>
  </r>
  <r>
    <d v="2025-09-25T00:00:00"/>
    <s v="Adult"/>
    <x v="8"/>
    <n v="398"/>
    <n v="37"/>
    <n v="11"/>
    <n v="0"/>
    <n v="445"/>
    <x v="24"/>
    <n v="11"/>
    <x v="1"/>
  </r>
  <r>
    <d v="2025-10-30T00:00:00"/>
    <s v="Adult"/>
    <x v="30"/>
    <n v="1609"/>
    <n v="187"/>
    <n v="40"/>
    <n v="0"/>
    <n v="1836"/>
    <x v="25"/>
    <n v="40"/>
    <x v="1"/>
  </r>
  <r>
    <d v="2025-10-30T00:00:00"/>
    <s v="Adult"/>
    <x v="13"/>
    <n v="339"/>
    <n v="61"/>
    <n v="6"/>
    <n v="0"/>
    <n v="406"/>
    <x v="25"/>
    <n v="6"/>
    <x v="1"/>
  </r>
  <r>
    <d v="2025-10-30T00:00:00"/>
    <s v="Adult"/>
    <x v="31"/>
    <n v="576"/>
    <n v="201"/>
    <n v="49"/>
    <n v="0"/>
    <n v="826"/>
    <x v="25"/>
    <n v="49"/>
    <x v="1"/>
  </r>
  <r>
    <d v="2025-10-30T00:00:00"/>
    <s v="Adult"/>
    <x v="26"/>
    <n v="508"/>
    <n v="54"/>
    <n v="5"/>
    <n v="0"/>
    <n v="568"/>
    <x v="25"/>
    <n v="5"/>
    <x v="1"/>
  </r>
  <r>
    <d v="2025-10-30T00:00:00"/>
    <s v="Adult"/>
    <x v="15"/>
    <n v="199"/>
    <n v="54"/>
    <n v="14"/>
    <n v="0"/>
    <n v="267"/>
    <x v="25"/>
    <n v="14"/>
    <x v="1"/>
  </r>
  <r>
    <d v="2025-10-30T00:00:00"/>
    <s v="Adult"/>
    <x v="8"/>
    <n v="371"/>
    <n v="36"/>
    <n v="5"/>
    <n v="0"/>
    <n v="412"/>
    <x v="25"/>
    <n v="5"/>
    <x v="1"/>
  </r>
  <r>
    <d v="2025-11-27T00:00:00"/>
    <s v="Adult"/>
    <x v="30"/>
    <n v="1644"/>
    <n v="224"/>
    <n v="31"/>
    <n v="0"/>
    <n v="1899"/>
    <x v="26"/>
    <n v="31"/>
    <x v="1"/>
  </r>
  <r>
    <d v="2025-11-27T00:00:00"/>
    <s v="Adult"/>
    <x v="9"/>
    <n v="75"/>
    <n v="18"/>
    <n v="1"/>
    <n v="0"/>
    <n v="94"/>
    <x v="26"/>
    <n v="1"/>
    <x v="1"/>
  </r>
  <r>
    <d v="2025-11-27T00:00:00"/>
    <s v="Adult"/>
    <x v="3"/>
    <n v="585"/>
    <n v="285"/>
    <n v="5"/>
    <n v="0"/>
    <n v="875"/>
    <x v="26"/>
    <n v="5"/>
    <x v="1"/>
  </r>
  <r>
    <d v="2025-11-27T00:00:00"/>
    <s v="Adult"/>
    <x v="13"/>
    <n v="337"/>
    <n v="73"/>
    <n v="12"/>
    <n v="0"/>
    <n v="422"/>
    <x v="26"/>
    <n v="12"/>
    <x v="1"/>
  </r>
  <r>
    <d v="2025-11-27T00:00:00"/>
    <s v="Adult"/>
    <x v="31"/>
    <n v="599"/>
    <n v="193"/>
    <n v="22"/>
    <n v="0"/>
    <n v="814"/>
    <x v="26"/>
    <n v="22"/>
    <x v="1"/>
  </r>
  <r>
    <d v="2025-11-27T00:00:00"/>
    <s v="Adult"/>
    <x v="26"/>
    <n v="432"/>
    <n v="70"/>
    <n v="3"/>
    <n v="0"/>
    <n v="505"/>
    <x v="26"/>
    <n v="3"/>
    <x v="1"/>
  </r>
  <r>
    <d v="2025-11-27T00:00:00"/>
    <s v="Adult"/>
    <x v="15"/>
    <n v="197"/>
    <n v="59"/>
    <n v="18"/>
    <n v="0"/>
    <n v="274"/>
    <x v="26"/>
    <n v="18"/>
    <x v="1"/>
  </r>
  <r>
    <d v="2025-11-27T00:00:00"/>
    <s v="Adult"/>
    <x v="1"/>
    <n v="555"/>
    <n v="223"/>
    <n v="3"/>
    <n v="0"/>
    <n v="781"/>
    <x v="26"/>
    <n v="3"/>
    <x v="1"/>
  </r>
  <r>
    <d v="2025-11-27T00:00:00"/>
    <s v="Adult"/>
    <x v="8"/>
    <n v="407"/>
    <n v="33"/>
    <n v="6"/>
    <n v="0"/>
    <n v="447"/>
    <x v="26"/>
    <n v="6"/>
    <x v="1"/>
  </r>
  <r>
    <d v="2025-11-27T00:00:00"/>
    <s v="Adult"/>
    <x v="19"/>
    <n v="375"/>
    <n v="51"/>
    <n v="6"/>
    <n v="0"/>
    <n v="432"/>
    <x v="26"/>
    <n v="6"/>
    <x v="1"/>
  </r>
  <r>
    <d v="2025-11-27T00:00:00"/>
    <s v="Child"/>
    <x v="32"/>
    <n v="35"/>
    <n v="4"/>
    <n v="3"/>
    <n v="0"/>
    <n v="42"/>
    <x v="26"/>
    <n v="3"/>
    <x v="1"/>
  </r>
  <r>
    <d v="2025-11-27T00:00:00"/>
    <s v="Child"/>
    <x v="19"/>
    <n v="8"/>
    <n v="0"/>
    <n v="1"/>
    <n v="0"/>
    <n v="9"/>
    <x v="26"/>
    <n v="1"/>
    <x v="1"/>
  </r>
  <r>
    <d v="2025-12-18T00:00:00"/>
    <s v="Adult"/>
    <x v="30"/>
    <n v="1767"/>
    <n v="251"/>
    <n v="25"/>
    <n v="0"/>
    <n v="2043"/>
    <x v="27"/>
    <n v="25"/>
    <x v="1"/>
  </r>
  <r>
    <d v="2025-12-18T00:00:00"/>
    <s v="Adult"/>
    <x v="3"/>
    <n v="562"/>
    <n v="291"/>
    <n v="36"/>
    <n v="0"/>
    <n v="889"/>
    <x v="27"/>
    <n v="36"/>
    <x v="1"/>
  </r>
  <r>
    <d v="2025-12-18T00:00:00"/>
    <s v="Adult"/>
    <x v="13"/>
    <n v="353"/>
    <n v="77"/>
    <n v="5"/>
    <n v="0"/>
    <n v="435"/>
    <x v="27"/>
    <n v="5"/>
    <x v="1"/>
  </r>
  <r>
    <d v="2025-12-18T00:00:00"/>
    <s v="Adult"/>
    <x v="31"/>
    <n v="628"/>
    <n v="174"/>
    <n v="28"/>
    <n v="0"/>
    <n v="830"/>
    <x v="27"/>
    <n v="28"/>
    <x v="1"/>
  </r>
  <r>
    <d v="2025-12-18T00:00:00"/>
    <s v="Adult"/>
    <x v="15"/>
    <n v="243"/>
    <n v="57"/>
    <n v="20"/>
    <n v="0"/>
    <n v="320"/>
    <x v="27"/>
    <n v="20"/>
    <x v="1"/>
  </r>
  <r>
    <d v="2025-12-18T00:00:00"/>
    <s v="Adult"/>
    <x v="0"/>
    <n v="658"/>
    <n v="77"/>
    <n v="1"/>
    <n v="0"/>
    <n v="736"/>
    <x v="27"/>
    <n v="1"/>
    <x v="1"/>
  </r>
  <r>
    <d v="2025-12-18T00:00:00"/>
    <s v="Adult"/>
    <x v="8"/>
    <n v="413"/>
    <n v="42"/>
    <n v="3"/>
    <n v="0"/>
    <n v="458"/>
    <x v="27"/>
    <n v="3"/>
    <x v="1"/>
  </r>
  <r>
    <d v="2025-12-18T00:00:00"/>
    <s v="Adult"/>
    <x v="19"/>
    <n v="453"/>
    <n v="56"/>
    <n v="7"/>
    <n v="0"/>
    <n v="516"/>
    <x v="27"/>
    <n v="7"/>
    <x v="1"/>
  </r>
  <r>
    <d v="2026-01-29T00:00:00"/>
    <s v="Adult"/>
    <x v="3"/>
    <n v="536"/>
    <n v="308"/>
    <n v="64"/>
    <n v="0"/>
    <n v="908"/>
    <x v="6"/>
    <n v="64"/>
    <x v="1"/>
  </r>
  <r>
    <d v="2026-01-29T00:00:00"/>
    <s v="Adult"/>
    <x v="13"/>
    <n v="502"/>
    <n v="183"/>
    <n v="6"/>
    <n v="0"/>
    <n v="690"/>
    <x v="6"/>
    <n v="6"/>
    <x v="1"/>
  </r>
  <r>
    <d v="2026-01-29T00:00:00"/>
    <s v="Adult"/>
    <x v="31"/>
    <n v="549"/>
    <n v="215"/>
    <n v="18"/>
    <n v="0"/>
    <n v="782"/>
    <x v="6"/>
    <n v="18"/>
    <x v="1"/>
  </r>
  <r>
    <d v="2026-01-29T00:00:00"/>
    <s v="Adult"/>
    <x v="26"/>
    <n v="421"/>
    <n v="67"/>
    <n v="6"/>
    <n v="0"/>
    <n v="494"/>
    <x v="6"/>
    <n v="6"/>
    <x v="1"/>
  </r>
  <r>
    <d v="2026-01-29T00:00:00"/>
    <s v="Adult"/>
    <x v="15"/>
    <n v="274"/>
    <n v="66"/>
    <n v="29"/>
    <n v="0"/>
    <n v="369"/>
    <x v="6"/>
    <n v="29"/>
    <x v="1"/>
  </r>
  <r>
    <d v="2026-01-29T00:00:00"/>
    <s v="Adult"/>
    <x v="8"/>
    <n v="463"/>
    <n v="99"/>
    <n v="5"/>
    <n v="0"/>
    <n v="567"/>
    <x v="6"/>
    <n v="5"/>
    <x v="1"/>
  </r>
  <r>
    <d v="2026-01-29T00:00:00"/>
    <s v="Adult"/>
    <x v="19"/>
    <n v="535"/>
    <n v="82"/>
    <n v="9"/>
    <n v="0"/>
    <n v="626"/>
    <x v="6"/>
    <n v="9"/>
    <x v="1"/>
  </r>
  <r>
    <d v="2026-01-29T00:00:00"/>
    <s v="Child"/>
    <x v="19"/>
    <n v="12"/>
    <n v="1"/>
    <n v="1"/>
    <n v="0"/>
    <n v="15"/>
    <x v="6"/>
    <n v="1"/>
    <x v="1"/>
  </r>
  <r>
    <d v="2026-01-29T00:00:00"/>
    <s v="Child"/>
    <x v="34"/>
    <n v="205"/>
    <n v="96"/>
    <n v="23"/>
    <n v="0"/>
    <n v="324"/>
    <x v="6"/>
    <n v="23"/>
    <x v="1"/>
  </r>
  <r>
    <d v="2026-02-26T00:00:00"/>
    <s v="Adult"/>
    <x v="3"/>
    <n v="548"/>
    <n v="263"/>
    <n v="101"/>
    <n v="0"/>
    <n v="912"/>
    <x v="7"/>
    <n v="101"/>
    <x v="1"/>
  </r>
  <r>
    <d v="2026-02-26T00:00:00"/>
    <s v="Adult"/>
    <x v="31"/>
    <n v="550"/>
    <n v="204"/>
    <n v="13"/>
    <n v="0"/>
    <n v="767"/>
    <x v="7"/>
    <n v="13"/>
    <x v="1"/>
  </r>
  <r>
    <d v="2026-02-26T00:00:00"/>
    <s v="Adult"/>
    <x v="4"/>
    <n v="267"/>
    <n v="118"/>
    <n v="10"/>
    <n v="0"/>
    <n v="394"/>
    <x v="7"/>
    <n v="10"/>
    <x v="1"/>
  </r>
  <r>
    <d v="2026-02-26T00:00:00"/>
    <s v="Adult"/>
    <x v="15"/>
    <n v="317"/>
    <n v="67"/>
    <n v="26"/>
    <n v="0"/>
    <n v="410"/>
    <x v="7"/>
    <n v="26"/>
    <x v="1"/>
  </r>
  <r>
    <d v="2026-02-26T00:00:00"/>
    <s v="Adult"/>
    <x v="0"/>
    <n v="591"/>
    <n v="76"/>
    <n v="1"/>
    <n v="0"/>
    <n v="668"/>
    <x v="7"/>
    <n v="1"/>
    <x v="1"/>
  </r>
  <r>
    <d v="2026-02-26T00:00:00"/>
    <s v="Adult"/>
    <x v="19"/>
    <n v="510"/>
    <n v="82"/>
    <n v="13"/>
    <n v="0"/>
    <n v="605"/>
    <x v="7"/>
    <n v="13"/>
    <x v="1"/>
  </r>
  <r>
    <d v="2026-02-26T00:00:00"/>
    <s v="Child"/>
    <x v="34"/>
    <n v="210"/>
    <n v="84"/>
    <n v="15"/>
    <n v="0"/>
    <n v="309"/>
    <x v="7"/>
    <n v="15"/>
    <x v="1"/>
  </r>
  <r>
    <d v="2026-03-26T00:00:00"/>
    <s v="Adult"/>
    <x v="3"/>
    <n v="490"/>
    <n v="248"/>
    <n v="131"/>
    <n v="0"/>
    <n v="869"/>
    <x v="28"/>
    <n v="131"/>
    <x v="1"/>
  </r>
  <r>
    <d v="2026-03-26T00:00:00"/>
    <s v="Adult"/>
    <x v="31"/>
    <n v="527"/>
    <n v="223"/>
    <n v="22"/>
    <n v="0"/>
    <n v="772"/>
    <x v="28"/>
    <n v="22"/>
    <x v="1"/>
  </r>
  <r>
    <d v="2026-03-26T00:00:00"/>
    <s v="Adult"/>
    <x v="15"/>
    <n v="345"/>
    <n v="75"/>
    <n v="29"/>
    <n v="0"/>
    <n v="449"/>
    <x v="28"/>
    <n v="29"/>
    <x v="1"/>
  </r>
  <r>
    <d v="2026-03-26T00:00:00"/>
    <s v="Adult"/>
    <x v="8"/>
    <n v="409"/>
    <n v="87"/>
    <n v="8"/>
    <n v="0"/>
    <n v="504"/>
    <x v="28"/>
    <n v="8"/>
    <x v="1"/>
  </r>
  <r>
    <d v="2026-03-26T00:00:00"/>
    <s v="Adult"/>
    <x v="19"/>
    <n v="477"/>
    <n v="78"/>
    <n v="10"/>
    <n v="0"/>
    <n v="566"/>
    <x v="28"/>
    <n v="10"/>
    <x v="1"/>
  </r>
  <r>
    <d v="2026-03-26T00:00:00"/>
    <s v="Child"/>
    <x v="16"/>
    <n v="16"/>
    <n v="3"/>
    <n v="3"/>
    <n v="0"/>
    <n v="21"/>
    <x v="28"/>
    <n v="3"/>
    <x v="1"/>
  </r>
  <r>
    <d v="2026-03-26T00:00:00"/>
    <s v="Child"/>
    <x v="19"/>
    <n v="6"/>
    <n v="3"/>
    <n v="1"/>
    <n v="0"/>
    <n v="10"/>
    <x v="28"/>
    <n v="1"/>
    <x v="1"/>
  </r>
  <r>
    <d v="2026-03-26T00:00:00"/>
    <s v="Child"/>
    <x v="34"/>
    <n v="198"/>
    <n v="92"/>
    <n v="20"/>
    <n v="0"/>
    <n v="311"/>
    <x v="28"/>
    <n v="20"/>
    <x v="1"/>
  </r>
  <r>
    <d v="2026-04-30T00:00:00"/>
    <s v="Adult"/>
    <x v="6"/>
    <n v="592"/>
    <n v="92"/>
    <n v="5"/>
    <n v="0"/>
    <n v="689"/>
    <x v="29"/>
    <n v="5"/>
    <x v="1"/>
  </r>
  <r>
    <d v="2026-04-30T00:00:00"/>
    <s v="Adult"/>
    <x v="3"/>
    <n v="442"/>
    <n v="218"/>
    <n v="171"/>
    <n v="0"/>
    <n v="831"/>
    <x v="29"/>
    <n v="171"/>
    <x v="1"/>
  </r>
  <r>
    <d v="2026-04-30T00:00:00"/>
    <s v="Adult"/>
    <x v="31"/>
    <n v="551"/>
    <n v="231"/>
    <n v="40"/>
    <n v="0"/>
    <n v="822"/>
    <x v="29"/>
    <n v="40"/>
    <x v="1"/>
  </r>
  <r>
    <d v="2026-04-30T00:00:00"/>
    <s v="Adult"/>
    <x v="26"/>
    <n v="446"/>
    <n v="87"/>
    <n v="10"/>
    <n v="0"/>
    <n v="543"/>
    <x v="29"/>
    <n v="10"/>
    <x v="1"/>
  </r>
  <r>
    <d v="2026-04-30T00:00:00"/>
    <s v="Adult"/>
    <x v="10"/>
    <n v="451"/>
    <n v="22"/>
    <n v="3"/>
    <n v="0"/>
    <n v="476"/>
    <x v="29"/>
    <n v="3"/>
    <x v="1"/>
  </r>
  <r>
    <d v="2026-04-30T00:00:00"/>
    <s v="Adult"/>
    <x v="8"/>
    <n v="429"/>
    <n v="98"/>
    <n v="8"/>
    <n v="0"/>
    <n v="534"/>
    <x v="29"/>
    <n v="8"/>
    <x v="1"/>
  </r>
  <r>
    <d v="2026-04-30T00:00:00"/>
    <s v="Adult"/>
    <x v="19"/>
    <n v="507"/>
    <n v="78"/>
    <n v="6"/>
    <n v="0"/>
    <n v="591"/>
    <x v="29"/>
    <n v="6"/>
    <x v="1"/>
  </r>
  <r>
    <d v="2026-05-28T00:00:00"/>
    <s v="Adult"/>
    <x v="6"/>
    <n v="595"/>
    <n v="91"/>
    <n v="6"/>
    <n v="0"/>
    <n v="692"/>
    <x v="8"/>
    <n v="6"/>
    <x v="1"/>
  </r>
  <r>
    <d v="2026-05-28T00:00:00"/>
    <s v="Adult"/>
    <x v="3"/>
    <n v="502"/>
    <n v="184"/>
    <n v="204"/>
    <n v="0"/>
    <n v="890"/>
    <x v="8"/>
    <n v="204"/>
    <x v="1"/>
  </r>
  <r>
    <d v="2026-05-28T00:00:00"/>
    <s v="Adult"/>
    <x v="13"/>
    <n v="593"/>
    <n v="186"/>
    <n v="44"/>
    <n v="0"/>
    <n v="822"/>
    <x v="8"/>
    <n v="44"/>
    <x v="1"/>
  </r>
  <r>
    <d v="2026-05-28T00:00:00"/>
    <s v="Adult"/>
    <x v="31"/>
    <n v="542"/>
    <n v="236"/>
    <n v="46"/>
    <n v="0"/>
    <n v="824"/>
    <x v="8"/>
    <n v="46"/>
    <x v="1"/>
  </r>
  <r>
    <d v="2026-05-28T00:00:00"/>
    <s v="Adult"/>
    <x v="26"/>
    <n v="494"/>
    <n v="100"/>
    <n v="10"/>
    <n v="0"/>
    <n v="603"/>
    <x v="8"/>
    <n v="10"/>
    <x v="1"/>
  </r>
  <r>
    <d v="2026-05-28T00:00:00"/>
    <s v="Child"/>
    <x v="34"/>
    <n v="150"/>
    <n v="87"/>
    <n v="13"/>
    <n v="0"/>
    <n v="249"/>
    <x v="8"/>
    <n v="13"/>
    <x v="1"/>
  </r>
  <r>
    <d v="2026-06-25T00:00:00"/>
    <s v="Adult"/>
    <x v="6"/>
    <n v="598"/>
    <n v="85"/>
    <n v="6"/>
    <n v="0"/>
    <n v="689"/>
    <x v="9"/>
    <n v="6"/>
    <x v="1"/>
  </r>
  <r>
    <d v="2026-06-25T00:00:00"/>
    <s v="Adult"/>
    <x v="13"/>
    <n v="532"/>
    <n v="221"/>
    <n v="69"/>
    <n v="0"/>
    <n v="823"/>
    <x v="9"/>
    <n v="69"/>
    <x v="1"/>
  </r>
  <r>
    <d v="2026-06-25T00:00:00"/>
    <s v="Adult"/>
    <x v="31"/>
    <n v="551"/>
    <n v="218"/>
    <n v="41"/>
    <n v="0"/>
    <n v="810"/>
    <x v="9"/>
    <n v="41"/>
    <x v="1"/>
  </r>
  <r>
    <d v="2026-06-25T00:00:00"/>
    <s v="Adult"/>
    <x v="4"/>
    <n v="191"/>
    <n v="122"/>
    <n v="3"/>
    <n v="0"/>
    <n v="316"/>
    <x v="9"/>
    <n v="3"/>
    <x v="1"/>
  </r>
  <r>
    <d v="2026-06-25T00:00:00"/>
    <s v="Adult"/>
    <x v="0"/>
    <n v="575"/>
    <n v="82"/>
    <n v="7"/>
    <n v="0"/>
    <n v="664"/>
    <x v="9"/>
    <n v="7"/>
    <x v="1"/>
  </r>
  <r>
    <d v="2026-06-25T00:00:00"/>
    <s v="Adult"/>
    <x v="10"/>
    <n v="439"/>
    <n v="53"/>
    <n v="3"/>
    <n v="0"/>
    <n v="495"/>
    <x v="9"/>
    <n v="3"/>
    <x v="1"/>
  </r>
  <r>
    <d v="2026-06-25T00:00:00"/>
    <s v="Adult"/>
    <x v="37"/>
    <n v="367"/>
    <n v="98"/>
    <n v="17"/>
    <n v="0"/>
    <n v="481"/>
    <x v="9"/>
    <n v="17"/>
    <x v="1"/>
  </r>
  <r>
    <d v="2026-06-25T00:00:00"/>
    <s v="Adult"/>
    <x v="8"/>
    <n v="463"/>
    <n v="112"/>
    <n v="7"/>
    <n v="0"/>
    <n v="582"/>
    <x v="9"/>
    <n v="7"/>
    <x v="1"/>
  </r>
  <r>
    <d v="2026-06-25T00:00:00"/>
    <s v="Child"/>
    <x v="24"/>
    <n v="17"/>
    <n v="1"/>
    <n v="1"/>
    <n v="0"/>
    <n v="19"/>
    <x v="9"/>
    <n v="1"/>
    <x v="1"/>
  </r>
  <r>
    <d v="2026-07-30T00:00:00"/>
    <s v="Adult"/>
    <x v="6"/>
    <n v="599"/>
    <n v="72"/>
    <n v="9"/>
    <n v="0"/>
    <n v="680"/>
    <x v="10"/>
    <n v="9"/>
    <x v="1"/>
  </r>
  <r>
    <d v="2026-07-30T00:00:00"/>
    <s v="Adult"/>
    <x v="13"/>
    <n v="555"/>
    <n v="235"/>
    <n v="91"/>
    <n v="0"/>
    <n v="881"/>
    <x v="10"/>
    <n v="91"/>
    <x v="1"/>
  </r>
  <r>
    <d v="2026-07-30T00:00:00"/>
    <s v="Adult"/>
    <x v="31"/>
    <n v="584"/>
    <n v="203"/>
    <n v="39"/>
    <n v="0"/>
    <n v="826"/>
    <x v="10"/>
    <n v="39"/>
    <x v="1"/>
  </r>
  <r>
    <d v="2026-07-30T00:00:00"/>
    <s v="Adult"/>
    <x v="4"/>
    <n v="218"/>
    <n v="72"/>
    <n v="7"/>
    <n v="0"/>
    <n v="297"/>
    <x v="10"/>
    <n v="7"/>
    <x v="1"/>
  </r>
  <r>
    <d v="2026-07-30T00:00:00"/>
    <s v="Adult"/>
    <x v="0"/>
    <n v="593"/>
    <n v="33"/>
    <n v="6"/>
    <n v="0"/>
    <n v="632"/>
    <x v="10"/>
    <n v="6"/>
    <x v="1"/>
  </r>
  <r>
    <d v="2026-07-30T00:00:00"/>
    <s v="Adult"/>
    <x v="37"/>
    <n v="399"/>
    <n v="90"/>
    <n v="8"/>
    <n v="0"/>
    <n v="497"/>
    <x v="10"/>
    <n v="8"/>
    <x v="1"/>
  </r>
  <r>
    <d v="2026-07-30T00:00:00"/>
    <s v="Adult"/>
    <x v="1"/>
    <n v="747"/>
    <n v="252"/>
    <n v="62"/>
    <n v="0"/>
    <n v="1060"/>
    <x v="10"/>
    <n v="62"/>
    <x v="1"/>
  </r>
  <r>
    <d v="2026-07-30T00:00:00"/>
    <s v="Adult"/>
    <x v="8"/>
    <n v="447"/>
    <n v="71"/>
    <n v="14"/>
    <n v="0"/>
    <n v="532"/>
    <x v="10"/>
    <n v="14"/>
    <x v="1"/>
  </r>
  <r>
    <d v="2026-07-30T00:00:00"/>
    <s v="Adult"/>
    <x v="19"/>
    <n v="548"/>
    <n v="88"/>
    <n v="6"/>
    <n v="0"/>
    <n v="641"/>
    <x v="10"/>
    <n v="6"/>
    <x v="1"/>
  </r>
  <r>
    <d v="2026-07-30T00:00:00"/>
    <s v="Child"/>
    <x v="21"/>
    <n v="26"/>
    <n v="1"/>
    <n v="1"/>
    <n v="0"/>
    <n v="29"/>
    <x v="10"/>
    <n v="1"/>
    <x v="1"/>
  </r>
  <r>
    <d v="2026-08-27T00:00:00"/>
    <s v="Adult"/>
    <x v="30"/>
    <n v="1515"/>
    <n v="343"/>
    <n v="26"/>
    <n v="0"/>
    <n v="1885"/>
    <x v="11"/>
    <n v="26"/>
    <x v="1"/>
  </r>
  <r>
    <d v="2026-08-27T00:00:00"/>
    <s v="Adult"/>
    <x v="31"/>
    <n v="593"/>
    <n v="214"/>
    <n v="39"/>
    <n v="0"/>
    <n v="846"/>
    <x v="11"/>
    <n v="39"/>
    <x v="1"/>
  </r>
  <r>
    <d v="2026-08-27T00:00:00"/>
    <s v="Adult"/>
    <x v="37"/>
    <n v="402"/>
    <n v="72"/>
    <n v="5"/>
    <n v="0"/>
    <n v="479"/>
    <x v="11"/>
    <n v="5"/>
    <x v="1"/>
  </r>
  <r>
    <d v="2026-08-27T00:00:00"/>
    <s v="Adult"/>
    <x v="19"/>
    <n v="485"/>
    <n v="79"/>
    <n v="3"/>
    <n v="0"/>
    <n v="566"/>
    <x v="11"/>
    <n v="3"/>
    <x v="1"/>
  </r>
  <r>
    <d v="2026-08-27T00:00:00"/>
    <s v="Child"/>
    <x v="11"/>
    <n v="2"/>
    <n v="2"/>
    <n v="1"/>
    <n v="0"/>
    <n v="5"/>
    <x v="11"/>
    <n v="1"/>
    <x v="1"/>
  </r>
  <r>
    <d v="2023-01-26T00:00:00"/>
    <s v="Adult"/>
    <x v="25"/>
    <n v="527"/>
    <n v="179"/>
    <n v="64"/>
    <n v="2"/>
    <n v="772"/>
    <x v="36"/>
    <n v="66"/>
    <x v="0"/>
  </r>
  <r>
    <d v="2023-01-26T00:00:00"/>
    <s v="Adult"/>
    <x v="14"/>
    <n v="2051"/>
    <n v="164"/>
    <n v="11"/>
    <n v="2"/>
    <n v="2228"/>
    <x v="36"/>
    <n v="13"/>
    <x v="0"/>
  </r>
  <r>
    <d v="2023-01-26T00:00:00"/>
    <s v="Child"/>
    <x v="16"/>
    <n v="893"/>
    <n v="280"/>
    <n v="4"/>
    <n v="2"/>
    <n v="1178"/>
    <x v="36"/>
    <n v="6"/>
    <x v="0"/>
  </r>
  <r>
    <d v="2023-01-26T00:00:00"/>
    <s v="Child"/>
    <x v="13"/>
    <n v="34"/>
    <n v="4"/>
    <n v="0"/>
    <n v="2"/>
    <n v="39"/>
    <x v="36"/>
    <n v="2"/>
    <x v="0"/>
  </r>
  <r>
    <d v="2023-01-26T00:00:00"/>
    <s v="Child"/>
    <x v="4"/>
    <n v="149"/>
    <n v="23"/>
    <n v="2"/>
    <n v="2"/>
    <n v="176"/>
    <x v="36"/>
    <n v="4"/>
    <x v="0"/>
  </r>
  <r>
    <d v="2023-01-26T00:00:00"/>
    <s v="Child"/>
    <x v="29"/>
    <n v="214"/>
    <n v="72"/>
    <n v="7"/>
    <n v="2"/>
    <n v="295"/>
    <x v="36"/>
    <n v="9"/>
    <x v="0"/>
  </r>
  <r>
    <d v="2023-01-26T00:00:00"/>
    <s v="Child"/>
    <x v="28"/>
    <n v="24"/>
    <n v="6"/>
    <n v="2"/>
    <n v="2"/>
    <n v="33"/>
    <x v="36"/>
    <n v="4"/>
    <x v="0"/>
  </r>
  <r>
    <d v="2023-01-26T00:00:00"/>
    <s v="Child"/>
    <x v="5"/>
    <n v="423"/>
    <n v="19"/>
    <n v="4"/>
    <n v="2"/>
    <n v="447"/>
    <x v="36"/>
    <n v="6"/>
    <x v="0"/>
  </r>
  <r>
    <d v="2023-01-26T00:00:00"/>
    <s v="Child"/>
    <x v="8"/>
    <n v="347"/>
    <n v="103"/>
    <n v="43"/>
    <n v="2"/>
    <n v="494"/>
    <x v="36"/>
    <n v="45"/>
    <x v="0"/>
  </r>
  <r>
    <d v="2023-02-23T00:00:00"/>
    <s v="Adult"/>
    <x v="25"/>
    <n v="625"/>
    <n v="162"/>
    <n v="74"/>
    <n v="2"/>
    <n v="863"/>
    <x v="37"/>
    <n v="76"/>
    <x v="0"/>
  </r>
  <r>
    <d v="2023-02-23T00:00:00"/>
    <s v="Adult"/>
    <x v="16"/>
    <n v="4477"/>
    <n v="2874"/>
    <n v="372"/>
    <n v="2"/>
    <n v="7725"/>
    <x v="37"/>
    <n v="374"/>
    <x v="0"/>
  </r>
  <r>
    <d v="2023-02-23T00:00:00"/>
    <s v="Adult"/>
    <x v="14"/>
    <n v="2122"/>
    <n v="177"/>
    <n v="21"/>
    <n v="2"/>
    <n v="2322"/>
    <x v="37"/>
    <n v="23"/>
    <x v="0"/>
  </r>
  <r>
    <d v="2023-02-23T00:00:00"/>
    <s v="Adult"/>
    <x v="10"/>
    <n v="2541"/>
    <n v="198"/>
    <n v="4"/>
    <n v="2"/>
    <n v="2745"/>
    <x v="37"/>
    <n v="6"/>
    <x v="0"/>
  </r>
  <r>
    <d v="2023-02-23T00:00:00"/>
    <s v="Adult"/>
    <x v="24"/>
    <n v="2703"/>
    <n v="758"/>
    <n v="139"/>
    <n v="2"/>
    <n v="3602"/>
    <x v="37"/>
    <n v="141"/>
    <x v="0"/>
  </r>
  <r>
    <d v="2023-02-23T00:00:00"/>
    <s v="Child"/>
    <x v="4"/>
    <n v="187"/>
    <n v="24"/>
    <n v="4"/>
    <n v="2"/>
    <n v="216"/>
    <x v="37"/>
    <n v="6"/>
    <x v="0"/>
  </r>
  <r>
    <d v="2023-02-23T00:00:00"/>
    <s v="Child"/>
    <x v="29"/>
    <n v="252"/>
    <n v="88"/>
    <n v="8"/>
    <n v="2"/>
    <n v="350"/>
    <x v="37"/>
    <n v="10"/>
    <x v="0"/>
  </r>
  <r>
    <d v="2023-02-23T00:00:00"/>
    <s v="Child"/>
    <x v="28"/>
    <n v="27"/>
    <n v="9"/>
    <n v="0"/>
    <n v="2"/>
    <n v="38"/>
    <x v="37"/>
    <n v="2"/>
    <x v="0"/>
  </r>
  <r>
    <d v="2023-02-23T00:00:00"/>
    <s v="Child"/>
    <x v="5"/>
    <n v="432"/>
    <n v="14"/>
    <n v="4"/>
    <n v="2"/>
    <n v="452"/>
    <x v="37"/>
    <n v="6"/>
    <x v="0"/>
  </r>
  <r>
    <d v="2023-02-23T00:00:00"/>
    <s v="Child"/>
    <x v="8"/>
    <n v="385"/>
    <n v="84"/>
    <n v="33"/>
    <n v="2"/>
    <n v="503"/>
    <x v="37"/>
    <n v="35"/>
    <x v="0"/>
  </r>
  <r>
    <d v="2023-03-30T00:00:00"/>
    <s v="Adult"/>
    <x v="14"/>
    <n v="2118"/>
    <n v="251"/>
    <n v="18"/>
    <n v="2"/>
    <n v="2389"/>
    <x v="38"/>
    <n v="20"/>
    <x v="0"/>
  </r>
  <r>
    <d v="2023-03-30T00:00:00"/>
    <s v="Adult"/>
    <x v="10"/>
    <n v="2798"/>
    <n v="324"/>
    <n v="2"/>
    <n v="2"/>
    <n v="3126"/>
    <x v="38"/>
    <n v="4"/>
    <x v="0"/>
  </r>
  <r>
    <d v="2023-03-30T00:00:00"/>
    <s v="Child"/>
    <x v="28"/>
    <n v="9"/>
    <n v="6"/>
    <n v="0"/>
    <n v="2"/>
    <n v="17"/>
    <x v="38"/>
    <n v="2"/>
    <x v="0"/>
  </r>
  <r>
    <d v="2023-03-30T00:00:00"/>
    <s v="Child"/>
    <x v="5"/>
    <n v="424"/>
    <n v="9"/>
    <n v="2"/>
    <n v="2"/>
    <n v="437"/>
    <x v="38"/>
    <n v="4"/>
    <x v="0"/>
  </r>
  <r>
    <d v="2023-03-30T00:00:00"/>
    <s v="Child"/>
    <x v="12"/>
    <n v="20"/>
    <n v="6"/>
    <n v="2"/>
    <n v="2"/>
    <n v="30"/>
    <x v="38"/>
    <n v="4"/>
    <x v="0"/>
  </r>
  <r>
    <d v="2023-03-30T00:00:00"/>
    <s v="Child"/>
    <x v="24"/>
    <n v="617"/>
    <n v="268"/>
    <n v="2"/>
    <n v="2"/>
    <n v="888"/>
    <x v="38"/>
    <n v="4"/>
    <x v="0"/>
  </r>
  <r>
    <d v="2023-04-27T00:00:00"/>
    <s v="Adult"/>
    <x v="25"/>
    <n v="642"/>
    <n v="204"/>
    <n v="50"/>
    <n v="2"/>
    <n v="899"/>
    <x v="39"/>
    <n v="52"/>
    <x v="0"/>
  </r>
  <r>
    <d v="2023-04-27T00:00:00"/>
    <s v="Adult"/>
    <x v="30"/>
    <n v="4316"/>
    <n v="687"/>
    <n v="136"/>
    <n v="2"/>
    <n v="5142"/>
    <x v="39"/>
    <n v="138"/>
    <x v="0"/>
  </r>
  <r>
    <d v="2023-04-27T00:00:00"/>
    <s v="Adult"/>
    <x v="6"/>
    <n v="1910"/>
    <n v="124"/>
    <n v="17"/>
    <n v="2"/>
    <n v="2053"/>
    <x v="39"/>
    <n v="19"/>
    <x v="0"/>
  </r>
  <r>
    <d v="2023-04-27T00:00:00"/>
    <s v="Adult"/>
    <x v="14"/>
    <n v="2124"/>
    <n v="339"/>
    <n v="7"/>
    <n v="2"/>
    <n v="2472"/>
    <x v="39"/>
    <n v="9"/>
    <x v="0"/>
  </r>
  <r>
    <d v="2023-04-27T00:00:00"/>
    <s v="Adult"/>
    <x v="24"/>
    <n v="2579"/>
    <n v="856"/>
    <n v="152"/>
    <n v="2"/>
    <n v="3589"/>
    <x v="39"/>
    <n v="154"/>
    <x v="0"/>
  </r>
  <r>
    <d v="2023-04-27T00:00:00"/>
    <s v="Child"/>
    <x v="16"/>
    <n v="1090"/>
    <n v="291"/>
    <n v="33"/>
    <n v="2"/>
    <n v="1416"/>
    <x v="39"/>
    <n v="35"/>
    <x v="0"/>
  </r>
  <r>
    <d v="2023-04-27T00:00:00"/>
    <s v="Child"/>
    <x v="13"/>
    <n v="47"/>
    <n v="5"/>
    <n v="2"/>
    <n v="2"/>
    <n v="56"/>
    <x v="39"/>
    <n v="4"/>
    <x v="0"/>
  </r>
  <r>
    <d v="2023-04-27T00:00:00"/>
    <s v="Child"/>
    <x v="4"/>
    <n v="207"/>
    <n v="63"/>
    <n v="2"/>
    <n v="2"/>
    <n v="274"/>
    <x v="39"/>
    <n v="4"/>
    <x v="0"/>
  </r>
  <r>
    <d v="2023-04-27T00:00:00"/>
    <s v="Child"/>
    <x v="28"/>
    <n v="12"/>
    <n v="4"/>
    <n v="0"/>
    <n v="2"/>
    <n v="17"/>
    <x v="39"/>
    <n v="2"/>
    <x v="0"/>
  </r>
  <r>
    <d v="2023-04-27T00:00:00"/>
    <s v="Child"/>
    <x v="5"/>
    <n v="419"/>
    <n v="15"/>
    <n v="7"/>
    <n v="2"/>
    <n v="443"/>
    <x v="39"/>
    <n v="9"/>
    <x v="0"/>
  </r>
  <r>
    <d v="2023-04-27T00:00:00"/>
    <s v="Child"/>
    <x v="12"/>
    <n v="26"/>
    <n v="2"/>
    <n v="2"/>
    <n v="2"/>
    <n v="32"/>
    <x v="39"/>
    <n v="4"/>
    <x v="0"/>
  </r>
  <r>
    <d v="2023-05-25T00:00:00"/>
    <s v="Adult"/>
    <x v="6"/>
    <n v="1949"/>
    <n v="152"/>
    <n v="21"/>
    <n v="2"/>
    <n v="2124"/>
    <x v="40"/>
    <n v="23"/>
    <x v="0"/>
  </r>
  <r>
    <d v="2023-05-25T00:00:00"/>
    <s v="Adult"/>
    <x v="17"/>
    <n v="1870"/>
    <n v="1008"/>
    <n v="214"/>
    <n v="2"/>
    <n v="3094"/>
    <x v="40"/>
    <n v="216"/>
    <x v="0"/>
  </r>
  <r>
    <d v="2023-05-25T00:00:00"/>
    <s v="Child"/>
    <x v="16"/>
    <n v="1075"/>
    <n v="282"/>
    <n v="30"/>
    <n v="2"/>
    <n v="1389"/>
    <x v="40"/>
    <n v="32"/>
    <x v="0"/>
  </r>
  <r>
    <d v="2023-05-25T00:00:00"/>
    <s v="Child"/>
    <x v="13"/>
    <n v="54"/>
    <n v="4"/>
    <n v="0"/>
    <n v="2"/>
    <n v="59"/>
    <x v="40"/>
    <n v="2"/>
    <x v="0"/>
  </r>
  <r>
    <d v="2023-05-25T00:00:00"/>
    <s v="Child"/>
    <x v="28"/>
    <n v="13"/>
    <n v="6"/>
    <n v="0"/>
    <n v="2"/>
    <n v="21"/>
    <x v="40"/>
    <n v="2"/>
    <x v="0"/>
  </r>
  <r>
    <d v="2023-05-25T00:00:00"/>
    <s v="Child"/>
    <x v="5"/>
    <n v="445"/>
    <n v="18"/>
    <n v="6"/>
    <n v="2"/>
    <n v="471"/>
    <x v="40"/>
    <n v="8"/>
    <x v="0"/>
  </r>
  <r>
    <d v="2023-05-25T00:00:00"/>
    <s v="Child"/>
    <x v="12"/>
    <n v="39"/>
    <n v="4"/>
    <n v="0"/>
    <n v="2"/>
    <n v="44"/>
    <x v="40"/>
    <n v="2"/>
    <x v="0"/>
  </r>
  <r>
    <d v="2023-06-29T00:00:00"/>
    <s v="Adult"/>
    <x v="25"/>
    <n v="688"/>
    <n v="171"/>
    <n v="69"/>
    <n v="2"/>
    <n v="930"/>
    <x v="30"/>
    <n v="71"/>
    <x v="0"/>
  </r>
  <r>
    <d v="2023-06-29T00:00:00"/>
    <s v="Adult"/>
    <x v="30"/>
    <n v="4795"/>
    <n v="396"/>
    <n v="66"/>
    <n v="2"/>
    <n v="5260"/>
    <x v="30"/>
    <n v="68"/>
    <x v="0"/>
  </r>
  <r>
    <d v="2023-06-29T00:00:00"/>
    <s v="Adult"/>
    <x v="6"/>
    <n v="2194"/>
    <n v="145"/>
    <n v="15"/>
    <n v="2"/>
    <n v="2356"/>
    <x v="30"/>
    <n v="17"/>
    <x v="0"/>
  </r>
  <r>
    <d v="2023-06-29T00:00:00"/>
    <s v="Adult"/>
    <x v="24"/>
    <n v="2958"/>
    <n v="782"/>
    <n v="199"/>
    <n v="2"/>
    <n v="3941"/>
    <x v="30"/>
    <n v="201"/>
    <x v="0"/>
  </r>
  <r>
    <d v="2023-06-29T00:00:00"/>
    <s v="Child"/>
    <x v="16"/>
    <n v="1087"/>
    <n v="325"/>
    <n v="23"/>
    <n v="2"/>
    <n v="1437"/>
    <x v="30"/>
    <n v="25"/>
    <x v="0"/>
  </r>
  <r>
    <d v="2023-06-29T00:00:00"/>
    <s v="Child"/>
    <x v="13"/>
    <n v="61"/>
    <n v="2"/>
    <n v="2"/>
    <n v="2"/>
    <n v="66"/>
    <x v="30"/>
    <n v="4"/>
    <x v="0"/>
  </r>
  <r>
    <d v="2023-06-29T00:00:00"/>
    <s v="Child"/>
    <x v="29"/>
    <n v="240"/>
    <n v="111"/>
    <n v="25"/>
    <n v="2"/>
    <n v="378"/>
    <x v="30"/>
    <n v="27"/>
    <x v="0"/>
  </r>
  <r>
    <d v="2023-06-29T00:00:00"/>
    <s v="Child"/>
    <x v="28"/>
    <n v="9"/>
    <n v="5"/>
    <n v="0"/>
    <n v="2"/>
    <n v="16"/>
    <x v="30"/>
    <n v="2"/>
    <x v="0"/>
  </r>
  <r>
    <d v="2023-06-29T00:00:00"/>
    <s v="Child"/>
    <x v="5"/>
    <n v="438"/>
    <n v="17"/>
    <n v="5"/>
    <n v="2"/>
    <n v="463"/>
    <x v="30"/>
    <n v="7"/>
    <x v="0"/>
  </r>
  <r>
    <d v="2023-07-27T00:00:00"/>
    <s v="Adult"/>
    <x v="30"/>
    <n v="4968"/>
    <n v="288"/>
    <n v="114"/>
    <n v="2"/>
    <n v="5373"/>
    <x v="31"/>
    <n v="116"/>
    <x v="0"/>
  </r>
  <r>
    <d v="2023-07-27T00:00:00"/>
    <s v="Child"/>
    <x v="28"/>
    <n v="7"/>
    <n v="5"/>
    <n v="0"/>
    <n v="2"/>
    <n v="14"/>
    <x v="31"/>
    <n v="2"/>
    <x v="0"/>
  </r>
  <r>
    <d v="2023-07-27T00:00:00"/>
    <s v="Child"/>
    <x v="5"/>
    <n v="405"/>
    <n v="16"/>
    <n v="4"/>
    <n v="2"/>
    <n v="427"/>
    <x v="31"/>
    <n v="6"/>
    <x v="0"/>
  </r>
  <r>
    <d v="2023-08-31T00:00:00"/>
    <s v="Adult"/>
    <x v="6"/>
    <n v="2544"/>
    <n v="131"/>
    <n v="13"/>
    <n v="2"/>
    <n v="2690"/>
    <x v="32"/>
    <n v="15"/>
    <x v="0"/>
  </r>
  <r>
    <d v="2023-08-31T00:00:00"/>
    <s v="Adult"/>
    <x v="18"/>
    <n v="8710"/>
    <n v="2939"/>
    <n v="502"/>
    <n v="2"/>
    <n v="12153"/>
    <x v="32"/>
    <n v="504"/>
    <x v="0"/>
  </r>
  <r>
    <d v="2023-08-31T00:00:00"/>
    <s v="Adult"/>
    <x v="11"/>
    <n v="442"/>
    <n v="254"/>
    <n v="126"/>
    <n v="2"/>
    <n v="824"/>
    <x v="32"/>
    <n v="128"/>
    <x v="0"/>
  </r>
  <r>
    <d v="2023-08-31T00:00:00"/>
    <s v="Child"/>
    <x v="2"/>
    <n v="306"/>
    <n v="82"/>
    <n v="10"/>
    <n v="2"/>
    <n v="400"/>
    <x v="32"/>
    <n v="12"/>
    <x v="0"/>
  </r>
  <r>
    <d v="2023-08-31T00:00:00"/>
    <s v="Child"/>
    <x v="5"/>
    <n v="368"/>
    <n v="17"/>
    <n v="4"/>
    <n v="2"/>
    <n v="391"/>
    <x v="32"/>
    <n v="6"/>
    <x v="0"/>
  </r>
  <r>
    <d v="2023-08-31T00:00:00"/>
    <s v="Child"/>
    <x v="8"/>
    <n v="331"/>
    <n v="69"/>
    <n v="5"/>
    <n v="2"/>
    <n v="407"/>
    <x v="32"/>
    <n v="7"/>
    <x v="0"/>
  </r>
  <r>
    <d v="2023-09-28T00:00:00"/>
    <s v="Adult"/>
    <x v="18"/>
    <n v="8229"/>
    <n v="3027"/>
    <n v="381"/>
    <n v="2"/>
    <n v="11639"/>
    <x v="33"/>
    <n v="383"/>
    <x v="0"/>
  </r>
  <r>
    <d v="2023-09-28T00:00:00"/>
    <s v="Adult"/>
    <x v="11"/>
    <n v="424"/>
    <n v="264"/>
    <n v="135"/>
    <n v="2"/>
    <n v="825"/>
    <x v="33"/>
    <n v="137"/>
    <x v="0"/>
  </r>
  <r>
    <d v="2023-09-28T00:00:00"/>
    <s v="Child"/>
    <x v="3"/>
    <n v="152"/>
    <n v="7"/>
    <n v="8"/>
    <n v="2"/>
    <n v="168"/>
    <x v="33"/>
    <n v="10"/>
    <x v="0"/>
  </r>
  <r>
    <d v="2023-09-28T00:00:00"/>
    <s v="Child"/>
    <x v="2"/>
    <n v="315"/>
    <n v="76"/>
    <n v="20"/>
    <n v="2"/>
    <n v="412"/>
    <x v="33"/>
    <n v="22"/>
    <x v="0"/>
  </r>
  <r>
    <d v="2023-09-28T00:00:00"/>
    <s v="Child"/>
    <x v="5"/>
    <n v="374"/>
    <n v="28"/>
    <n v="2"/>
    <n v="2"/>
    <n v="406"/>
    <x v="33"/>
    <n v="4"/>
    <x v="0"/>
  </r>
  <r>
    <d v="2023-09-28T00:00:00"/>
    <s v="Child"/>
    <x v="8"/>
    <n v="327"/>
    <n v="76"/>
    <n v="3"/>
    <n v="2"/>
    <n v="407"/>
    <x v="33"/>
    <n v="5"/>
    <x v="0"/>
  </r>
  <r>
    <d v="2023-10-26T00:00:00"/>
    <s v="Adult"/>
    <x v="30"/>
    <n v="4542"/>
    <n v="207"/>
    <n v="205"/>
    <n v="2"/>
    <n v="4956"/>
    <x v="41"/>
    <n v="207"/>
    <x v="0"/>
  </r>
  <r>
    <d v="2023-10-26T00:00:00"/>
    <s v="Adult"/>
    <x v="13"/>
    <n v="523"/>
    <n v="321"/>
    <n v="159"/>
    <n v="2"/>
    <n v="1005"/>
    <x v="41"/>
    <n v="161"/>
    <x v="0"/>
  </r>
  <r>
    <d v="2023-10-26T00:00:00"/>
    <s v="Adult"/>
    <x v="11"/>
    <n v="373"/>
    <n v="261"/>
    <n v="144"/>
    <n v="2"/>
    <n v="780"/>
    <x v="41"/>
    <n v="146"/>
    <x v="0"/>
  </r>
  <r>
    <d v="2023-10-26T00:00:00"/>
    <s v="Adult"/>
    <x v="10"/>
    <n v="3495"/>
    <n v="323"/>
    <n v="0"/>
    <n v="2"/>
    <n v="3820"/>
    <x v="41"/>
    <n v="2"/>
    <x v="0"/>
  </r>
  <r>
    <d v="2023-10-26T00:00:00"/>
    <s v="Child"/>
    <x v="3"/>
    <n v="155"/>
    <n v="3"/>
    <n v="3"/>
    <n v="2"/>
    <n v="163"/>
    <x v="41"/>
    <n v="5"/>
    <x v="0"/>
  </r>
  <r>
    <d v="2023-10-26T00:00:00"/>
    <s v="Child"/>
    <x v="4"/>
    <n v="218"/>
    <n v="160"/>
    <n v="36"/>
    <n v="2"/>
    <n v="417"/>
    <x v="41"/>
    <n v="38"/>
    <x v="0"/>
  </r>
  <r>
    <d v="2023-10-26T00:00:00"/>
    <s v="Child"/>
    <x v="2"/>
    <n v="309"/>
    <n v="67"/>
    <n v="2"/>
    <n v="2"/>
    <n v="379"/>
    <x v="41"/>
    <n v="4"/>
    <x v="0"/>
  </r>
  <r>
    <d v="2023-10-26T00:00:00"/>
    <s v="Child"/>
    <x v="5"/>
    <n v="385"/>
    <n v="21"/>
    <n v="3"/>
    <n v="2"/>
    <n v="412"/>
    <x v="41"/>
    <n v="5"/>
    <x v="0"/>
  </r>
  <r>
    <d v="2023-10-26T00:00:00"/>
    <s v="Child"/>
    <x v="8"/>
    <n v="324"/>
    <n v="64"/>
    <n v="5"/>
    <n v="2"/>
    <n v="395"/>
    <x v="41"/>
    <n v="7"/>
    <x v="0"/>
  </r>
  <r>
    <d v="2023-11-30T00:00:00"/>
    <s v="Adult"/>
    <x v="13"/>
    <n v="536"/>
    <n v="341"/>
    <n v="197"/>
    <n v="2"/>
    <n v="1077"/>
    <x v="42"/>
    <n v="199"/>
    <x v="0"/>
  </r>
  <r>
    <d v="2023-11-30T00:00:00"/>
    <s v="Adult"/>
    <x v="11"/>
    <n v="387"/>
    <n v="249"/>
    <n v="173"/>
    <n v="2"/>
    <n v="811"/>
    <x v="42"/>
    <n v="175"/>
    <x v="0"/>
  </r>
  <r>
    <d v="2023-11-30T00:00:00"/>
    <s v="Child"/>
    <x v="3"/>
    <n v="166"/>
    <n v="4"/>
    <n v="4"/>
    <n v="2"/>
    <n v="175"/>
    <x v="42"/>
    <n v="6"/>
    <x v="0"/>
  </r>
  <r>
    <d v="2023-11-30T00:00:00"/>
    <s v="Child"/>
    <x v="4"/>
    <n v="203"/>
    <n v="186"/>
    <n v="47"/>
    <n v="2"/>
    <n v="438"/>
    <x v="42"/>
    <n v="49"/>
    <x v="0"/>
  </r>
  <r>
    <d v="2023-11-30T00:00:00"/>
    <s v="Child"/>
    <x v="2"/>
    <n v="273"/>
    <n v="68"/>
    <n v="4"/>
    <n v="2"/>
    <n v="346"/>
    <x v="42"/>
    <n v="6"/>
    <x v="0"/>
  </r>
  <r>
    <d v="2023-11-30T00:00:00"/>
    <s v="Child"/>
    <x v="5"/>
    <n v="375"/>
    <n v="31"/>
    <n v="4"/>
    <n v="2"/>
    <n v="412"/>
    <x v="42"/>
    <n v="6"/>
    <x v="0"/>
  </r>
  <r>
    <d v="2023-11-30T00:00:00"/>
    <s v="Child"/>
    <x v="24"/>
    <n v="592"/>
    <n v="383"/>
    <n v="84"/>
    <n v="2"/>
    <n v="1061"/>
    <x v="42"/>
    <n v="86"/>
    <x v="0"/>
  </r>
  <r>
    <d v="2023-12-28T00:00:00"/>
    <s v="Adult"/>
    <x v="13"/>
    <n v="520"/>
    <n v="344"/>
    <n v="203"/>
    <n v="2"/>
    <n v="1069"/>
    <x v="43"/>
    <n v="205"/>
    <x v="0"/>
  </r>
  <r>
    <d v="2023-12-28T00:00:00"/>
    <s v="Adult"/>
    <x v="11"/>
    <n v="349"/>
    <n v="246"/>
    <n v="185"/>
    <n v="2"/>
    <n v="782"/>
    <x v="43"/>
    <n v="187"/>
    <x v="0"/>
  </r>
  <r>
    <d v="2023-12-28T00:00:00"/>
    <s v="Child"/>
    <x v="4"/>
    <n v="215"/>
    <n v="181"/>
    <n v="52"/>
    <n v="2"/>
    <n v="450"/>
    <x v="43"/>
    <n v="54"/>
    <x v="0"/>
  </r>
  <r>
    <d v="2023-12-28T00:00:00"/>
    <s v="Child"/>
    <x v="2"/>
    <n v="249"/>
    <n v="58"/>
    <n v="2"/>
    <n v="2"/>
    <n v="311"/>
    <x v="43"/>
    <n v="4"/>
    <x v="0"/>
  </r>
  <r>
    <d v="2023-12-28T00:00:00"/>
    <s v="Child"/>
    <x v="27"/>
    <n v="2191"/>
    <n v="1122"/>
    <n v="13"/>
    <n v="2"/>
    <n v="3328"/>
    <x v="43"/>
    <n v="15"/>
    <x v="0"/>
  </r>
  <r>
    <d v="2023-12-28T00:00:00"/>
    <s v="Child"/>
    <x v="5"/>
    <n v="377"/>
    <n v="33"/>
    <n v="8"/>
    <n v="2"/>
    <n v="420"/>
    <x v="43"/>
    <n v="10"/>
    <x v="0"/>
  </r>
  <r>
    <d v="2023-12-28T00:00:00"/>
    <s v="Child"/>
    <x v="8"/>
    <n v="320"/>
    <n v="31"/>
    <n v="2"/>
    <n v="2"/>
    <n v="355"/>
    <x v="43"/>
    <n v="4"/>
    <x v="0"/>
  </r>
  <r>
    <d v="2024-01-25T00:00:00"/>
    <s v="Adult"/>
    <x v="17"/>
    <n v="1656"/>
    <n v="429"/>
    <n v="5"/>
    <n v="2"/>
    <n v="2091"/>
    <x v="12"/>
    <n v="7"/>
    <x v="0"/>
  </r>
  <r>
    <d v="2024-01-25T00:00:00"/>
    <s v="Child"/>
    <x v="5"/>
    <n v="392"/>
    <n v="32"/>
    <n v="9"/>
    <n v="2"/>
    <n v="435"/>
    <x v="12"/>
    <n v="11"/>
    <x v="0"/>
  </r>
  <r>
    <d v="2024-02-29T00:00:00"/>
    <s v="Adult"/>
    <x v="14"/>
    <n v="2452"/>
    <n v="608"/>
    <n v="36"/>
    <n v="2"/>
    <n v="3097"/>
    <x v="13"/>
    <n v="38"/>
    <x v="0"/>
  </r>
  <r>
    <d v="2024-02-29T00:00:00"/>
    <s v="Child"/>
    <x v="3"/>
    <n v="179"/>
    <n v="15"/>
    <n v="3"/>
    <n v="2"/>
    <n v="198"/>
    <x v="13"/>
    <n v="5"/>
    <x v="0"/>
  </r>
  <r>
    <d v="2024-02-29T00:00:00"/>
    <s v="Child"/>
    <x v="2"/>
    <n v="195"/>
    <n v="77"/>
    <n v="5"/>
    <n v="2"/>
    <n v="279"/>
    <x v="13"/>
    <n v="7"/>
    <x v="0"/>
  </r>
  <r>
    <d v="2024-02-29T00:00:00"/>
    <s v="Child"/>
    <x v="5"/>
    <n v="391"/>
    <n v="33"/>
    <n v="5"/>
    <n v="2"/>
    <n v="431"/>
    <x v="13"/>
    <n v="7"/>
    <x v="0"/>
  </r>
  <r>
    <d v="2024-02-29T00:00:00"/>
    <s v="Child"/>
    <x v="19"/>
    <n v="756"/>
    <n v="238"/>
    <n v="51"/>
    <n v="2"/>
    <n v="1047"/>
    <x v="13"/>
    <n v="53"/>
    <x v="0"/>
  </r>
  <r>
    <d v="2024-03-28T00:00:00"/>
    <s v="Adult"/>
    <x v="18"/>
    <n v="8179"/>
    <n v="2045"/>
    <n v="245"/>
    <n v="2"/>
    <n v="10471"/>
    <x v="14"/>
    <n v="247"/>
    <x v="0"/>
  </r>
  <r>
    <d v="2024-03-28T00:00:00"/>
    <s v="Child"/>
    <x v="16"/>
    <n v="847"/>
    <n v="308"/>
    <n v="5"/>
    <n v="2"/>
    <n v="1162"/>
    <x v="14"/>
    <n v="7"/>
    <x v="0"/>
  </r>
  <r>
    <d v="2024-03-28T00:00:00"/>
    <s v="Child"/>
    <x v="3"/>
    <n v="182"/>
    <n v="21"/>
    <n v="4"/>
    <n v="2"/>
    <n v="208"/>
    <x v="14"/>
    <n v="6"/>
    <x v="0"/>
  </r>
  <r>
    <d v="2024-03-28T00:00:00"/>
    <s v="Child"/>
    <x v="2"/>
    <n v="166"/>
    <n v="95"/>
    <n v="4"/>
    <n v="2"/>
    <n v="266"/>
    <x v="14"/>
    <n v="6"/>
    <x v="0"/>
  </r>
  <r>
    <d v="2024-03-28T00:00:00"/>
    <s v="Child"/>
    <x v="5"/>
    <n v="407"/>
    <n v="29"/>
    <n v="9"/>
    <n v="2"/>
    <n v="448"/>
    <x v="14"/>
    <n v="11"/>
    <x v="0"/>
  </r>
  <r>
    <d v="2024-04-25T00:00:00"/>
    <s v="Adult"/>
    <x v="25"/>
    <n v="697"/>
    <n v="103"/>
    <n v="16"/>
    <n v="2"/>
    <n v="818"/>
    <x v="15"/>
    <n v="18"/>
    <x v="0"/>
  </r>
  <r>
    <d v="2024-04-25T00:00:00"/>
    <s v="Adult"/>
    <x v="10"/>
    <n v="3734"/>
    <n v="821"/>
    <n v="0"/>
    <n v="2"/>
    <n v="4557"/>
    <x v="15"/>
    <n v="2"/>
    <x v="0"/>
  </r>
  <r>
    <d v="2024-04-25T00:00:00"/>
    <s v="Child"/>
    <x v="3"/>
    <n v="177"/>
    <n v="24"/>
    <n v="4"/>
    <n v="2"/>
    <n v="207"/>
    <x v="15"/>
    <n v="6"/>
    <x v="0"/>
  </r>
  <r>
    <d v="2024-04-25T00:00:00"/>
    <s v="Child"/>
    <x v="13"/>
    <n v="27"/>
    <n v="9"/>
    <n v="2"/>
    <n v="2"/>
    <n v="40"/>
    <x v="15"/>
    <n v="4"/>
    <x v="0"/>
  </r>
  <r>
    <d v="2024-04-25T00:00:00"/>
    <s v="Child"/>
    <x v="5"/>
    <n v="457"/>
    <n v="27"/>
    <n v="7"/>
    <n v="2"/>
    <n v="493"/>
    <x v="15"/>
    <n v="9"/>
    <x v="0"/>
  </r>
  <r>
    <d v="2024-05-30T00:00:00"/>
    <s v="Child"/>
    <x v="16"/>
    <n v="850"/>
    <n v="291"/>
    <n v="30"/>
    <n v="2"/>
    <n v="1173"/>
    <x v="0"/>
    <n v="32"/>
    <x v="0"/>
  </r>
  <r>
    <d v="2024-05-30T00:00:00"/>
    <s v="Child"/>
    <x v="3"/>
    <n v="214"/>
    <n v="17"/>
    <n v="2"/>
    <n v="2"/>
    <n v="236"/>
    <x v="0"/>
    <n v="4"/>
    <x v="0"/>
  </r>
  <r>
    <d v="2024-06-27T00:00:00"/>
    <s v="Child"/>
    <x v="3"/>
    <n v="208"/>
    <n v="13"/>
    <n v="2"/>
    <n v="2"/>
    <n v="225"/>
    <x v="1"/>
    <n v="4"/>
    <x v="0"/>
  </r>
  <r>
    <d v="2024-07-25T00:00:00"/>
    <s v="Adult"/>
    <x v="18"/>
    <n v="9220"/>
    <n v="1963"/>
    <n v="215"/>
    <n v="2"/>
    <n v="11400"/>
    <x v="16"/>
    <n v="217"/>
    <x v="0"/>
  </r>
  <r>
    <d v="2024-07-25T00:00:00"/>
    <s v="Child"/>
    <x v="3"/>
    <n v="213"/>
    <n v="15"/>
    <n v="3"/>
    <n v="2"/>
    <n v="232"/>
    <x v="16"/>
    <n v="5"/>
    <x v="0"/>
  </r>
  <r>
    <d v="2024-07-25T00:00:00"/>
    <s v="Child"/>
    <x v="13"/>
    <n v="27"/>
    <n v="10"/>
    <n v="4"/>
    <n v="2"/>
    <n v="42"/>
    <x v="16"/>
    <n v="6"/>
    <x v="0"/>
  </r>
  <r>
    <d v="2024-08-29T00:00:00"/>
    <s v="Adult"/>
    <x v="25"/>
    <n v="815"/>
    <n v="114"/>
    <n v="10"/>
    <n v="2"/>
    <n v="942"/>
    <x v="2"/>
    <n v="12"/>
    <x v="0"/>
  </r>
  <r>
    <d v="2024-08-29T00:00:00"/>
    <s v="Adult"/>
    <x v="6"/>
    <n v="2299"/>
    <n v="43"/>
    <n v="2"/>
    <n v="2"/>
    <n v="2345"/>
    <x v="2"/>
    <n v="4"/>
    <x v="0"/>
  </r>
  <r>
    <d v="2024-08-29T00:00:00"/>
    <s v="Adult"/>
    <x v="18"/>
    <n v="9172"/>
    <n v="1996"/>
    <n v="214"/>
    <n v="2"/>
    <n v="11384"/>
    <x v="2"/>
    <n v="216"/>
    <x v="0"/>
  </r>
  <r>
    <d v="2024-08-29T00:00:00"/>
    <s v="Adult"/>
    <x v="1"/>
    <n v="338"/>
    <n v="185"/>
    <n v="86"/>
    <n v="2"/>
    <n v="612"/>
    <x v="2"/>
    <n v="88"/>
    <x v="0"/>
  </r>
  <r>
    <d v="2024-08-29T00:00:00"/>
    <s v="Child"/>
    <x v="13"/>
    <n v="28"/>
    <n v="11"/>
    <n v="3"/>
    <n v="2"/>
    <n v="44"/>
    <x v="2"/>
    <n v="5"/>
    <x v="0"/>
  </r>
  <r>
    <d v="2024-09-26T00:00:00"/>
    <s v="Adult"/>
    <x v="25"/>
    <n v="642"/>
    <n v="100"/>
    <n v="10"/>
    <n v="2"/>
    <n v="754"/>
    <x v="17"/>
    <n v="12"/>
    <x v="0"/>
  </r>
  <r>
    <d v="2024-09-26T00:00:00"/>
    <s v="Adult"/>
    <x v="6"/>
    <n v="2236"/>
    <n v="85"/>
    <n v="2"/>
    <n v="2"/>
    <n v="2325"/>
    <x v="17"/>
    <n v="4"/>
    <x v="0"/>
  </r>
  <r>
    <d v="2024-09-26T00:00:00"/>
    <s v="Adult"/>
    <x v="18"/>
    <n v="9289"/>
    <n v="1879"/>
    <n v="169"/>
    <n v="2"/>
    <n v="11340"/>
    <x v="17"/>
    <n v="171"/>
    <x v="0"/>
  </r>
  <r>
    <d v="2024-09-26T00:00:00"/>
    <s v="Adult"/>
    <x v="10"/>
    <n v="3816"/>
    <n v="743"/>
    <n v="2"/>
    <n v="2"/>
    <n v="4563"/>
    <x v="17"/>
    <n v="4"/>
    <x v="0"/>
  </r>
  <r>
    <d v="2024-09-26T00:00:00"/>
    <s v="Adult"/>
    <x v="1"/>
    <n v="338"/>
    <n v="160"/>
    <n v="84"/>
    <n v="2"/>
    <n v="585"/>
    <x v="17"/>
    <n v="86"/>
    <x v="0"/>
  </r>
  <r>
    <d v="2024-09-26T00:00:00"/>
    <s v="Child"/>
    <x v="16"/>
    <n v="692"/>
    <n v="100"/>
    <n v="44"/>
    <n v="2"/>
    <n v="838"/>
    <x v="17"/>
    <n v="46"/>
    <x v="0"/>
  </r>
  <r>
    <d v="2024-10-31T00:00:00"/>
    <s v="Child"/>
    <x v="16"/>
    <n v="573"/>
    <n v="147"/>
    <n v="33"/>
    <n v="2"/>
    <n v="756"/>
    <x v="34"/>
    <n v="35"/>
    <x v="0"/>
  </r>
  <r>
    <d v="2024-10-31T00:00:00"/>
    <s v="Child"/>
    <x v="3"/>
    <n v="195"/>
    <n v="22"/>
    <n v="3"/>
    <n v="2"/>
    <n v="222"/>
    <x v="34"/>
    <n v="5"/>
    <x v="0"/>
  </r>
  <r>
    <d v="2024-10-31T00:00:00"/>
    <s v="Child"/>
    <x v="13"/>
    <n v="21"/>
    <n v="19"/>
    <n v="4"/>
    <n v="2"/>
    <n v="45"/>
    <x v="34"/>
    <n v="6"/>
    <x v="0"/>
  </r>
  <r>
    <d v="2024-11-28T00:00:00"/>
    <s v="Child"/>
    <x v="3"/>
    <n v="192"/>
    <n v="23"/>
    <n v="3"/>
    <n v="2"/>
    <n v="220"/>
    <x v="3"/>
    <n v="5"/>
    <x v="0"/>
  </r>
  <r>
    <d v="2024-12-19T00:00:00"/>
    <s v="Child"/>
    <x v="26"/>
    <n v="693"/>
    <n v="289"/>
    <n v="73"/>
    <n v="2"/>
    <n v="1057"/>
    <x v="4"/>
    <n v="75"/>
    <x v="0"/>
  </r>
  <r>
    <d v="2024-12-19T00:00:00"/>
    <s v="Child"/>
    <x v="27"/>
    <n v="1879"/>
    <n v="1241"/>
    <n v="447"/>
    <n v="2"/>
    <n v="3569"/>
    <x v="4"/>
    <n v="449"/>
    <x v="0"/>
  </r>
  <r>
    <d v="2025-01-30T00:00:00"/>
    <s v="Adult"/>
    <x v="21"/>
    <n v="2100"/>
    <n v="496"/>
    <n v="47"/>
    <n v="2"/>
    <n v="2645"/>
    <x v="18"/>
    <n v="49"/>
    <x v="0"/>
  </r>
  <r>
    <d v="2025-01-30T00:00:00"/>
    <s v="Child"/>
    <x v="26"/>
    <n v="728"/>
    <n v="276"/>
    <n v="82"/>
    <n v="2"/>
    <n v="1087"/>
    <x v="18"/>
    <n v="84"/>
    <x v="0"/>
  </r>
  <r>
    <d v="2025-01-30T00:00:00"/>
    <s v="Child"/>
    <x v="27"/>
    <n v="1778"/>
    <n v="1196"/>
    <n v="544"/>
    <n v="2"/>
    <n v="3520"/>
    <x v="18"/>
    <n v="546"/>
    <x v="0"/>
  </r>
  <r>
    <d v="2025-01-30T00:00:00"/>
    <s v="Child"/>
    <x v="8"/>
    <n v="322"/>
    <n v="52"/>
    <n v="9"/>
    <n v="2"/>
    <n v="383"/>
    <x v="18"/>
    <n v="11"/>
    <x v="0"/>
  </r>
  <r>
    <d v="2025-02-27T00:00:00"/>
    <s v="Adult"/>
    <x v="25"/>
    <n v="659"/>
    <n v="101"/>
    <n v="10"/>
    <n v="2"/>
    <n v="772"/>
    <x v="35"/>
    <n v="12"/>
    <x v="0"/>
  </r>
  <r>
    <d v="2025-02-27T00:00:00"/>
    <s v="Adult"/>
    <x v="1"/>
    <n v="310"/>
    <n v="167"/>
    <n v="7"/>
    <n v="2"/>
    <n v="486"/>
    <x v="35"/>
    <n v="9"/>
    <x v="0"/>
  </r>
  <r>
    <d v="2025-02-27T00:00:00"/>
    <s v="Child"/>
    <x v="3"/>
    <n v="200"/>
    <n v="19"/>
    <n v="4"/>
    <n v="2"/>
    <n v="224"/>
    <x v="35"/>
    <n v="6"/>
    <x v="0"/>
  </r>
  <r>
    <d v="2025-02-27T00:00:00"/>
    <s v="Child"/>
    <x v="7"/>
    <n v="113"/>
    <n v="84"/>
    <n v="13"/>
    <n v="2"/>
    <n v="211"/>
    <x v="35"/>
    <n v="15"/>
    <x v="0"/>
  </r>
  <r>
    <d v="2025-03-27T00:00:00"/>
    <s v="Adult"/>
    <x v="1"/>
    <n v="375"/>
    <n v="166"/>
    <n v="7"/>
    <n v="2"/>
    <n v="550"/>
    <x v="19"/>
    <n v="9"/>
    <x v="0"/>
  </r>
  <r>
    <d v="2025-03-27T00:00:00"/>
    <s v="Child"/>
    <x v="3"/>
    <n v="193"/>
    <n v="16"/>
    <n v="4"/>
    <n v="2"/>
    <n v="216"/>
    <x v="19"/>
    <n v="6"/>
    <x v="0"/>
  </r>
  <r>
    <d v="2025-03-27T00:00:00"/>
    <s v="Child"/>
    <x v="26"/>
    <n v="819"/>
    <n v="259"/>
    <n v="75"/>
    <n v="2"/>
    <n v="1155"/>
    <x v="19"/>
    <n v="77"/>
    <x v="0"/>
  </r>
  <r>
    <d v="2025-03-27T00:00:00"/>
    <s v="Child"/>
    <x v="7"/>
    <n v="119"/>
    <n v="67"/>
    <n v="13"/>
    <n v="2"/>
    <n v="201"/>
    <x v="19"/>
    <n v="15"/>
    <x v="0"/>
  </r>
  <r>
    <d v="2025-03-27T00:00:00"/>
    <s v="Child"/>
    <x v="8"/>
    <n v="338"/>
    <n v="38"/>
    <n v="21"/>
    <n v="2"/>
    <n v="399"/>
    <x v="19"/>
    <n v="23"/>
    <x v="0"/>
  </r>
  <r>
    <d v="2025-04-24T00:00:00"/>
    <s v="Adult"/>
    <x v="21"/>
    <n v="2233"/>
    <n v="484"/>
    <n v="13"/>
    <n v="2"/>
    <n v="2732"/>
    <x v="5"/>
    <n v="15"/>
    <x v="0"/>
  </r>
  <r>
    <d v="2025-04-24T00:00:00"/>
    <s v="Child"/>
    <x v="3"/>
    <n v="190"/>
    <n v="22"/>
    <n v="2"/>
    <n v="2"/>
    <n v="217"/>
    <x v="5"/>
    <n v="4"/>
    <x v="0"/>
  </r>
  <r>
    <d v="2025-04-24T00:00:00"/>
    <s v="Child"/>
    <x v="26"/>
    <n v="863"/>
    <n v="260"/>
    <n v="69"/>
    <n v="2"/>
    <n v="1193"/>
    <x v="5"/>
    <n v="71"/>
    <x v="0"/>
  </r>
  <r>
    <d v="2025-04-24T00:00:00"/>
    <s v="Child"/>
    <x v="11"/>
    <n v="19"/>
    <n v="3"/>
    <n v="0"/>
    <n v="2"/>
    <n v="24"/>
    <x v="5"/>
    <n v="2"/>
    <x v="0"/>
  </r>
  <r>
    <d v="2025-04-24T00:00:00"/>
    <s v="Child"/>
    <x v="19"/>
    <n v="684"/>
    <n v="416"/>
    <n v="106"/>
    <n v="2"/>
    <n v="1208"/>
    <x v="5"/>
    <n v="108"/>
    <x v="0"/>
  </r>
  <r>
    <d v="2025-05-29T00:00:00"/>
    <s v="Adult"/>
    <x v="30"/>
    <n v="6126"/>
    <n v="966"/>
    <n v="69"/>
    <n v="2"/>
    <n v="7162"/>
    <x v="20"/>
    <n v="71"/>
    <x v="0"/>
  </r>
  <r>
    <d v="2025-05-29T00:00:00"/>
    <s v="Adult"/>
    <x v="9"/>
    <n v="2144"/>
    <n v="742"/>
    <n v="176"/>
    <n v="2"/>
    <n v="3064"/>
    <x v="20"/>
    <n v="178"/>
    <x v="0"/>
  </r>
  <r>
    <d v="2025-05-29T00:00:00"/>
    <s v="Adult"/>
    <x v="21"/>
    <n v="2210"/>
    <n v="507"/>
    <n v="30"/>
    <n v="2"/>
    <n v="2749"/>
    <x v="20"/>
    <n v="32"/>
    <x v="0"/>
  </r>
  <r>
    <d v="2025-05-29T00:00:00"/>
    <s v="Child"/>
    <x v="16"/>
    <n v="496"/>
    <n v="203"/>
    <n v="50"/>
    <n v="2"/>
    <n v="751"/>
    <x v="20"/>
    <n v="52"/>
    <x v="0"/>
  </r>
  <r>
    <d v="2025-05-29T00:00:00"/>
    <s v="Child"/>
    <x v="3"/>
    <n v="190"/>
    <n v="20"/>
    <n v="2"/>
    <n v="2"/>
    <n v="213"/>
    <x v="20"/>
    <n v="4"/>
    <x v="0"/>
  </r>
  <r>
    <d v="2025-05-29T00:00:00"/>
    <s v="Child"/>
    <x v="13"/>
    <n v="17"/>
    <n v="35"/>
    <n v="10"/>
    <n v="2"/>
    <n v="64"/>
    <x v="20"/>
    <n v="12"/>
    <x v="0"/>
  </r>
  <r>
    <d v="2025-05-29T00:00:00"/>
    <s v="Child"/>
    <x v="26"/>
    <n v="889"/>
    <n v="225"/>
    <n v="61"/>
    <n v="2"/>
    <n v="1177"/>
    <x v="20"/>
    <n v="63"/>
    <x v="0"/>
  </r>
  <r>
    <d v="2025-05-29T00:00:00"/>
    <s v="Child"/>
    <x v="19"/>
    <n v="723"/>
    <n v="347"/>
    <n v="129"/>
    <n v="2"/>
    <n v="1201"/>
    <x v="20"/>
    <n v="131"/>
    <x v="0"/>
  </r>
  <r>
    <d v="2025-06-26T00:00:00"/>
    <s v="Child"/>
    <x v="3"/>
    <n v="207"/>
    <n v="10"/>
    <n v="0"/>
    <n v="2"/>
    <n v="219"/>
    <x v="21"/>
    <n v="2"/>
    <x v="0"/>
  </r>
  <r>
    <d v="2025-06-26T00:00:00"/>
    <s v="Child"/>
    <x v="11"/>
    <n v="19"/>
    <n v="2"/>
    <n v="0"/>
    <n v="2"/>
    <n v="23"/>
    <x v="21"/>
    <n v="2"/>
    <x v="0"/>
  </r>
  <r>
    <d v="2025-06-26T00:00:00"/>
    <s v="Child"/>
    <x v="19"/>
    <n v="714"/>
    <n v="332"/>
    <n v="129"/>
    <n v="2"/>
    <n v="1177"/>
    <x v="21"/>
    <n v="131"/>
    <x v="0"/>
  </r>
  <r>
    <d v="2025-07-31T00:00:00"/>
    <s v="Adult"/>
    <x v="17"/>
    <n v="1765"/>
    <n v="691"/>
    <n v="161"/>
    <n v="2"/>
    <n v="2618"/>
    <x v="22"/>
    <n v="163"/>
    <x v="0"/>
  </r>
  <r>
    <d v="2025-08-28T00:00:00"/>
    <s v="Adult"/>
    <x v="17"/>
    <n v="1849"/>
    <n v="709"/>
    <n v="179"/>
    <n v="2"/>
    <n v="2739"/>
    <x v="23"/>
    <n v="181"/>
    <x v="0"/>
  </r>
  <r>
    <d v="2025-08-28T00:00:00"/>
    <s v="Adult"/>
    <x v="1"/>
    <n v="323"/>
    <n v="182"/>
    <n v="7"/>
    <n v="2"/>
    <n v="514"/>
    <x v="23"/>
    <n v="9"/>
    <x v="0"/>
  </r>
  <r>
    <d v="2025-08-28T00:00:00"/>
    <s v="Child"/>
    <x v="3"/>
    <n v="170"/>
    <n v="13"/>
    <n v="2"/>
    <n v="2"/>
    <n v="185"/>
    <x v="23"/>
    <n v="4"/>
    <x v="0"/>
  </r>
  <r>
    <d v="2025-08-28T00:00:00"/>
    <s v="Child"/>
    <x v="13"/>
    <n v="14"/>
    <n v="33"/>
    <n v="10"/>
    <n v="2"/>
    <n v="59"/>
    <x v="23"/>
    <n v="12"/>
    <x v="0"/>
  </r>
  <r>
    <d v="2025-08-28T00:00:00"/>
    <s v="Child"/>
    <x v="26"/>
    <n v="763"/>
    <n v="210"/>
    <n v="82"/>
    <n v="2"/>
    <n v="1057"/>
    <x v="23"/>
    <n v="84"/>
    <x v="0"/>
  </r>
  <r>
    <d v="2025-08-28T00:00:00"/>
    <s v="Child"/>
    <x v="11"/>
    <n v="15"/>
    <n v="6"/>
    <n v="0"/>
    <n v="2"/>
    <n v="23"/>
    <x v="23"/>
    <n v="2"/>
    <x v="0"/>
  </r>
  <r>
    <d v="2025-09-25T00:00:00"/>
    <s v="Adult"/>
    <x v="25"/>
    <n v="774"/>
    <n v="152"/>
    <n v="0"/>
    <n v="2"/>
    <n v="928"/>
    <x v="24"/>
    <n v="2"/>
    <x v="0"/>
  </r>
  <r>
    <d v="2025-09-25T00:00:00"/>
    <s v="Child"/>
    <x v="3"/>
    <n v="163"/>
    <n v="8"/>
    <n v="2"/>
    <n v="2"/>
    <n v="176"/>
    <x v="24"/>
    <n v="4"/>
    <x v="0"/>
  </r>
  <r>
    <d v="2025-10-30T00:00:00"/>
    <s v="Adult"/>
    <x v="16"/>
    <n v="4540"/>
    <n v="1098"/>
    <n v="131"/>
    <n v="2"/>
    <n v="5771"/>
    <x v="25"/>
    <n v="133"/>
    <x v="0"/>
  </r>
  <r>
    <d v="2025-10-30T00:00:00"/>
    <s v="Adult"/>
    <x v="6"/>
    <n v="2179"/>
    <n v="197"/>
    <n v="15"/>
    <n v="2"/>
    <n v="2392"/>
    <x v="25"/>
    <n v="17"/>
    <x v="0"/>
  </r>
  <r>
    <d v="2025-10-30T00:00:00"/>
    <s v="Adult"/>
    <x v="24"/>
    <n v="3972"/>
    <n v="868"/>
    <n v="55"/>
    <n v="2"/>
    <n v="4896"/>
    <x v="25"/>
    <n v="57"/>
    <x v="0"/>
  </r>
  <r>
    <d v="2025-10-30T00:00:00"/>
    <s v="Child"/>
    <x v="3"/>
    <n v="148"/>
    <n v="8"/>
    <n v="2"/>
    <n v="2"/>
    <n v="161"/>
    <x v="25"/>
    <n v="4"/>
    <x v="0"/>
  </r>
  <r>
    <d v="2025-10-30T00:00:00"/>
    <s v="Child"/>
    <x v="13"/>
    <n v="13"/>
    <n v="21"/>
    <n v="7"/>
    <n v="2"/>
    <n v="43"/>
    <x v="25"/>
    <n v="9"/>
    <x v="0"/>
  </r>
  <r>
    <d v="2025-10-30T00:00:00"/>
    <s v="Child"/>
    <x v="7"/>
    <n v="118"/>
    <n v="84"/>
    <n v="21"/>
    <n v="2"/>
    <n v="224"/>
    <x v="25"/>
    <n v="23"/>
    <x v="0"/>
  </r>
  <r>
    <d v="2025-11-27T00:00:00"/>
    <s v="Adult"/>
    <x v="14"/>
    <n v="2371"/>
    <n v="869"/>
    <n v="108"/>
    <n v="2"/>
    <n v="3350"/>
    <x v="26"/>
    <n v="110"/>
    <x v="0"/>
  </r>
  <r>
    <d v="2025-11-27T00:00:00"/>
    <s v="Adult"/>
    <x v="21"/>
    <n v="2139"/>
    <n v="623"/>
    <n v="136"/>
    <n v="2"/>
    <n v="2901"/>
    <x v="26"/>
    <n v="138"/>
    <x v="0"/>
  </r>
  <r>
    <d v="2025-11-27T00:00:00"/>
    <s v="Adult"/>
    <x v="24"/>
    <n v="4000"/>
    <n v="777"/>
    <n v="119"/>
    <n v="2"/>
    <n v="4898"/>
    <x v="26"/>
    <n v="121"/>
    <x v="0"/>
  </r>
  <r>
    <d v="2025-11-27T00:00:00"/>
    <s v="Child"/>
    <x v="13"/>
    <n v="17"/>
    <n v="14"/>
    <n v="12"/>
    <n v="2"/>
    <n v="44"/>
    <x v="26"/>
    <n v="14"/>
    <x v="0"/>
  </r>
  <r>
    <d v="2025-11-27T00:00:00"/>
    <s v="Child"/>
    <x v="32"/>
    <n v="1001"/>
    <n v="312"/>
    <n v="133"/>
    <n v="2"/>
    <n v="1448"/>
    <x v="26"/>
    <n v="135"/>
    <x v="0"/>
  </r>
  <r>
    <d v="2025-11-27T00:00:00"/>
    <s v="Child"/>
    <x v="11"/>
    <n v="15"/>
    <n v="5"/>
    <n v="0"/>
    <n v="2"/>
    <n v="22"/>
    <x v="26"/>
    <n v="2"/>
    <x v="0"/>
  </r>
  <r>
    <d v="2025-12-18T00:00:00"/>
    <s v="Adult"/>
    <x v="18"/>
    <n v="11311"/>
    <n v="4385"/>
    <n v="732"/>
    <n v="2"/>
    <n v="16430"/>
    <x v="27"/>
    <n v="734"/>
    <x v="0"/>
  </r>
  <r>
    <d v="2025-12-18T00:00:00"/>
    <s v="Child"/>
    <x v="13"/>
    <n v="13"/>
    <n v="11"/>
    <n v="14"/>
    <n v="2"/>
    <n v="41"/>
    <x v="27"/>
    <n v="16"/>
    <x v="0"/>
  </r>
  <r>
    <d v="2025-12-18T00:00:00"/>
    <s v="Child"/>
    <x v="11"/>
    <n v="16"/>
    <n v="3"/>
    <n v="0"/>
    <n v="2"/>
    <n v="21"/>
    <x v="27"/>
    <n v="2"/>
    <x v="0"/>
  </r>
  <r>
    <d v="2026-01-29T00:00:00"/>
    <s v="Adult"/>
    <x v="10"/>
    <n v="4342"/>
    <n v="1516"/>
    <n v="115"/>
    <n v="2"/>
    <n v="5974"/>
    <x v="6"/>
    <n v="117"/>
    <x v="0"/>
  </r>
  <r>
    <d v="2026-02-26T00:00:00"/>
    <s v="Adult"/>
    <x v="10"/>
    <n v="4355"/>
    <n v="1593"/>
    <n v="93"/>
    <n v="2"/>
    <n v="6042"/>
    <x v="7"/>
    <n v="95"/>
    <x v="0"/>
  </r>
  <r>
    <d v="2026-02-26T00:00:00"/>
    <s v="Child"/>
    <x v="13"/>
    <n v="5"/>
    <n v="7"/>
    <n v="13"/>
    <n v="2"/>
    <n v="27"/>
    <x v="7"/>
    <n v="15"/>
    <x v="0"/>
  </r>
  <r>
    <d v="2026-02-26T00:00:00"/>
    <s v="Child"/>
    <x v="32"/>
    <n v="1060"/>
    <n v="255"/>
    <n v="13"/>
    <n v="2"/>
    <n v="1329"/>
    <x v="7"/>
    <n v="15"/>
    <x v="0"/>
  </r>
  <r>
    <d v="2026-03-26T00:00:00"/>
    <s v="Adult"/>
    <x v="14"/>
    <n v="2367"/>
    <n v="945"/>
    <n v="266"/>
    <n v="2"/>
    <n v="3580"/>
    <x v="28"/>
    <n v="268"/>
    <x v="0"/>
  </r>
  <r>
    <d v="2026-03-26T00:00:00"/>
    <s v="Child"/>
    <x v="13"/>
    <n v="5"/>
    <n v="2"/>
    <n v="4"/>
    <n v="2"/>
    <n v="13"/>
    <x v="28"/>
    <n v="6"/>
    <x v="0"/>
  </r>
  <r>
    <d v="2026-03-26T00:00:00"/>
    <s v="Child"/>
    <x v="32"/>
    <n v="1183"/>
    <n v="130"/>
    <n v="5"/>
    <n v="2"/>
    <n v="1320"/>
    <x v="28"/>
    <n v="7"/>
    <x v="0"/>
  </r>
  <r>
    <d v="2026-03-26T00:00:00"/>
    <s v="Child"/>
    <x v="12"/>
    <n v="5"/>
    <n v="3"/>
    <n v="0"/>
    <n v="2"/>
    <n v="9"/>
    <x v="28"/>
    <n v="2"/>
    <x v="0"/>
  </r>
  <r>
    <d v="2026-04-30T00:00:00"/>
    <s v="Adult"/>
    <x v="17"/>
    <n v="1757"/>
    <n v="656"/>
    <n v="183"/>
    <n v="2"/>
    <n v="2598"/>
    <x v="29"/>
    <n v="185"/>
    <x v="0"/>
  </r>
  <r>
    <d v="2026-04-30T00:00:00"/>
    <s v="Adult"/>
    <x v="14"/>
    <n v="2306"/>
    <n v="931"/>
    <n v="307"/>
    <n v="2"/>
    <n v="3546"/>
    <x v="29"/>
    <n v="309"/>
    <x v="0"/>
  </r>
  <r>
    <d v="2026-04-30T00:00:00"/>
    <s v="Child"/>
    <x v="23"/>
    <n v="46"/>
    <n v="12"/>
    <n v="2"/>
    <n v="2"/>
    <n v="61"/>
    <x v="29"/>
    <n v="4"/>
    <x v="0"/>
  </r>
  <r>
    <d v="2026-04-30T00:00:00"/>
    <s v="Child"/>
    <x v="32"/>
    <n v="1282"/>
    <n v="59"/>
    <n v="7"/>
    <n v="2"/>
    <n v="1350"/>
    <x v="29"/>
    <n v="9"/>
    <x v="0"/>
  </r>
  <r>
    <d v="2026-04-30T00:00:00"/>
    <s v="Child"/>
    <x v="21"/>
    <n v="447"/>
    <n v="62"/>
    <n v="7"/>
    <n v="2"/>
    <n v="518"/>
    <x v="29"/>
    <n v="9"/>
    <x v="0"/>
  </r>
  <r>
    <d v="2026-04-30T00:00:00"/>
    <s v="Child"/>
    <x v="5"/>
    <n v="435"/>
    <n v="18"/>
    <n v="4"/>
    <n v="2"/>
    <n v="458"/>
    <x v="29"/>
    <n v="6"/>
    <x v="0"/>
  </r>
  <r>
    <d v="2026-05-28T00:00:00"/>
    <s v="Adult"/>
    <x v="9"/>
    <n v="2403"/>
    <n v="1109"/>
    <n v="89"/>
    <n v="2"/>
    <n v="3602"/>
    <x v="8"/>
    <n v="91"/>
    <x v="0"/>
  </r>
  <r>
    <d v="2026-05-28T00:00:00"/>
    <s v="Adult"/>
    <x v="7"/>
    <n v="3287"/>
    <n v="1168"/>
    <n v="27"/>
    <n v="2"/>
    <n v="4484"/>
    <x v="8"/>
    <n v="29"/>
    <x v="0"/>
  </r>
  <r>
    <d v="2026-05-28T00:00:00"/>
    <s v="Child"/>
    <x v="4"/>
    <n v="158"/>
    <n v="38"/>
    <n v="10"/>
    <n v="2"/>
    <n v="207"/>
    <x v="8"/>
    <n v="12"/>
    <x v="0"/>
  </r>
  <r>
    <d v="2026-05-28T00:00:00"/>
    <s v="Child"/>
    <x v="21"/>
    <n v="496"/>
    <n v="53"/>
    <n v="7"/>
    <n v="2"/>
    <n v="558"/>
    <x v="8"/>
    <n v="9"/>
    <x v="0"/>
  </r>
  <r>
    <d v="2026-05-28T00:00:00"/>
    <s v="Child"/>
    <x v="5"/>
    <n v="467"/>
    <n v="19"/>
    <n v="4"/>
    <n v="2"/>
    <n v="492"/>
    <x v="8"/>
    <n v="6"/>
    <x v="0"/>
  </r>
  <r>
    <d v="2026-05-28T00:00:00"/>
    <s v="Child"/>
    <x v="8"/>
    <n v="411"/>
    <n v="101"/>
    <n v="11"/>
    <n v="2"/>
    <n v="523"/>
    <x v="8"/>
    <n v="13"/>
    <x v="0"/>
  </r>
  <r>
    <d v="2026-06-25T00:00:00"/>
    <s v="Adult"/>
    <x v="17"/>
    <n v="1795"/>
    <n v="752"/>
    <n v="180"/>
    <n v="2"/>
    <n v="2730"/>
    <x v="9"/>
    <n v="182"/>
    <x v="0"/>
  </r>
  <r>
    <d v="2026-06-25T00:00:00"/>
    <s v="Adult"/>
    <x v="7"/>
    <n v="3612"/>
    <n v="1075"/>
    <n v="52"/>
    <n v="2"/>
    <n v="4742"/>
    <x v="9"/>
    <n v="54"/>
    <x v="0"/>
  </r>
  <r>
    <d v="2026-06-25T00:00:00"/>
    <s v="Child"/>
    <x v="4"/>
    <n v="156"/>
    <n v="34"/>
    <n v="6"/>
    <n v="2"/>
    <n v="197"/>
    <x v="9"/>
    <n v="8"/>
    <x v="0"/>
  </r>
  <r>
    <d v="2026-06-25T00:00:00"/>
    <s v="Child"/>
    <x v="29"/>
    <n v="132"/>
    <n v="35"/>
    <n v="4"/>
    <n v="2"/>
    <n v="173"/>
    <x v="9"/>
    <n v="6"/>
    <x v="0"/>
  </r>
  <r>
    <d v="2026-06-25T00:00:00"/>
    <s v="Child"/>
    <x v="7"/>
    <n v="126"/>
    <n v="42"/>
    <n v="4"/>
    <n v="2"/>
    <n v="173"/>
    <x v="9"/>
    <n v="6"/>
    <x v="0"/>
  </r>
  <r>
    <d v="2026-06-25T00:00:00"/>
    <s v="Child"/>
    <x v="5"/>
    <n v="436"/>
    <n v="21"/>
    <n v="4"/>
    <n v="2"/>
    <n v="463"/>
    <x v="9"/>
    <n v="6"/>
    <x v="0"/>
  </r>
  <r>
    <d v="2026-07-30T00:00:00"/>
    <s v="Adult"/>
    <x v="25"/>
    <n v="908"/>
    <n v="186"/>
    <n v="42"/>
    <n v="2"/>
    <n v="1139"/>
    <x v="10"/>
    <n v="44"/>
    <x v="0"/>
  </r>
  <r>
    <d v="2026-07-30T00:00:00"/>
    <s v="Adult"/>
    <x v="9"/>
    <n v="2604"/>
    <n v="1061"/>
    <n v="103"/>
    <n v="2"/>
    <n v="3770"/>
    <x v="10"/>
    <n v="105"/>
    <x v="0"/>
  </r>
  <r>
    <d v="2026-07-30T00:00:00"/>
    <s v="Adult"/>
    <x v="17"/>
    <n v="1801"/>
    <n v="739"/>
    <n v="197"/>
    <n v="2"/>
    <n v="2739"/>
    <x v="10"/>
    <n v="199"/>
    <x v="0"/>
  </r>
  <r>
    <d v="2026-07-30T00:00:00"/>
    <s v="Child"/>
    <x v="16"/>
    <n v="525"/>
    <n v="164"/>
    <n v="4"/>
    <n v="2"/>
    <n v="694"/>
    <x v="10"/>
    <n v="6"/>
    <x v="0"/>
  </r>
  <r>
    <d v="2026-07-30T00:00:00"/>
    <s v="Child"/>
    <x v="13"/>
    <n v="11"/>
    <n v="0"/>
    <n v="0"/>
    <n v="2"/>
    <n v="13"/>
    <x v="10"/>
    <n v="2"/>
    <x v="0"/>
  </r>
  <r>
    <d v="2026-07-30T00:00:00"/>
    <s v="Child"/>
    <x v="4"/>
    <n v="151"/>
    <n v="34"/>
    <n v="5"/>
    <n v="2"/>
    <n v="192"/>
    <x v="10"/>
    <n v="7"/>
    <x v="0"/>
  </r>
  <r>
    <d v="2026-07-30T00:00:00"/>
    <s v="Child"/>
    <x v="29"/>
    <n v="127"/>
    <n v="33"/>
    <n v="3"/>
    <n v="2"/>
    <n v="165"/>
    <x v="10"/>
    <n v="5"/>
    <x v="0"/>
  </r>
  <r>
    <d v="2026-07-30T00:00:00"/>
    <s v="Child"/>
    <x v="5"/>
    <n v="415"/>
    <n v="18"/>
    <n v="6"/>
    <n v="2"/>
    <n v="442"/>
    <x v="10"/>
    <n v="8"/>
    <x v="0"/>
  </r>
  <r>
    <d v="2026-08-27T00:00:00"/>
    <s v="Child"/>
    <x v="23"/>
    <n v="47"/>
    <n v="13"/>
    <n v="4"/>
    <n v="2"/>
    <n v="65"/>
    <x v="11"/>
    <n v="6"/>
    <x v="0"/>
  </r>
  <r>
    <d v="2026-08-27T00:00:00"/>
    <s v="Child"/>
    <x v="29"/>
    <n v="166"/>
    <n v="32"/>
    <n v="5"/>
    <n v="2"/>
    <n v="205"/>
    <x v="11"/>
    <n v="7"/>
    <x v="0"/>
  </r>
  <r>
    <d v="2026-08-27T00:00:00"/>
    <s v="Child"/>
    <x v="5"/>
    <n v="401"/>
    <n v="17"/>
    <n v="6"/>
    <n v="2"/>
    <n v="425"/>
    <x v="11"/>
    <n v="8"/>
    <x v="0"/>
  </r>
  <r>
    <d v="2023-01-26T00:00:00"/>
    <s v="Adult"/>
    <x v="9"/>
    <n v="138"/>
    <n v="41"/>
    <n v="8"/>
    <n v="2"/>
    <n v="189"/>
    <x v="36"/>
    <n v="10"/>
    <x v="1"/>
  </r>
  <r>
    <d v="2023-01-26T00:00:00"/>
    <s v="Adult"/>
    <x v="13"/>
    <n v="318"/>
    <n v="30"/>
    <n v="4"/>
    <n v="2"/>
    <n v="354"/>
    <x v="36"/>
    <n v="6"/>
    <x v="1"/>
  </r>
  <r>
    <d v="2023-01-26T00:00:00"/>
    <s v="Adult"/>
    <x v="15"/>
    <n v="160"/>
    <n v="75"/>
    <n v="2"/>
    <n v="2"/>
    <n v="239"/>
    <x v="36"/>
    <n v="4"/>
    <x v="1"/>
  </r>
  <r>
    <d v="2023-01-26T00:00:00"/>
    <s v="Adult"/>
    <x v="34"/>
    <n v="1801"/>
    <n v="757"/>
    <n v="23"/>
    <n v="2"/>
    <n v="2584"/>
    <x v="36"/>
    <n v="25"/>
    <x v="1"/>
  </r>
  <r>
    <d v="2023-01-26T00:00:00"/>
    <s v="Child"/>
    <x v="38"/>
    <n v="91"/>
    <n v="17"/>
    <n v="2"/>
    <n v="2"/>
    <n v="112"/>
    <x v="36"/>
    <n v="4"/>
    <x v="1"/>
  </r>
  <r>
    <d v="2023-01-26T00:00:00"/>
    <s v="Child"/>
    <x v="28"/>
    <n v="50"/>
    <n v="13"/>
    <n v="2"/>
    <n v="2"/>
    <n v="67"/>
    <x v="36"/>
    <n v="4"/>
    <x v="1"/>
  </r>
  <r>
    <d v="2023-01-26T00:00:00"/>
    <s v="Child"/>
    <x v="36"/>
    <n v="144"/>
    <n v="30"/>
    <n v="4"/>
    <n v="2"/>
    <n v="180"/>
    <x v="36"/>
    <n v="6"/>
    <x v="1"/>
  </r>
  <r>
    <d v="2023-02-23T00:00:00"/>
    <s v="Adult"/>
    <x v="4"/>
    <n v="234"/>
    <n v="25"/>
    <n v="8"/>
    <n v="2"/>
    <n v="270"/>
    <x v="37"/>
    <n v="10"/>
    <x v="1"/>
  </r>
  <r>
    <d v="2023-02-23T00:00:00"/>
    <s v="Adult"/>
    <x v="15"/>
    <n v="137"/>
    <n v="57"/>
    <n v="2"/>
    <n v="2"/>
    <n v="198"/>
    <x v="37"/>
    <n v="4"/>
    <x v="1"/>
  </r>
  <r>
    <d v="2023-02-23T00:00:00"/>
    <s v="Adult"/>
    <x v="21"/>
    <n v="447"/>
    <n v="126"/>
    <n v="53"/>
    <n v="2"/>
    <n v="629"/>
    <x v="37"/>
    <n v="55"/>
    <x v="1"/>
  </r>
  <r>
    <d v="2023-02-23T00:00:00"/>
    <s v="Child"/>
    <x v="38"/>
    <n v="83"/>
    <n v="11"/>
    <n v="4"/>
    <n v="2"/>
    <n v="100"/>
    <x v="37"/>
    <n v="6"/>
    <x v="1"/>
  </r>
  <r>
    <d v="2023-02-23T00:00:00"/>
    <s v="Child"/>
    <x v="28"/>
    <n v="58"/>
    <n v="15"/>
    <n v="2"/>
    <n v="2"/>
    <n v="77"/>
    <x v="37"/>
    <n v="4"/>
    <x v="1"/>
  </r>
  <r>
    <d v="2023-02-23T00:00:00"/>
    <s v="Child"/>
    <x v="36"/>
    <n v="166"/>
    <n v="27"/>
    <n v="6"/>
    <n v="2"/>
    <n v="202"/>
    <x v="37"/>
    <n v="8"/>
    <x v="1"/>
  </r>
  <r>
    <d v="2023-02-23T00:00:00"/>
    <s v="Child"/>
    <x v="34"/>
    <n v="246"/>
    <n v="46"/>
    <n v="4"/>
    <n v="2"/>
    <n v="299"/>
    <x v="37"/>
    <n v="6"/>
    <x v="1"/>
  </r>
  <r>
    <d v="2023-03-30T00:00:00"/>
    <s v="Adult"/>
    <x v="9"/>
    <n v="111"/>
    <n v="14"/>
    <n v="6"/>
    <n v="2"/>
    <n v="133"/>
    <x v="38"/>
    <n v="8"/>
    <x v="1"/>
  </r>
  <r>
    <d v="2023-03-30T00:00:00"/>
    <s v="Adult"/>
    <x v="15"/>
    <n v="119"/>
    <n v="69"/>
    <n v="8"/>
    <n v="2"/>
    <n v="198"/>
    <x v="38"/>
    <n v="10"/>
    <x v="1"/>
  </r>
  <r>
    <d v="2023-03-30T00:00:00"/>
    <s v="Adult"/>
    <x v="0"/>
    <n v="750"/>
    <n v="67"/>
    <n v="6"/>
    <n v="2"/>
    <n v="825"/>
    <x v="38"/>
    <n v="8"/>
    <x v="1"/>
  </r>
  <r>
    <d v="2023-03-30T00:00:00"/>
    <s v="Adult"/>
    <x v="34"/>
    <n v="1641"/>
    <n v="752"/>
    <n v="66"/>
    <n v="2"/>
    <n v="2461"/>
    <x v="38"/>
    <n v="68"/>
    <x v="1"/>
  </r>
  <r>
    <d v="2023-03-30T00:00:00"/>
    <s v="Child"/>
    <x v="38"/>
    <n v="77"/>
    <n v="15"/>
    <n v="4"/>
    <n v="2"/>
    <n v="99"/>
    <x v="38"/>
    <n v="6"/>
    <x v="1"/>
  </r>
  <r>
    <d v="2023-03-30T00:00:00"/>
    <s v="Child"/>
    <x v="28"/>
    <n v="67"/>
    <n v="8"/>
    <n v="4"/>
    <n v="2"/>
    <n v="81"/>
    <x v="38"/>
    <n v="6"/>
    <x v="1"/>
  </r>
  <r>
    <d v="2023-03-30T00:00:00"/>
    <s v="Child"/>
    <x v="36"/>
    <n v="178"/>
    <n v="39"/>
    <n v="6"/>
    <n v="2"/>
    <n v="225"/>
    <x v="38"/>
    <n v="8"/>
    <x v="1"/>
  </r>
  <r>
    <d v="2023-03-30T00:00:00"/>
    <s v="Child"/>
    <x v="34"/>
    <n v="355"/>
    <n v="45"/>
    <n v="4"/>
    <n v="2"/>
    <n v="406"/>
    <x v="38"/>
    <n v="6"/>
    <x v="1"/>
  </r>
  <r>
    <d v="2023-04-27T00:00:00"/>
    <s v="Adult"/>
    <x v="16"/>
    <n v="328"/>
    <n v="2"/>
    <n v="0"/>
    <n v="2"/>
    <n v="332"/>
    <x v="39"/>
    <n v="2"/>
    <x v="1"/>
  </r>
  <r>
    <d v="2023-04-27T00:00:00"/>
    <s v="Adult"/>
    <x v="0"/>
    <n v="652"/>
    <n v="104"/>
    <n v="8"/>
    <n v="2"/>
    <n v="767"/>
    <x v="39"/>
    <n v="10"/>
    <x v="1"/>
  </r>
  <r>
    <d v="2023-04-27T00:00:00"/>
    <s v="Adult"/>
    <x v="34"/>
    <n v="1656"/>
    <n v="803"/>
    <n v="93"/>
    <n v="2"/>
    <n v="2554"/>
    <x v="39"/>
    <n v="95"/>
    <x v="1"/>
  </r>
  <r>
    <d v="2023-04-27T00:00:00"/>
    <s v="Child"/>
    <x v="38"/>
    <n v="96"/>
    <n v="18"/>
    <n v="4"/>
    <n v="2"/>
    <n v="120"/>
    <x v="39"/>
    <n v="6"/>
    <x v="1"/>
  </r>
  <r>
    <d v="2023-04-27T00:00:00"/>
    <s v="Child"/>
    <x v="28"/>
    <n v="66"/>
    <n v="10"/>
    <n v="10"/>
    <n v="2"/>
    <n v="89"/>
    <x v="39"/>
    <n v="12"/>
    <x v="1"/>
  </r>
  <r>
    <d v="2023-04-27T00:00:00"/>
    <s v="Child"/>
    <x v="36"/>
    <n v="196"/>
    <n v="27"/>
    <n v="6"/>
    <n v="2"/>
    <n v="232"/>
    <x v="39"/>
    <n v="8"/>
    <x v="1"/>
  </r>
  <r>
    <d v="2023-05-25T00:00:00"/>
    <s v="Adult"/>
    <x v="16"/>
    <n v="272"/>
    <n v="4"/>
    <n v="0"/>
    <n v="2"/>
    <n v="278"/>
    <x v="40"/>
    <n v="2"/>
    <x v="1"/>
  </r>
  <r>
    <d v="2023-05-25T00:00:00"/>
    <s v="Adult"/>
    <x v="0"/>
    <n v="629"/>
    <n v="100"/>
    <n v="10"/>
    <n v="2"/>
    <n v="741"/>
    <x v="40"/>
    <n v="12"/>
    <x v="1"/>
  </r>
  <r>
    <d v="2023-05-25T00:00:00"/>
    <s v="Adult"/>
    <x v="21"/>
    <n v="432"/>
    <n v="130"/>
    <n v="29"/>
    <n v="2"/>
    <n v="593"/>
    <x v="40"/>
    <n v="31"/>
    <x v="1"/>
  </r>
  <r>
    <d v="2023-05-25T00:00:00"/>
    <s v="Child"/>
    <x v="21"/>
    <n v="25"/>
    <n v="6"/>
    <n v="2"/>
    <n v="2"/>
    <n v="35"/>
    <x v="40"/>
    <n v="4"/>
    <x v="1"/>
  </r>
  <r>
    <d v="2023-05-25T00:00:00"/>
    <s v="Child"/>
    <x v="38"/>
    <n v="103"/>
    <n v="14"/>
    <n v="6"/>
    <n v="2"/>
    <n v="125"/>
    <x v="40"/>
    <n v="8"/>
    <x v="1"/>
  </r>
  <r>
    <d v="2023-05-25T00:00:00"/>
    <s v="Child"/>
    <x v="34"/>
    <n v="330"/>
    <n v="115"/>
    <n v="6"/>
    <n v="2"/>
    <n v="454"/>
    <x v="40"/>
    <n v="8"/>
    <x v="1"/>
  </r>
  <r>
    <d v="2023-06-29T00:00:00"/>
    <s v="Adult"/>
    <x v="3"/>
    <n v="275"/>
    <n v="2"/>
    <n v="0"/>
    <n v="2"/>
    <n v="279"/>
    <x v="30"/>
    <n v="2"/>
    <x v="1"/>
  </r>
  <r>
    <d v="2023-06-29T00:00:00"/>
    <s v="Child"/>
    <x v="38"/>
    <n v="113"/>
    <n v="16"/>
    <n v="8"/>
    <n v="2"/>
    <n v="138"/>
    <x v="30"/>
    <n v="10"/>
    <x v="1"/>
  </r>
  <r>
    <d v="2023-06-29T00:00:00"/>
    <s v="Child"/>
    <x v="36"/>
    <n v="161"/>
    <n v="29"/>
    <n v="16"/>
    <n v="2"/>
    <n v="209"/>
    <x v="30"/>
    <n v="18"/>
    <x v="1"/>
  </r>
  <r>
    <d v="2023-07-27T00:00:00"/>
    <s v="Adult"/>
    <x v="15"/>
    <n v="101"/>
    <n v="18"/>
    <n v="2"/>
    <n v="2"/>
    <n v="123"/>
    <x v="31"/>
    <n v="4"/>
    <x v="1"/>
  </r>
  <r>
    <d v="2023-07-27T00:00:00"/>
    <s v="Adult"/>
    <x v="34"/>
    <n v="1934"/>
    <n v="857"/>
    <n v="148"/>
    <n v="2"/>
    <n v="2940"/>
    <x v="31"/>
    <n v="150"/>
    <x v="1"/>
  </r>
  <r>
    <d v="2023-07-27T00:00:00"/>
    <s v="Child"/>
    <x v="23"/>
    <n v="30"/>
    <n v="4"/>
    <n v="4"/>
    <n v="2"/>
    <n v="40"/>
    <x v="31"/>
    <n v="6"/>
    <x v="1"/>
  </r>
  <r>
    <d v="2023-07-27T00:00:00"/>
    <s v="Child"/>
    <x v="38"/>
    <n v="115"/>
    <n v="12"/>
    <n v="8"/>
    <n v="2"/>
    <n v="136"/>
    <x v="31"/>
    <n v="10"/>
    <x v="1"/>
  </r>
  <r>
    <d v="2023-08-31T00:00:00"/>
    <s v="Adult"/>
    <x v="31"/>
    <n v="589"/>
    <n v="85"/>
    <n v="9"/>
    <n v="2"/>
    <n v="685"/>
    <x v="32"/>
    <n v="11"/>
    <x v="1"/>
  </r>
  <r>
    <d v="2023-08-31T00:00:00"/>
    <s v="Adult"/>
    <x v="18"/>
    <n v="602"/>
    <n v="119"/>
    <n v="7"/>
    <n v="2"/>
    <n v="729"/>
    <x v="32"/>
    <n v="9"/>
    <x v="1"/>
  </r>
  <r>
    <d v="2023-08-31T00:00:00"/>
    <s v="Adult"/>
    <x v="34"/>
    <n v="1763"/>
    <n v="777"/>
    <n v="139"/>
    <n v="2"/>
    <n v="2681"/>
    <x v="32"/>
    <n v="141"/>
    <x v="1"/>
  </r>
  <r>
    <d v="2023-09-28T00:00:00"/>
    <s v="Adult"/>
    <x v="9"/>
    <n v="71"/>
    <n v="68"/>
    <n v="8"/>
    <n v="2"/>
    <n v="149"/>
    <x v="33"/>
    <n v="10"/>
    <x v="1"/>
  </r>
  <r>
    <d v="2023-09-28T00:00:00"/>
    <s v="Adult"/>
    <x v="18"/>
    <n v="619"/>
    <n v="126"/>
    <n v="6"/>
    <n v="2"/>
    <n v="753"/>
    <x v="33"/>
    <n v="8"/>
    <x v="1"/>
  </r>
  <r>
    <d v="2023-09-28T00:00:00"/>
    <s v="Adult"/>
    <x v="1"/>
    <n v="602"/>
    <n v="123"/>
    <n v="11"/>
    <n v="2"/>
    <n v="739"/>
    <x v="33"/>
    <n v="13"/>
    <x v="1"/>
  </r>
  <r>
    <d v="2023-10-26T00:00:00"/>
    <s v="Child"/>
    <x v="36"/>
    <n v="182"/>
    <n v="20"/>
    <n v="13"/>
    <n v="2"/>
    <n v="217"/>
    <x v="41"/>
    <n v="15"/>
    <x v="1"/>
  </r>
  <r>
    <d v="2023-11-30T00:00:00"/>
    <s v="Adult"/>
    <x v="1"/>
    <n v="699"/>
    <n v="129"/>
    <n v="4"/>
    <n v="2"/>
    <n v="834"/>
    <x v="42"/>
    <n v="6"/>
    <x v="1"/>
  </r>
  <r>
    <d v="2023-11-30T00:00:00"/>
    <s v="Child"/>
    <x v="36"/>
    <n v="216"/>
    <n v="26"/>
    <n v="8"/>
    <n v="2"/>
    <n v="252"/>
    <x v="42"/>
    <n v="10"/>
    <x v="1"/>
  </r>
  <r>
    <d v="2023-11-30T00:00:00"/>
    <s v="Child"/>
    <x v="34"/>
    <n v="167"/>
    <n v="209"/>
    <n v="28"/>
    <n v="2"/>
    <n v="406"/>
    <x v="42"/>
    <n v="30"/>
    <x v="1"/>
  </r>
  <r>
    <d v="2023-12-28T00:00:00"/>
    <s v="Adult"/>
    <x v="22"/>
    <n v="588"/>
    <n v="114"/>
    <n v="2"/>
    <n v="2"/>
    <n v="706"/>
    <x v="43"/>
    <n v="4"/>
    <x v="1"/>
  </r>
  <r>
    <d v="2023-12-28T00:00:00"/>
    <s v="Adult"/>
    <x v="0"/>
    <n v="656"/>
    <n v="75"/>
    <n v="8"/>
    <n v="2"/>
    <n v="741"/>
    <x v="43"/>
    <n v="10"/>
    <x v="1"/>
  </r>
  <r>
    <d v="2023-12-28T00:00:00"/>
    <s v="Child"/>
    <x v="35"/>
    <n v="267"/>
    <n v="63"/>
    <n v="2"/>
    <n v="2"/>
    <n v="334"/>
    <x v="43"/>
    <n v="4"/>
    <x v="1"/>
  </r>
  <r>
    <d v="2023-12-28T00:00:00"/>
    <s v="Child"/>
    <x v="36"/>
    <n v="220"/>
    <n v="12"/>
    <n v="6"/>
    <n v="2"/>
    <n v="240"/>
    <x v="43"/>
    <n v="8"/>
    <x v="1"/>
  </r>
  <r>
    <d v="2024-01-25T00:00:00"/>
    <s v="Child"/>
    <x v="38"/>
    <n v="65"/>
    <n v="51"/>
    <n v="7"/>
    <n v="2"/>
    <n v="125"/>
    <x v="12"/>
    <n v="9"/>
    <x v="1"/>
  </r>
  <r>
    <d v="2024-01-25T00:00:00"/>
    <s v="Child"/>
    <x v="35"/>
    <n v="231"/>
    <n v="54"/>
    <n v="2"/>
    <n v="2"/>
    <n v="288"/>
    <x v="12"/>
    <n v="4"/>
    <x v="1"/>
  </r>
  <r>
    <d v="2024-01-25T00:00:00"/>
    <s v="Child"/>
    <x v="36"/>
    <n v="226"/>
    <n v="17"/>
    <n v="6"/>
    <n v="2"/>
    <n v="251"/>
    <x v="12"/>
    <n v="8"/>
    <x v="1"/>
  </r>
  <r>
    <d v="2024-02-29T00:00:00"/>
    <s v="Adult"/>
    <x v="18"/>
    <n v="1076"/>
    <n v="240"/>
    <n v="29"/>
    <n v="2"/>
    <n v="1348"/>
    <x v="13"/>
    <n v="31"/>
    <x v="1"/>
  </r>
  <r>
    <d v="2024-02-29T00:00:00"/>
    <s v="Adult"/>
    <x v="29"/>
    <n v="1363"/>
    <n v="301"/>
    <n v="30"/>
    <n v="2"/>
    <n v="1695"/>
    <x v="13"/>
    <n v="32"/>
    <x v="1"/>
  </r>
  <r>
    <d v="2024-02-29T00:00:00"/>
    <s v="Adult"/>
    <x v="0"/>
    <n v="543"/>
    <n v="54"/>
    <n v="4"/>
    <n v="2"/>
    <n v="603"/>
    <x v="13"/>
    <n v="6"/>
    <x v="1"/>
  </r>
  <r>
    <d v="2024-02-29T00:00:00"/>
    <s v="Adult"/>
    <x v="34"/>
    <n v="1956"/>
    <n v="864"/>
    <n v="170"/>
    <n v="2"/>
    <n v="2993"/>
    <x v="13"/>
    <n v="172"/>
    <x v="1"/>
  </r>
  <r>
    <d v="2024-02-29T00:00:00"/>
    <s v="Child"/>
    <x v="38"/>
    <n v="60"/>
    <n v="52"/>
    <n v="9"/>
    <n v="2"/>
    <n v="123"/>
    <x v="13"/>
    <n v="11"/>
    <x v="1"/>
  </r>
  <r>
    <d v="2024-02-29T00:00:00"/>
    <s v="Child"/>
    <x v="35"/>
    <n v="154"/>
    <n v="41"/>
    <n v="2"/>
    <n v="2"/>
    <n v="198"/>
    <x v="13"/>
    <n v="4"/>
    <x v="1"/>
  </r>
  <r>
    <d v="2024-03-28T00:00:00"/>
    <s v="Adult"/>
    <x v="9"/>
    <n v="93"/>
    <n v="30"/>
    <n v="16"/>
    <n v="2"/>
    <n v="140"/>
    <x v="14"/>
    <n v="18"/>
    <x v="1"/>
  </r>
  <r>
    <d v="2024-03-28T00:00:00"/>
    <s v="Adult"/>
    <x v="18"/>
    <n v="1062"/>
    <n v="256"/>
    <n v="43"/>
    <n v="2"/>
    <n v="1363"/>
    <x v="14"/>
    <n v="45"/>
    <x v="1"/>
  </r>
  <r>
    <d v="2024-03-28T00:00:00"/>
    <s v="Adult"/>
    <x v="29"/>
    <n v="1500"/>
    <n v="282"/>
    <n v="32"/>
    <n v="2"/>
    <n v="1816"/>
    <x v="14"/>
    <n v="34"/>
    <x v="1"/>
  </r>
  <r>
    <d v="2024-03-28T00:00:00"/>
    <s v="Adult"/>
    <x v="11"/>
    <n v="590"/>
    <n v="142"/>
    <n v="0"/>
    <n v="2"/>
    <n v="733"/>
    <x v="14"/>
    <n v="2"/>
    <x v="1"/>
  </r>
  <r>
    <d v="2024-03-28T00:00:00"/>
    <s v="Child"/>
    <x v="32"/>
    <n v="15"/>
    <n v="2"/>
    <n v="2"/>
    <n v="2"/>
    <n v="21"/>
    <x v="14"/>
    <n v="4"/>
    <x v="1"/>
  </r>
  <r>
    <d v="2024-03-28T00:00:00"/>
    <s v="Child"/>
    <x v="36"/>
    <n v="265"/>
    <n v="37"/>
    <n v="5"/>
    <n v="2"/>
    <n v="310"/>
    <x v="14"/>
    <n v="7"/>
    <x v="1"/>
  </r>
  <r>
    <d v="2024-04-25T00:00:00"/>
    <s v="Adult"/>
    <x v="9"/>
    <n v="149"/>
    <n v="41"/>
    <n v="7"/>
    <n v="2"/>
    <n v="199"/>
    <x v="15"/>
    <n v="9"/>
    <x v="1"/>
  </r>
  <r>
    <d v="2024-04-25T00:00:00"/>
    <s v="Adult"/>
    <x v="18"/>
    <n v="980"/>
    <n v="278"/>
    <n v="32"/>
    <n v="2"/>
    <n v="1293"/>
    <x v="15"/>
    <n v="34"/>
    <x v="1"/>
  </r>
  <r>
    <d v="2024-04-25T00:00:00"/>
    <s v="Adult"/>
    <x v="34"/>
    <n v="1830"/>
    <n v="958"/>
    <n v="219"/>
    <n v="2"/>
    <n v="3008"/>
    <x v="15"/>
    <n v="221"/>
    <x v="1"/>
  </r>
  <r>
    <d v="2024-04-25T00:00:00"/>
    <s v="Child"/>
    <x v="29"/>
    <n v="70"/>
    <n v="41"/>
    <n v="11"/>
    <n v="2"/>
    <n v="124"/>
    <x v="15"/>
    <n v="13"/>
    <x v="1"/>
  </r>
  <r>
    <d v="2024-04-25T00:00:00"/>
    <s v="Child"/>
    <x v="36"/>
    <n v="287"/>
    <n v="42"/>
    <n v="6"/>
    <n v="2"/>
    <n v="337"/>
    <x v="15"/>
    <n v="8"/>
    <x v="1"/>
  </r>
  <r>
    <d v="2024-05-30T00:00:00"/>
    <s v="Adult"/>
    <x v="34"/>
    <n v="1887"/>
    <n v="947"/>
    <n v="247"/>
    <n v="2"/>
    <n v="3083"/>
    <x v="0"/>
    <n v="249"/>
    <x v="1"/>
  </r>
  <r>
    <d v="2024-05-30T00:00:00"/>
    <s v="Child"/>
    <x v="34"/>
    <n v="207"/>
    <n v="204"/>
    <n v="90"/>
    <n v="2"/>
    <n v="502"/>
    <x v="0"/>
    <n v="92"/>
    <x v="1"/>
  </r>
  <r>
    <d v="2024-06-27T00:00:00"/>
    <s v="Adult"/>
    <x v="6"/>
    <n v="474"/>
    <n v="83"/>
    <n v="13"/>
    <n v="2"/>
    <n v="572"/>
    <x v="1"/>
    <n v="15"/>
    <x v="1"/>
  </r>
  <r>
    <d v="2024-06-27T00:00:00"/>
    <s v="Child"/>
    <x v="16"/>
    <n v="9"/>
    <n v="0"/>
    <n v="0"/>
    <n v="2"/>
    <n v="10"/>
    <x v="1"/>
    <n v="2"/>
    <x v="1"/>
  </r>
  <r>
    <d v="2024-06-27T00:00:00"/>
    <s v="Child"/>
    <x v="32"/>
    <n v="28"/>
    <n v="2"/>
    <n v="0"/>
    <n v="2"/>
    <n v="31"/>
    <x v="1"/>
    <n v="2"/>
    <x v="1"/>
  </r>
  <r>
    <d v="2024-06-27T00:00:00"/>
    <s v="Child"/>
    <x v="38"/>
    <n v="41"/>
    <n v="22"/>
    <n v="13"/>
    <n v="2"/>
    <n v="77"/>
    <x v="1"/>
    <n v="15"/>
    <x v="1"/>
  </r>
  <r>
    <d v="2024-06-27T00:00:00"/>
    <s v="Child"/>
    <x v="35"/>
    <n v="138"/>
    <n v="20"/>
    <n v="3"/>
    <n v="2"/>
    <n v="163"/>
    <x v="1"/>
    <n v="5"/>
    <x v="1"/>
  </r>
  <r>
    <d v="2024-07-25T00:00:00"/>
    <s v="Adult"/>
    <x v="29"/>
    <n v="1455"/>
    <n v="236"/>
    <n v="33"/>
    <n v="2"/>
    <n v="1726"/>
    <x v="16"/>
    <n v="35"/>
    <x v="1"/>
  </r>
  <r>
    <d v="2024-07-25T00:00:00"/>
    <s v="Adult"/>
    <x v="11"/>
    <n v="677"/>
    <n v="206"/>
    <n v="2"/>
    <n v="2"/>
    <n v="886"/>
    <x v="16"/>
    <n v="4"/>
    <x v="1"/>
  </r>
  <r>
    <d v="2024-07-25T00:00:00"/>
    <s v="Child"/>
    <x v="32"/>
    <n v="23"/>
    <n v="2"/>
    <n v="2"/>
    <n v="2"/>
    <n v="28"/>
    <x v="16"/>
    <n v="4"/>
    <x v="1"/>
  </r>
  <r>
    <d v="2024-08-29T00:00:00"/>
    <s v="Adult"/>
    <x v="16"/>
    <n v="277"/>
    <n v="2"/>
    <n v="2"/>
    <n v="2"/>
    <n v="283"/>
    <x v="2"/>
    <n v="4"/>
    <x v="1"/>
  </r>
  <r>
    <d v="2024-08-29T00:00:00"/>
    <s v="Adult"/>
    <x v="22"/>
    <n v="581"/>
    <n v="97"/>
    <n v="19"/>
    <n v="2"/>
    <n v="698"/>
    <x v="2"/>
    <n v="21"/>
    <x v="1"/>
  </r>
  <r>
    <d v="2024-08-29T00:00:00"/>
    <s v="Adult"/>
    <x v="0"/>
    <n v="690"/>
    <n v="21"/>
    <n v="3"/>
    <n v="2"/>
    <n v="716"/>
    <x v="2"/>
    <n v="5"/>
    <x v="1"/>
  </r>
  <r>
    <d v="2024-09-26T00:00:00"/>
    <s v="Adult"/>
    <x v="16"/>
    <n v="254"/>
    <n v="13"/>
    <n v="0"/>
    <n v="2"/>
    <n v="270"/>
    <x v="17"/>
    <n v="2"/>
    <x v="1"/>
  </r>
  <r>
    <d v="2024-09-26T00:00:00"/>
    <s v="Adult"/>
    <x v="13"/>
    <n v="573"/>
    <n v="134"/>
    <n v="8"/>
    <n v="2"/>
    <n v="718"/>
    <x v="17"/>
    <n v="10"/>
    <x v="1"/>
  </r>
  <r>
    <d v="2024-09-26T00:00:00"/>
    <s v="Adult"/>
    <x v="0"/>
    <n v="782"/>
    <n v="35"/>
    <n v="5"/>
    <n v="2"/>
    <n v="823"/>
    <x v="17"/>
    <n v="7"/>
    <x v="1"/>
  </r>
  <r>
    <d v="2024-09-26T00:00:00"/>
    <s v="Adult"/>
    <x v="37"/>
    <n v="260"/>
    <n v="81"/>
    <n v="34"/>
    <n v="2"/>
    <n v="378"/>
    <x v="17"/>
    <n v="36"/>
    <x v="1"/>
  </r>
  <r>
    <d v="2024-09-26T00:00:00"/>
    <s v="Child"/>
    <x v="32"/>
    <n v="36"/>
    <n v="2"/>
    <n v="4"/>
    <n v="2"/>
    <n v="43"/>
    <x v="17"/>
    <n v="6"/>
    <x v="1"/>
  </r>
  <r>
    <d v="2024-09-26T00:00:00"/>
    <s v="Child"/>
    <x v="38"/>
    <n v="63"/>
    <n v="22"/>
    <n v="9"/>
    <n v="2"/>
    <n v="95"/>
    <x v="17"/>
    <n v="11"/>
    <x v="1"/>
  </r>
  <r>
    <d v="2024-10-31T00:00:00"/>
    <s v="Adult"/>
    <x v="26"/>
    <n v="514"/>
    <n v="112"/>
    <n v="49"/>
    <n v="2"/>
    <n v="677"/>
    <x v="34"/>
    <n v="51"/>
    <x v="1"/>
  </r>
  <r>
    <d v="2024-10-31T00:00:00"/>
    <s v="Adult"/>
    <x v="27"/>
    <n v="569"/>
    <n v="202"/>
    <n v="45"/>
    <n v="2"/>
    <n v="818"/>
    <x v="34"/>
    <n v="47"/>
    <x v="1"/>
  </r>
  <r>
    <d v="2024-10-31T00:00:00"/>
    <s v="Adult"/>
    <x v="21"/>
    <n v="414"/>
    <n v="120"/>
    <n v="65"/>
    <n v="2"/>
    <n v="601"/>
    <x v="34"/>
    <n v="67"/>
    <x v="1"/>
  </r>
  <r>
    <d v="2024-10-31T00:00:00"/>
    <s v="Adult"/>
    <x v="37"/>
    <n v="222"/>
    <n v="57"/>
    <n v="34"/>
    <n v="2"/>
    <n v="314"/>
    <x v="34"/>
    <n v="36"/>
    <x v="1"/>
  </r>
  <r>
    <d v="2024-10-31T00:00:00"/>
    <s v="Child"/>
    <x v="32"/>
    <n v="41"/>
    <n v="2"/>
    <n v="3"/>
    <n v="2"/>
    <n v="48"/>
    <x v="34"/>
    <n v="5"/>
    <x v="1"/>
  </r>
  <r>
    <d v="2024-10-31T00:00:00"/>
    <s v="Child"/>
    <x v="11"/>
    <n v="3"/>
    <n v="3"/>
    <n v="0"/>
    <n v="2"/>
    <n v="8"/>
    <x v="34"/>
    <n v="2"/>
    <x v="1"/>
  </r>
  <r>
    <d v="2024-10-31T00:00:00"/>
    <s v="Child"/>
    <x v="27"/>
    <n v="44"/>
    <n v="40"/>
    <n v="7"/>
    <n v="2"/>
    <n v="94"/>
    <x v="34"/>
    <n v="9"/>
    <x v="1"/>
  </r>
  <r>
    <d v="2024-10-31T00:00:00"/>
    <s v="Child"/>
    <x v="38"/>
    <n v="62"/>
    <n v="24"/>
    <n v="8"/>
    <n v="2"/>
    <n v="96"/>
    <x v="34"/>
    <n v="10"/>
    <x v="1"/>
  </r>
  <r>
    <d v="2024-11-28T00:00:00"/>
    <s v="Adult"/>
    <x v="16"/>
    <n v="308"/>
    <n v="7"/>
    <n v="10"/>
    <n v="2"/>
    <n v="327"/>
    <x v="3"/>
    <n v="12"/>
    <x v="1"/>
  </r>
  <r>
    <d v="2024-11-28T00:00:00"/>
    <s v="Adult"/>
    <x v="31"/>
    <n v="641"/>
    <n v="121"/>
    <n v="0"/>
    <n v="2"/>
    <n v="764"/>
    <x v="3"/>
    <n v="2"/>
    <x v="1"/>
  </r>
  <r>
    <d v="2024-11-28T00:00:00"/>
    <s v="Adult"/>
    <x v="26"/>
    <n v="499"/>
    <n v="107"/>
    <n v="57"/>
    <n v="2"/>
    <n v="665"/>
    <x v="3"/>
    <n v="59"/>
    <x v="1"/>
  </r>
  <r>
    <d v="2024-11-28T00:00:00"/>
    <s v="Adult"/>
    <x v="27"/>
    <n v="547"/>
    <n v="229"/>
    <n v="49"/>
    <n v="2"/>
    <n v="827"/>
    <x v="3"/>
    <n v="51"/>
    <x v="1"/>
  </r>
  <r>
    <d v="2024-11-28T00:00:00"/>
    <s v="Adult"/>
    <x v="0"/>
    <n v="743"/>
    <n v="43"/>
    <n v="2"/>
    <n v="2"/>
    <n v="789"/>
    <x v="3"/>
    <n v="4"/>
    <x v="1"/>
  </r>
  <r>
    <d v="2024-11-28T00:00:00"/>
    <s v="Adult"/>
    <x v="21"/>
    <n v="500"/>
    <n v="127"/>
    <n v="68"/>
    <n v="2"/>
    <n v="697"/>
    <x v="3"/>
    <n v="70"/>
    <x v="1"/>
  </r>
  <r>
    <d v="2024-11-28T00:00:00"/>
    <s v="Adult"/>
    <x v="37"/>
    <n v="223"/>
    <n v="54"/>
    <n v="36"/>
    <n v="2"/>
    <n v="315"/>
    <x v="3"/>
    <n v="38"/>
    <x v="1"/>
  </r>
  <r>
    <d v="2024-11-28T00:00:00"/>
    <s v="Child"/>
    <x v="38"/>
    <n v="57"/>
    <n v="24"/>
    <n v="11"/>
    <n v="2"/>
    <n v="93"/>
    <x v="3"/>
    <n v="13"/>
    <x v="1"/>
  </r>
  <r>
    <d v="2024-11-28T00:00:00"/>
    <s v="Child"/>
    <x v="35"/>
    <n v="110"/>
    <n v="14"/>
    <n v="2"/>
    <n v="2"/>
    <n v="129"/>
    <x v="3"/>
    <n v="4"/>
    <x v="1"/>
  </r>
  <r>
    <d v="2024-12-19T00:00:00"/>
    <s v="Adult"/>
    <x v="16"/>
    <n v="370"/>
    <n v="5"/>
    <n v="12"/>
    <n v="2"/>
    <n v="389"/>
    <x v="4"/>
    <n v="14"/>
    <x v="1"/>
  </r>
  <r>
    <d v="2024-12-19T00:00:00"/>
    <s v="Adult"/>
    <x v="9"/>
    <n v="114"/>
    <n v="17"/>
    <n v="8"/>
    <n v="2"/>
    <n v="141"/>
    <x v="4"/>
    <n v="10"/>
    <x v="1"/>
  </r>
  <r>
    <d v="2024-12-19T00:00:00"/>
    <s v="Adult"/>
    <x v="31"/>
    <n v="617"/>
    <n v="127"/>
    <n v="4"/>
    <n v="2"/>
    <n v="750"/>
    <x v="4"/>
    <n v="6"/>
    <x v="1"/>
  </r>
  <r>
    <d v="2024-12-19T00:00:00"/>
    <s v="Adult"/>
    <x v="22"/>
    <n v="735"/>
    <n v="66"/>
    <n v="22"/>
    <n v="2"/>
    <n v="824"/>
    <x v="4"/>
    <n v="24"/>
    <x v="1"/>
  </r>
  <r>
    <d v="2024-12-19T00:00:00"/>
    <s v="Adult"/>
    <x v="29"/>
    <n v="1797"/>
    <n v="324"/>
    <n v="30"/>
    <n v="2"/>
    <n v="2153"/>
    <x v="4"/>
    <n v="32"/>
    <x v="1"/>
  </r>
  <r>
    <d v="2024-12-19T00:00:00"/>
    <s v="Adult"/>
    <x v="21"/>
    <n v="518"/>
    <n v="125"/>
    <n v="66"/>
    <n v="2"/>
    <n v="711"/>
    <x v="4"/>
    <n v="68"/>
    <x v="1"/>
  </r>
  <r>
    <d v="2024-12-19T00:00:00"/>
    <s v="Adult"/>
    <x v="37"/>
    <n v="222"/>
    <n v="39"/>
    <n v="39"/>
    <n v="2"/>
    <n v="303"/>
    <x v="4"/>
    <n v="41"/>
    <x v="1"/>
  </r>
  <r>
    <d v="2024-12-19T00:00:00"/>
    <s v="Child"/>
    <x v="35"/>
    <n v="148"/>
    <n v="10"/>
    <n v="5"/>
    <n v="2"/>
    <n v="164"/>
    <x v="4"/>
    <n v="7"/>
    <x v="1"/>
  </r>
  <r>
    <d v="2024-12-19T00:00:00"/>
    <s v="Child"/>
    <x v="34"/>
    <n v="205"/>
    <n v="59"/>
    <n v="66"/>
    <n v="2"/>
    <n v="331"/>
    <x v="4"/>
    <n v="68"/>
    <x v="1"/>
  </r>
  <r>
    <d v="2025-01-30T00:00:00"/>
    <s v="Adult"/>
    <x v="16"/>
    <n v="368"/>
    <n v="19"/>
    <n v="11"/>
    <n v="2"/>
    <n v="401"/>
    <x v="18"/>
    <n v="13"/>
    <x v="1"/>
  </r>
  <r>
    <d v="2025-01-30T00:00:00"/>
    <s v="Adult"/>
    <x v="9"/>
    <n v="133"/>
    <n v="29"/>
    <n v="5"/>
    <n v="2"/>
    <n v="170"/>
    <x v="18"/>
    <n v="7"/>
    <x v="1"/>
  </r>
  <r>
    <d v="2025-01-30T00:00:00"/>
    <s v="Adult"/>
    <x v="26"/>
    <n v="589"/>
    <n v="109"/>
    <n v="58"/>
    <n v="2"/>
    <n v="757"/>
    <x v="18"/>
    <n v="60"/>
    <x v="1"/>
  </r>
  <r>
    <d v="2025-01-30T00:00:00"/>
    <s v="Adult"/>
    <x v="29"/>
    <n v="1637"/>
    <n v="366"/>
    <n v="23"/>
    <n v="2"/>
    <n v="2029"/>
    <x v="18"/>
    <n v="25"/>
    <x v="1"/>
  </r>
  <r>
    <d v="2025-01-30T00:00:00"/>
    <s v="Adult"/>
    <x v="27"/>
    <n v="640"/>
    <n v="246"/>
    <n v="90"/>
    <n v="2"/>
    <n v="978"/>
    <x v="18"/>
    <n v="92"/>
    <x v="1"/>
  </r>
  <r>
    <d v="2025-01-30T00:00:00"/>
    <s v="Adult"/>
    <x v="0"/>
    <n v="885"/>
    <n v="102"/>
    <n v="2"/>
    <n v="2"/>
    <n v="991"/>
    <x v="18"/>
    <n v="4"/>
    <x v="1"/>
  </r>
  <r>
    <d v="2025-01-30T00:00:00"/>
    <s v="Adult"/>
    <x v="37"/>
    <n v="266"/>
    <n v="49"/>
    <n v="41"/>
    <n v="2"/>
    <n v="358"/>
    <x v="18"/>
    <n v="43"/>
    <x v="1"/>
  </r>
  <r>
    <d v="2025-01-30T00:00:00"/>
    <s v="Child"/>
    <x v="32"/>
    <n v="33"/>
    <n v="16"/>
    <n v="0"/>
    <n v="2"/>
    <n v="51"/>
    <x v="18"/>
    <n v="2"/>
    <x v="1"/>
  </r>
  <r>
    <d v="2025-01-30T00:00:00"/>
    <s v="Child"/>
    <x v="27"/>
    <n v="33"/>
    <n v="23"/>
    <n v="32"/>
    <n v="2"/>
    <n v="91"/>
    <x v="18"/>
    <n v="34"/>
    <x v="1"/>
  </r>
  <r>
    <d v="2025-01-30T00:00:00"/>
    <s v="Child"/>
    <x v="35"/>
    <n v="126"/>
    <n v="12"/>
    <n v="8"/>
    <n v="2"/>
    <n v="147"/>
    <x v="18"/>
    <n v="10"/>
    <x v="1"/>
  </r>
  <r>
    <d v="2025-02-27T00:00:00"/>
    <s v="Adult"/>
    <x v="16"/>
    <n v="485"/>
    <n v="31"/>
    <n v="9"/>
    <n v="2"/>
    <n v="527"/>
    <x v="35"/>
    <n v="11"/>
    <x v="1"/>
  </r>
  <r>
    <d v="2025-02-27T00:00:00"/>
    <s v="Adult"/>
    <x v="9"/>
    <n v="143"/>
    <n v="39"/>
    <n v="4"/>
    <n v="2"/>
    <n v="188"/>
    <x v="35"/>
    <n v="6"/>
    <x v="1"/>
  </r>
  <r>
    <d v="2025-02-27T00:00:00"/>
    <s v="Adult"/>
    <x v="18"/>
    <n v="1293"/>
    <n v="425"/>
    <n v="31"/>
    <n v="2"/>
    <n v="1750"/>
    <x v="35"/>
    <n v="33"/>
    <x v="1"/>
  </r>
  <r>
    <d v="2025-02-27T00:00:00"/>
    <s v="Adult"/>
    <x v="15"/>
    <n v="230"/>
    <n v="62"/>
    <n v="4"/>
    <n v="2"/>
    <n v="297"/>
    <x v="35"/>
    <n v="6"/>
    <x v="1"/>
  </r>
  <r>
    <d v="2025-02-27T00:00:00"/>
    <s v="Adult"/>
    <x v="27"/>
    <n v="682"/>
    <n v="250"/>
    <n v="104"/>
    <n v="2"/>
    <n v="1038"/>
    <x v="35"/>
    <n v="106"/>
    <x v="1"/>
  </r>
  <r>
    <d v="2025-02-27T00:00:00"/>
    <s v="Adult"/>
    <x v="0"/>
    <n v="831"/>
    <n v="99"/>
    <n v="9"/>
    <n v="2"/>
    <n v="940"/>
    <x v="35"/>
    <n v="11"/>
    <x v="1"/>
  </r>
  <r>
    <d v="2025-02-27T00:00:00"/>
    <s v="Adult"/>
    <x v="1"/>
    <n v="581"/>
    <n v="126"/>
    <n v="6"/>
    <n v="2"/>
    <n v="716"/>
    <x v="35"/>
    <n v="8"/>
    <x v="1"/>
  </r>
  <r>
    <d v="2025-02-27T00:00:00"/>
    <s v="Child"/>
    <x v="32"/>
    <n v="37"/>
    <n v="15"/>
    <n v="2"/>
    <n v="2"/>
    <n v="56"/>
    <x v="35"/>
    <n v="4"/>
    <x v="1"/>
  </r>
  <r>
    <d v="2025-02-27T00:00:00"/>
    <s v="Child"/>
    <x v="27"/>
    <n v="33"/>
    <n v="28"/>
    <n v="35"/>
    <n v="2"/>
    <n v="97"/>
    <x v="35"/>
    <n v="37"/>
    <x v="1"/>
  </r>
  <r>
    <d v="2025-02-27T00:00:00"/>
    <s v="Child"/>
    <x v="35"/>
    <n v="128"/>
    <n v="25"/>
    <n v="7"/>
    <n v="2"/>
    <n v="162"/>
    <x v="35"/>
    <n v="9"/>
    <x v="1"/>
  </r>
  <r>
    <d v="2025-03-27T00:00:00"/>
    <s v="Adult"/>
    <x v="25"/>
    <n v="196"/>
    <n v="12"/>
    <n v="4"/>
    <n v="2"/>
    <n v="215"/>
    <x v="19"/>
    <n v="6"/>
    <x v="1"/>
  </r>
  <r>
    <d v="2025-03-27T00:00:00"/>
    <s v="Adult"/>
    <x v="31"/>
    <n v="588"/>
    <n v="156"/>
    <n v="2"/>
    <n v="2"/>
    <n v="747"/>
    <x v="19"/>
    <n v="4"/>
    <x v="1"/>
  </r>
  <r>
    <d v="2025-03-27T00:00:00"/>
    <s v="Adult"/>
    <x v="26"/>
    <n v="552"/>
    <n v="85"/>
    <n v="34"/>
    <n v="2"/>
    <n v="673"/>
    <x v="19"/>
    <n v="36"/>
    <x v="1"/>
  </r>
  <r>
    <d v="2025-03-27T00:00:00"/>
    <s v="Adult"/>
    <x v="18"/>
    <n v="1250"/>
    <n v="481"/>
    <n v="47"/>
    <n v="2"/>
    <n v="1780"/>
    <x v="19"/>
    <n v="49"/>
    <x v="1"/>
  </r>
  <r>
    <d v="2025-03-27T00:00:00"/>
    <s v="Adult"/>
    <x v="15"/>
    <n v="217"/>
    <n v="74"/>
    <n v="7"/>
    <n v="2"/>
    <n v="300"/>
    <x v="19"/>
    <n v="9"/>
    <x v="1"/>
  </r>
  <r>
    <d v="2025-03-27T00:00:00"/>
    <s v="Adult"/>
    <x v="0"/>
    <n v="891"/>
    <n v="106"/>
    <n v="0"/>
    <n v="2"/>
    <n v="999"/>
    <x v="19"/>
    <n v="2"/>
    <x v="1"/>
  </r>
  <r>
    <d v="2025-04-24T00:00:00"/>
    <s v="Adult"/>
    <x v="25"/>
    <n v="145"/>
    <n v="19"/>
    <n v="0"/>
    <n v="2"/>
    <n v="165"/>
    <x v="5"/>
    <n v="2"/>
    <x v="1"/>
  </r>
  <r>
    <d v="2025-04-24T00:00:00"/>
    <s v="Adult"/>
    <x v="16"/>
    <n v="351"/>
    <n v="22"/>
    <n v="2"/>
    <n v="2"/>
    <n v="377"/>
    <x v="5"/>
    <n v="4"/>
    <x v="1"/>
  </r>
  <r>
    <d v="2025-04-24T00:00:00"/>
    <s v="Adult"/>
    <x v="30"/>
    <n v="1229"/>
    <n v="204"/>
    <n v="7"/>
    <n v="2"/>
    <n v="1442"/>
    <x v="5"/>
    <n v="9"/>
    <x v="1"/>
  </r>
  <r>
    <d v="2025-04-24T00:00:00"/>
    <s v="Adult"/>
    <x v="18"/>
    <n v="1169"/>
    <n v="545"/>
    <n v="72"/>
    <n v="2"/>
    <n v="1788"/>
    <x v="5"/>
    <n v="74"/>
    <x v="1"/>
  </r>
  <r>
    <d v="2025-04-24T00:00:00"/>
    <s v="Adult"/>
    <x v="15"/>
    <n v="252"/>
    <n v="93"/>
    <n v="10"/>
    <n v="2"/>
    <n v="357"/>
    <x v="5"/>
    <n v="12"/>
    <x v="1"/>
  </r>
  <r>
    <d v="2025-04-24T00:00:00"/>
    <s v="Adult"/>
    <x v="11"/>
    <n v="845"/>
    <n v="451"/>
    <n v="67"/>
    <n v="2"/>
    <n v="1364"/>
    <x v="5"/>
    <n v="69"/>
    <x v="1"/>
  </r>
  <r>
    <d v="2025-04-24T00:00:00"/>
    <s v="Adult"/>
    <x v="0"/>
    <n v="753"/>
    <n v="109"/>
    <n v="4"/>
    <n v="2"/>
    <n v="868"/>
    <x v="5"/>
    <n v="6"/>
    <x v="1"/>
  </r>
  <r>
    <d v="2025-04-24T00:00:00"/>
    <s v="Adult"/>
    <x v="1"/>
    <n v="747"/>
    <n v="146"/>
    <n v="19"/>
    <n v="2"/>
    <n v="914"/>
    <x v="5"/>
    <n v="21"/>
    <x v="1"/>
  </r>
  <r>
    <d v="2025-05-29T00:00:00"/>
    <s v="Adult"/>
    <x v="6"/>
    <n v="555"/>
    <n v="100"/>
    <n v="18"/>
    <n v="2"/>
    <n v="674"/>
    <x v="20"/>
    <n v="20"/>
    <x v="1"/>
  </r>
  <r>
    <d v="2025-05-29T00:00:00"/>
    <s v="Adult"/>
    <x v="26"/>
    <n v="574"/>
    <n v="84"/>
    <n v="13"/>
    <n v="2"/>
    <n v="673"/>
    <x v="20"/>
    <n v="15"/>
    <x v="1"/>
  </r>
  <r>
    <d v="2025-05-29T00:00:00"/>
    <s v="Adult"/>
    <x v="18"/>
    <n v="1253"/>
    <n v="585"/>
    <n v="94"/>
    <n v="2"/>
    <n v="1933"/>
    <x v="20"/>
    <n v="96"/>
    <x v="1"/>
  </r>
  <r>
    <d v="2025-05-29T00:00:00"/>
    <s v="Adult"/>
    <x v="11"/>
    <n v="770"/>
    <n v="463"/>
    <n v="147"/>
    <n v="2"/>
    <n v="1381"/>
    <x v="20"/>
    <n v="149"/>
    <x v="1"/>
  </r>
  <r>
    <d v="2025-05-29T00:00:00"/>
    <s v="Child"/>
    <x v="32"/>
    <n v="35"/>
    <n v="19"/>
    <n v="4"/>
    <n v="2"/>
    <n v="60"/>
    <x v="20"/>
    <n v="6"/>
    <x v="1"/>
  </r>
  <r>
    <d v="2025-05-29T00:00:00"/>
    <s v="Child"/>
    <x v="29"/>
    <n v="50"/>
    <n v="7"/>
    <n v="7"/>
    <n v="2"/>
    <n v="65"/>
    <x v="20"/>
    <n v="9"/>
    <x v="1"/>
  </r>
  <r>
    <d v="2025-06-26T00:00:00"/>
    <s v="Adult"/>
    <x v="6"/>
    <n v="586"/>
    <n v="109"/>
    <n v="17"/>
    <n v="2"/>
    <n v="713"/>
    <x v="21"/>
    <n v="19"/>
    <x v="1"/>
  </r>
  <r>
    <d v="2025-06-26T00:00:00"/>
    <s v="Adult"/>
    <x v="18"/>
    <n v="1157"/>
    <n v="502"/>
    <n v="94"/>
    <n v="2"/>
    <n v="1754"/>
    <x v="21"/>
    <n v="96"/>
    <x v="1"/>
  </r>
  <r>
    <d v="2025-06-26T00:00:00"/>
    <s v="Adult"/>
    <x v="11"/>
    <n v="728"/>
    <n v="495"/>
    <n v="171"/>
    <n v="2"/>
    <n v="1396"/>
    <x v="21"/>
    <n v="173"/>
    <x v="1"/>
  </r>
  <r>
    <d v="2025-06-26T00:00:00"/>
    <s v="Adult"/>
    <x v="0"/>
    <n v="752"/>
    <n v="134"/>
    <n v="15"/>
    <n v="2"/>
    <n v="903"/>
    <x v="21"/>
    <n v="17"/>
    <x v="1"/>
  </r>
  <r>
    <d v="2025-06-26T00:00:00"/>
    <s v="Child"/>
    <x v="32"/>
    <n v="33"/>
    <n v="20"/>
    <n v="3"/>
    <n v="2"/>
    <n v="58"/>
    <x v="21"/>
    <n v="5"/>
    <x v="1"/>
  </r>
  <r>
    <d v="2025-06-26T00:00:00"/>
    <s v="Child"/>
    <x v="29"/>
    <n v="39"/>
    <n v="8"/>
    <n v="7"/>
    <n v="2"/>
    <n v="57"/>
    <x v="21"/>
    <n v="9"/>
    <x v="1"/>
  </r>
  <r>
    <d v="2025-07-31T00:00:00"/>
    <s v="Adult"/>
    <x v="6"/>
    <n v="575"/>
    <n v="89"/>
    <n v="18"/>
    <n v="2"/>
    <n v="684"/>
    <x v="22"/>
    <n v="20"/>
    <x v="1"/>
  </r>
  <r>
    <d v="2025-07-31T00:00:00"/>
    <s v="Adult"/>
    <x v="31"/>
    <n v="548"/>
    <n v="196"/>
    <n v="7"/>
    <n v="2"/>
    <n v="753"/>
    <x v="22"/>
    <n v="9"/>
    <x v="1"/>
  </r>
  <r>
    <d v="2025-07-31T00:00:00"/>
    <s v="Adult"/>
    <x v="26"/>
    <n v="527"/>
    <n v="58"/>
    <n v="22"/>
    <n v="2"/>
    <n v="609"/>
    <x v="22"/>
    <n v="24"/>
    <x v="1"/>
  </r>
  <r>
    <d v="2025-07-31T00:00:00"/>
    <s v="Adult"/>
    <x v="18"/>
    <n v="1136"/>
    <n v="463"/>
    <n v="146"/>
    <n v="2"/>
    <n v="1746"/>
    <x v="22"/>
    <n v="148"/>
    <x v="1"/>
  </r>
  <r>
    <d v="2025-07-31T00:00:00"/>
    <s v="Adult"/>
    <x v="11"/>
    <n v="790"/>
    <n v="464"/>
    <n v="200"/>
    <n v="2"/>
    <n v="1455"/>
    <x v="22"/>
    <n v="202"/>
    <x v="1"/>
  </r>
  <r>
    <d v="2025-07-31T00:00:00"/>
    <s v="Adult"/>
    <x v="1"/>
    <n v="705"/>
    <n v="115"/>
    <n v="8"/>
    <n v="2"/>
    <n v="829"/>
    <x v="22"/>
    <n v="10"/>
    <x v="1"/>
  </r>
  <r>
    <d v="2025-08-28T00:00:00"/>
    <s v="Adult"/>
    <x v="6"/>
    <n v="549"/>
    <n v="94"/>
    <n v="11"/>
    <n v="2"/>
    <n v="656"/>
    <x v="23"/>
    <n v="13"/>
    <x v="1"/>
  </r>
  <r>
    <d v="2025-08-28T00:00:00"/>
    <s v="Adult"/>
    <x v="13"/>
    <n v="465"/>
    <n v="130"/>
    <n v="5"/>
    <n v="2"/>
    <n v="602"/>
    <x v="23"/>
    <n v="7"/>
    <x v="1"/>
  </r>
  <r>
    <d v="2025-08-28T00:00:00"/>
    <s v="Adult"/>
    <x v="4"/>
    <n v="276"/>
    <n v="86"/>
    <n v="18"/>
    <n v="2"/>
    <n v="382"/>
    <x v="23"/>
    <n v="20"/>
    <x v="1"/>
  </r>
  <r>
    <d v="2025-08-28T00:00:00"/>
    <s v="Adult"/>
    <x v="26"/>
    <n v="512"/>
    <n v="47"/>
    <n v="21"/>
    <n v="2"/>
    <n v="582"/>
    <x v="23"/>
    <n v="23"/>
    <x v="1"/>
  </r>
  <r>
    <d v="2025-08-28T00:00:00"/>
    <s v="Adult"/>
    <x v="29"/>
    <n v="1733"/>
    <n v="437"/>
    <n v="43"/>
    <n v="2"/>
    <n v="2214"/>
    <x v="23"/>
    <n v="45"/>
    <x v="1"/>
  </r>
  <r>
    <d v="2025-08-28T00:00:00"/>
    <s v="Adult"/>
    <x v="11"/>
    <n v="915"/>
    <n v="453"/>
    <n v="178"/>
    <n v="2"/>
    <n v="1549"/>
    <x v="23"/>
    <n v="180"/>
    <x v="1"/>
  </r>
  <r>
    <d v="2025-08-28T00:00:00"/>
    <s v="Adult"/>
    <x v="0"/>
    <n v="655"/>
    <n v="80"/>
    <n v="8"/>
    <n v="2"/>
    <n v="745"/>
    <x v="23"/>
    <n v="10"/>
    <x v="1"/>
  </r>
  <r>
    <d v="2025-08-28T00:00:00"/>
    <s v="Adult"/>
    <x v="8"/>
    <n v="394"/>
    <n v="39"/>
    <n v="12"/>
    <n v="2"/>
    <n v="447"/>
    <x v="23"/>
    <n v="14"/>
    <x v="1"/>
  </r>
  <r>
    <d v="2025-09-25T00:00:00"/>
    <s v="Adult"/>
    <x v="4"/>
    <n v="291"/>
    <n v="81"/>
    <n v="13"/>
    <n v="2"/>
    <n v="387"/>
    <x v="24"/>
    <n v="15"/>
    <x v="1"/>
  </r>
  <r>
    <d v="2025-09-25T00:00:00"/>
    <s v="Adult"/>
    <x v="26"/>
    <n v="485"/>
    <n v="46"/>
    <n v="10"/>
    <n v="2"/>
    <n v="542"/>
    <x v="24"/>
    <n v="12"/>
    <x v="1"/>
  </r>
  <r>
    <d v="2025-09-25T00:00:00"/>
    <s v="Adult"/>
    <x v="0"/>
    <n v="640"/>
    <n v="86"/>
    <n v="5"/>
    <n v="2"/>
    <n v="733"/>
    <x v="24"/>
    <n v="7"/>
    <x v="1"/>
  </r>
  <r>
    <d v="2025-11-27T00:00:00"/>
    <s v="Adult"/>
    <x v="6"/>
    <n v="629"/>
    <n v="78"/>
    <n v="2"/>
    <n v="2"/>
    <n v="710"/>
    <x v="26"/>
    <n v="4"/>
    <x v="1"/>
  </r>
  <r>
    <d v="2025-11-27T00:00:00"/>
    <s v="Adult"/>
    <x v="4"/>
    <n v="330"/>
    <n v="71"/>
    <n v="4"/>
    <n v="2"/>
    <n v="407"/>
    <x v="26"/>
    <n v="6"/>
    <x v="1"/>
  </r>
  <r>
    <d v="2025-11-27T00:00:00"/>
    <s v="Adult"/>
    <x v="22"/>
    <n v="987"/>
    <n v="163"/>
    <n v="20"/>
    <n v="2"/>
    <n v="1171"/>
    <x v="26"/>
    <n v="22"/>
    <x v="1"/>
  </r>
  <r>
    <d v="2025-11-27T00:00:00"/>
    <s v="Adult"/>
    <x v="0"/>
    <n v="572"/>
    <n v="100"/>
    <n v="14"/>
    <n v="2"/>
    <n v="688"/>
    <x v="26"/>
    <n v="16"/>
    <x v="1"/>
  </r>
  <r>
    <d v="2025-12-18T00:00:00"/>
    <s v="Adult"/>
    <x v="37"/>
    <n v="376"/>
    <n v="66"/>
    <n v="13"/>
    <n v="2"/>
    <n v="457"/>
    <x v="27"/>
    <n v="15"/>
    <x v="1"/>
  </r>
  <r>
    <d v="2026-01-29T00:00:00"/>
    <s v="Adult"/>
    <x v="30"/>
    <n v="1619"/>
    <n v="310"/>
    <n v="32"/>
    <n v="2"/>
    <n v="1963"/>
    <x v="6"/>
    <n v="34"/>
    <x v="1"/>
  </r>
  <r>
    <d v="2026-01-29T00:00:00"/>
    <s v="Adult"/>
    <x v="29"/>
    <n v="1661"/>
    <n v="381"/>
    <n v="50"/>
    <n v="2"/>
    <n v="2094"/>
    <x v="6"/>
    <n v="52"/>
    <x v="1"/>
  </r>
  <r>
    <d v="2026-01-29T00:00:00"/>
    <s v="Adult"/>
    <x v="1"/>
    <n v="676"/>
    <n v="301"/>
    <n v="6"/>
    <n v="2"/>
    <n v="986"/>
    <x v="6"/>
    <n v="8"/>
    <x v="1"/>
  </r>
  <r>
    <d v="2026-01-29T00:00:00"/>
    <s v="Child"/>
    <x v="32"/>
    <n v="51"/>
    <n v="4"/>
    <n v="2"/>
    <n v="2"/>
    <n v="58"/>
    <x v="6"/>
    <n v="4"/>
    <x v="1"/>
  </r>
  <r>
    <d v="2026-01-29T00:00:00"/>
    <s v="Child"/>
    <x v="18"/>
    <n v="222"/>
    <n v="59"/>
    <n v="2"/>
    <n v="2"/>
    <n v="284"/>
    <x v="6"/>
    <n v="4"/>
    <x v="1"/>
  </r>
  <r>
    <d v="2026-02-26T00:00:00"/>
    <s v="Adult"/>
    <x v="13"/>
    <n v="511"/>
    <n v="179"/>
    <n v="8"/>
    <n v="2"/>
    <n v="700"/>
    <x v="7"/>
    <n v="10"/>
    <x v="1"/>
  </r>
  <r>
    <d v="2026-02-26T00:00:00"/>
    <s v="Adult"/>
    <x v="29"/>
    <n v="1551"/>
    <n v="352"/>
    <n v="53"/>
    <n v="2"/>
    <n v="1958"/>
    <x v="7"/>
    <n v="55"/>
    <x v="1"/>
  </r>
  <r>
    <d v="2026-02-26T00:00:00"/>
    <s v="Adult"/>
    <x v="37"/>
    <n v="395"/>
    <n v="71"/>
    <n v="14"/>
    <n v="2"/>
    <n v="482"/>
    <x v="7"/>
    <n v="16"/>
    <x v="1"/>
  </r>
  <r>
    <d v="2026-02-26T00:00:00"/>
    <s v="Adult"/>
    <x v="8"/>
    <n v="453"/>
    <n v="98"/>
    <n v="7"/>
    <n v="2"/>
    <n v="560"/>
    <x v="7"/>
    <n v="9"/>
    <x v="1"/>
  </r>
  <r>
    <d v="2026-02-26T00:00:00"/>
    <s v="Child"/>
    <x v="18"/>
    <n v="203"/>
    <n v="41"/>
    <n v="0"/>
    <n v="2"/>
    <n v="247"/>
    <x v="7"/>
    <n v="2"/>
    <x v="1"/>
  </r>
  <r>
    <d v="2026-03-26T00:00:00"/>
    <s v="Adult"/>
    <x v="13"/>
    <n v="610"/>
    <n v="173"/>
    <n v="18"/>
    <n v="2"/>
    <n v="803"/>
    <x v="28"/>
    <n v="20"/>
    <x v="1"/>
  </r>
  <r>
    <d v="2026-03-26T00:00:00"/>
    <s v="Adult"/>
    <x v="26"/>
    <n v="396"/>
    <n v="75"/>
    <n v="4"/>
    <n v="2"/>
    <n v="476"/>
    <x v="28"/>
    <n v="6"/>
    <x v="1"/>
  </r>
  <r>
    <d v="2026-03-26T00:00:00"/>
    <s v="Adult"/>
    <x v="29"/>
    <n v="1718"/>
    <n v="361"/>
    <n v="51"/>
    <n v="2"/>
    <n v="2132"/>
    <x v="28"/>
    <n v="53"/>
    <x v="1"/>
  </r>
  <r>
    <d v="2026-03-26T00:00:00"/>
    <s v="Adult"/>
    <x v="0"/>
    <n v="496"/>
    <n v="90"/>
    <n v="2"/>
    <n v="2"/>
    <n v="590"/>
    <x v="28"/>
    <n v="4"/>
    <x v="1"/>
  </r>
  <r>
    <d v="2026-03-26T00:00:00"/>
    <s v="Adult"/>
    <x v="37"/>
    <n v="442"/>
    <n v="93"/>
    <n v="16"/>
    <n v="2"/>
    <n v="553"/>
    <x v="28"/>
    <n v="18"/>
    <x v="1"/>
  </r>
  <r>
    <d v="2026-03-26T00:00:00"/>
    <s v="Adult"/>
    <x v="1"/>
    <n v="644"/>
    <n v="251"/>
    <n v="69"/>
    <n v="2"/>
    <n v="966"/>
    <x v="28"/>
    <n v="71"/>
    <x v="1"/>
  </r>
  <r>
    <d v="2026-03-26T00:00:00"/>
    <s v="Child"/>
    <x v="23"/>
    <n v="4"/>
    <n v="2"/>
    <n v="0"/>
    <n v="2"/>
    <n v="8"/>
    <x v="28"/>
    <n v="2"/>
    <x v="1"/>
  </r>
  <r>
    <d v="2026-04-30T00:00:00"/>
    <s v="Adult"/>
    <x v="15"/>
    <n v="314"/>
    <n v="78"/>
    <n v="28"/>
    <n v="2"/>
    <n v="422"/>
    <x v="29"/>
    <n v="30"/>
    <x v="1"/>
  </r>
  <r>
    <d v="2026-04-30T00:00:00"/>
    <s v="Adult"/>
    <x v="29"/>
    <n v="1592"/>
    <n v="362"/>
    <n v="40"/>
    <n v="2"/>
    <n v="1997"/>
    <x v="29"/>
    <n v="42"/>
    <x v="1"/>
  </r>
  <r>
    <d v="2026-04-30T00:00:00"/>
    <s v="Adult"/>
    <x v="11"/>
    <n v="899"/>
    <n v="714"/>
    <n v="218"/>
    <n v="2"/>
    <n v="1832"/>
    <x v="29"/>
    <n v="220"/>
    <x v="1"/>
  </r>
  <r>
    <d v="2026-04-30T00:00:00"/>
    <s v="Adult"/>
    <x v="37"/>
    <n v="425"/>
    <n v="97"/>
    <n v="15"/>
    <n v="2"/>
    <n v="539"/>
    <x v="29"/>
    <n v="17"/>
    <x v="1"/>
  </r>
  <r>
    <d v="2026-04-30T00:00:00"/>
    <s v="Adult"/>
    <x v="1"/>
    <n v="700"/>
    <n v="254"/>
    <n v="41"/>
    <n v="2"/>
    <n v="997"/>
    <x v="29"/>
    <n v="43"/>
    <x v="1"/>
  </r>
  <r>
    <d v="2026-04-30T00:00:00"/>
    <s v="Child"/>
    <x v="34"/>
    <n v="171"/>
    <n v="85"/>
    <n v="19"/>
    <n v="2"/>
    <n v="278"/>
    <x v="29"/>
    <n v="21"/>
    <x v="1"/>
  </r>
  <r>
    <d v="2026-05-28T00:00:00"/>
    <s v="Adult"/>
    <x v="0"/>
    <n v="559"/>
    <n v="91"/>
    <n v="3"/>
    <n v="2"/>
    <n v="654"/>
    <x v="8"/>
    <n v="5"/>
    <x v="1"/>
  </r>
  <r>
    <d v="2026-05-28T00:00:00"/>
    <s v="Adult"/>
    <x v="21"/>
    <n v="375"/>
    <n v="61"/>
    <n v="30"/>
    <n v="2"/>
    <n v="468"/>
    <x v="8"/>
    <n v="32"/>
    <x v="1"/>
  </r>
  <r>
    <d v="2026-05-28T00:00:00"/>
    <s v="Adult"/>
    <x v="37"/>
    <n v="410"/>
    <n v="122"/>
    <n v="19"/>
    <n v="2"/>
    <n v="552"/>
    <x v="8"/>
    <n v="21"/>
    <x v="1"/>
  </r>
  <r>
    <d v="2026-05-28T00:00:00"/>
    <s v="Adult"/>
    <x v="1"/>
    <n v="716"/>
    <n v="265"/>
    <n v="47"/>
    <n v="2"/>
    <n v="1031"/>
    <x v="8"/>
    <n v="49"/>
    <x v="1"/>
  </r>
  <r>
    <d v="2026-05-28T00:00:00"/>
    <s v="Adult"/>
    <x v="19"/>
    <n v="547"/>
    <n v="86"/>
    <n v="6"/>
    <n v="2"/>
    <n v="640"/>
    <x v="8"/>
    <n v="8"/>
    <x v="1"/>
  </r>
  <r>
    <d v="2026-06-25T00:00:00"/>
    <s v="Adult"/>
    <x v="16"/>
    <n v="407"/>
    <n v="33"/>
    <n v="0"/>
    <n v="2"/>
    <n v="442"/>
    <x v="9"/>
    <n v="2"/>
    <x v="1"/>
  </r>
  <r>
    <d v="2026-06-25T00:00:00"/>
    <s v="Adult"/>
    <x v="26"/>
    <n v="508"/>
    <n v="135"/>
    <n v="8"/>
    <n v="2"/>
    <n v="652"/>
    <x v="9"/>
    <n v="10"/>
    <x v="1"/>
  </r>
  <r>
    <d v="2026-06-25T00:00:00"/>
    <s v="Adult"/>
    <x v="21"/>
    <n v="316"/>
    <n v="47"/>
    <n v="21"/>
    <n v="2"/>
    <n v="386"/>
    <x v="9"/>
    <n v="23"/>
    <x v="1"/>
  </r>
  <r>
    <d v="2026-06-25T00:00:00"/>
    <s v="Child"/>
    <x v="34"/>
    <n v="127"/>
    <n v="79"/>
    <n v="7"/>
    <n v="2"/>
    <n v="215"/>
    <x v="9"/>
    <n v="9"/>
    <x v="1"/>
  </r>
  <r>
    <d v="2026-07-30T00:00:00"/>
    <s v="Adult"/>
    <x v="22"/>
    <n v="950"/>
    <n v="207"/>
    <n v="41"/>
    <n v="2"/>
    <n v="1200"/>
    <x v="10"/>
    <n v="43"/>
    <x v="1"/>
  </r>
  <r>
    <d v="2026-07-30T00:00:00"/>
    <s v="Adult"/>
    <x v="27"/>
    <n v="629"/>
    <n v="73"/>
    <n v="4"/>
    <n v="2"/>
    <n v="709"/>
    <x v="10"/>
    <n v="6"/>
    <x v="1"/>
  </r>
  <r>
    <d v="2026-07-30T00:00:00"/>
    <s v="Child"/>
    <x v="36"/>
    <n v="296"/>
    <n v="56"/>
    <n v="3"/>
    <n v="2"/>
    <n v="357"/>
    <x v="10"/>
    <n v="5"/>
    <x v="1"/>
  </r>
  <r>
    <d v="2026-07-30T00:00:00"/>
    <s v="Child"/>
    <x v="34"/>
    <n v="141"/>
    <n v="65"/>
    <n v="10"/>
    <n v="2"/>
    <n v="218"/>
    <x v="10"/>
    <n v="12"/>
    <x v="1"/>
  </r>
  <r>
    <d v="2026-08-27T00:00:00"/>
    <s v="Adult"/>
    <x v="6"/>
    <n v="668"/>
    <n v="96"/>
    <n v="4"/>
    <n v="2"/>
    <n v="770"/>
    <x v="11"/>
    <n v="6"/>
    <x v="1"/>
  </r>
  <r>
    <d v="2026-08-27T00:00:00"/>
    <s v="Adult"/>
    <x v="15"/>
    <n v="352"/>
    <n v="118"/>
    <n v="39"/>
    <n v="2"/>
    <n v="511"/>
    <x v="11"/>
    <n v="41"/>
    <x v="1"/>
  </r>
  <r>
    <d v="2026-08-27T00:00:00"/>
    <s v="Adult"/>
    <x v="29"/>
    <n v="1874"/>
    <n v="259"/>
    <n v="11"/>
    <n v="2"/>
    <n v="2145"/>
    <x v="11"/>
    <n v="13"/>
    <x v="1"/>
  </r>
  <r>
    <d v="2026-08-27T00:00:00"/>
    <s v="Adult"/>
    <x v="21"/>
    <n v="329"/>
    <n v="41"/>
    <n v="36"/>
    <n v="2"/>
    <n v="408"/>
    <x v="11"/>
    <n v="38"/>
    <x v="1"/>
  </r>
  <r>
    <d v="2026-08-27T00:00:00"/>
    <s v="Adult"/>
    <x v="8"/>
    <n v="449"/>
    <n v="85"/>
    <n v="12"/>
    <n v="2"/>
    <n v="547"/>
    <x v="11"/>
    <n v="14"/>
    <x v="1"/>
  </r>
  <r>
    <d v="2026-08-27T00:00:00"/>
    <s v="Child"/>
    <x v="18"/>
    <n v="180"/>
    <n v="15"/>
    <n v="0"/>
    <n v="2"/>
    <n v="197"/>
    <x v="11"/>
    <n v="2"/>
    <x v="1"/>
  </r>
  <r>
    <d v="2026-08-27T00:00:00"/>
    <s v="Child"/>
    <x v="36"/>
    <n v="312"/>
    <n v="75"/>
    <n v="5"/>
    <n v="2"/>
    <n v="394"/>
    <x v="11"/>
    <n v="7"/>
    <x v="1"/>
  </r>
  <r>
    <d v="2026-08-27T00:00:00"/>
    <s v="Child"/>
    <x v="34"/>
    <n v="135"/>
    <n v="48"/>
    <n v="11"/>
    <n v="2"/>
    <n v="197"/>
    <x v="11"/>
    <n v="13"/>
    <x v="1"/>
  </r>
  <r>
    <d v="2023-01-26T00:00:00"/>
    <s v="Child"/>
    <x v="39"/>
    <n v="3131"/>
    <n v="1495"/>
    <n v="732"/>
    <n v="880"/>
    <n v="6238"/>
    <x v="36"/>
    <n v="1612"/>
    <x v="1"/>
  </r>
  <r>
    <d v="2023-01-26T00:00:00"/>
    <s v="Child"/>
    <x v="40"/>
    <n v="95"/>
    <n v="25"/>
    <n v="9"/>
    <n v="16"/>
    <n v="145"/>
    <x v="36"/>
    <n v="25"/>
    <x v="1"/>
  </r>
  <r>
    <d v="2023-01-26T00:00:00"/>
    <s v="Child"/>
    <x v="41"/>
    <n v="227"/>
    <n v="96"/>
    <n v="44"/>
    <n v="72"/>
    <n v="439"/>
    <x v="36"/>
    <n v="116"/>
    <x v="1"/>
  </r>
  <r>
    <d v="2023-01-26T00:00:00"/>
    <s v="Child"/>
    <x v="32"/>
    <n v="39"/>
    <n v="22"/>
    <n v="13"/>
    <n v="15"/>
    <n v="88"/>
    <x v="36"/>
    <n v="28"/>
    <x v="1"/>
  </r>
  <r>
    <d v="2023-01-26T00:00:00"/>
    <s v="Child"/>
    <x v="29"/>
    <n v="135"/>
    <n v="109"/>
    <n v="15"/>
    <n v="15"/>
    <n v="274"/>
    <x v="36"/>
    <n v="30"/>
    <x v="1"/>
  </r>
  <r>
    <d v="2023-01-26T00:00:00"/>
    <s v="Child"/>
    <x v="35"/>
    <n v="199"/>
    <n v="41"/>
    <n v="8"/>
    <n v="13"/>
    <n v="259"/>
    <x v="36"/>
    <n v="21"/>
    <x v="1"/>
  </r>
  <r>
    <d v="2023-01-26T00:00:00"/>
    <s v="Child"/>
    <x v="42"/>
    <n v="119"/>
    <n v="37"/>
    <n v="17"/>
    <n v="8"/>
    <n v="181"/>
    <x v="36"/>
    <n v="25"/>
    <x v="1"/>
  </r>
  <r>
    <d v="2023-02-23T00:00:00"/>
    <s v="Child"/>
    <x v="39"/>
    <n v="3314"/>
    <n v="1476"/>
    <n v="792"/>
    <n v="881"/>
    <n v="6463"/>
    <x v="37"/>
    <n v="1673"/>
    <x v="1"/>
  </r>
  <r>
    <d v="2023-02-23T00:00:00"/>
    <s v="Child"/>
    <x v="40"/>
    <n v="101"/>
    <n v="24"/>
    <n v="14"/>
    <n v="17"/>
    <n v="157"/>
    <x v="37"/>
    <n v="31"/>
    <x v="1"/>
  </r>
  <r>
    <d v="2023-02-23T00:00:00"/>
    <s v="Child"/>
    <x v="41"/>
    <n v="248"/>
    <n v="84"/>
    <n v="37"/>
    <n v="75"/>
    <n v="445"/>
    <x v="37"/>
    <n v="112"/>
    <x v="1"/>
  </r>
  <r>
    <d v="2023-02-23T00:00:00"/>
    <s v="Child"/>
    <x v="32"/>
    <n v="38"/>
    <n v="20"/>
    <n v="12"/>
    <n v="14"/>
    <n v="85"/>
    <x v="37"/>
    <n v="26"/>
    <x v="1"/>
  </r>
  <r>
    <d v="2023-02-23T00:00:00"/>
    <s v="Child"/>
    <x v="29"/>
    <n v="129"/>
    <n v="100"/>
    <n v="19"/>
    <n v="15"/>
    <n v="263"/>
    <x v="37"/>
    <n v="34"/>
    <x v="1"/>
  </r>
  <r>
    <d v="2023-02-23T00:00:00"/>
    <s v="Child"/>
    <x v="35"/>
    <n v="189"/>
    <n v="39"/>
    <n v="8"/>
    <n v="8"/>
    <n v="245"/>
    <x v="37"/>
    <n v="16"/>
    <x v="1"/>
  </r>
  <r>
    <d v="2023-02-23T00:00:00"/>
    <s v="Child"/>
    <x v="42"/>
    <n v="133"/>
    <n v="35"/>
    <n v="14"/>
    <n v="8"/>
    <n v="191"/>
    <x v="37"/>
    <n v="22"/>
    <x v="1"/>
  </r>
  <r>
    <d v="2023-03-30T00:00:00"/>
    <s v="Child"/>
    <x v="39"/>
    <n v="3275"/>
    <n v="1557"/>
    <n v="738"/>
    <n v="895"/>
    <n v="6465"/>
    <x v="38"/>
    <n v="1633"/>
    <x v="1"/>
  </r>
  <r>
    <d v="2023-03-30T00:00:00"/>
    <s v="Child"/>
    <x v="40"/>
    <n v="116"/>
    <n v="42"/>
    <n v="14"/>
    <n v="20"/>
    <n v="193"/>
    <x v="38"/>
    <n v="34"/>
    <x v="1"/>
  </r>
  <r>
    <d v="2023-03-30T00:00:00"/>
    <s v="Child"/>
    <x v="41"/>
    <n v="215"/>
    <n v="82"/>
    <n v="32"/>
    <n v="73"/>
    <n v="402"/>
    <x v="38"/>
    <n v="105"/>
    <x v="1"/>
  </r>
  <r>
    <d v="2023-03-30T00:00:00"/>
    <s v="Child"/>
    <x v="32"/>
    <n v="39"/>
    <n v="13"/>
    <n v="6"/>
    <n v="11"/>
    <n v="70"/>
    <x v="38"/>
    <n v="17"/>
    <x v="1"/>
  </r>
  <r>
    <d v="2023-03-30T00:00:00"/>
    <s v="Child"/>
    <x v="29"/>
    <n v="118"/>
    <n v="90"/>
    <n v="26"/>
    <n v="13"/>
    <n v="247"/>
    <x v="38"/>
    <n v="39"/>
    <x v="1"/>
  </r>
  <r>
    <d v="2023-03-30T00:00:00"/>
    <s v="Child"/>
    <x v="35"/>
    <n v="169"/>
    <n v="46"/>
    <n v="10"/>
    <n v="8"/>
    <n v="234"/>
    <x v="38"/>
    <n v="18"/>
    <x v="1"/>
  </r>
  <r>
    <d v="2023-03-30T00:00:00"/>
    <s v="Child"/>
    <x v="42"/>
    <n v="154"/>
    <n v="36"/>
    <n v="14"/>
    <n v="6"/>
    <n v="211"/>
    <x v="38"/>
    <n v="20"/>
    <x v="1"/>
  </r>
  <r>
    <d v="2023-04-27T00:00:00"/>
    <s v="Child"/>
    <x v="39"/>
    <n v="3303"/>
    <n v="1675"/>
    <n v="710"/>
    <n v="924"/>
    <n v="6612"/>
    <x v="39"/>
    <n v="1634"/>
    <x v="1"/>
  </r>
  <r>
    <d v="2023-04-27T00:00:00"/>
    <s v="Child"/>
    <x v="40"/>
    <n v="126"/>
    <n v="42"/>
    <n v="12"/>
    <n v="21"/>
    <n v="201"/>
    <x v="39"/>
    <n v="33"/>
    <x v="1"/>
  </r>
  <r>
    <d v="2023-04-27T00:00:00"/>
    <s v="Child"/>
    <x v="41"/>
    <n v="212"/>
    <n v="91"/>
    <n v="36"/>
    <n v="76"/>
    <n v="416"/>
    <x v="39"/>
    <n v="112"/>
    <x v="1"/>
  </r>
  <r>
    <d v="2023-04-27T00:00:00"/>
    <s v="Child"/>
    <x v="32"/>
    <n v="41"/>
    <n v="19"/>
    <n v="8"/>
    <n v="11"/>
    <n v="79"/>
    <x v="39"/>
    <n v="19"/>
    <x v="1"/>
  </r>
  <r>
    <d v="2023-04-27T00:00:00"/>
    <s v="Child"/>
    <x v="29"/>
    <n v="132"/>
    <n v="71"/>
    <n v="34"/>
    <n v="16"/>
    <n v="253"/>
    <x v="39"/>
    <n v="50"/>
    <x v="1"/>
  </r>
  <r>
    <d v="2023-04-27T00:00:00"/>
    <s v="Child"/>
    <x v="35"/>
    <n v="170"/>
    <n v="56"/>
    <n v="10"/>
    <n v="8"/>
    <n v="245"/>
    <x v="39"/>
    <n v="18"/>
    <x v="1"/>
  </r>
  <r>
    <d v="2023-04-27T00:00:00"/>
    <s v="Child"/>
    <x v="42"/>
    <n v="175"/>
    <n v="41"/>
    <n v="17"/>
    <n v="6"/>
    <n v="240"/>
    <x v="39"/>
    <n v="23"/>
    <x v="1"/>
  </r>
  <r>
    <d v="2023-05-25T00:00:00"/>
    <s v="Child"/>
    <x v="39"/>
    <n v="3395"/>
    <n v="1686"/>
    <n v="730"/>
    <n v="935"/>
    <n v="6746"/>
    <x v="40"/>
    <n v="1665"/>
    <x v="1"/>
  </r>
  <r>
    <d v="2023-05-25T00:00:00"/>
    <s v="Child"/>
    <x v="40"/>
    <n v="134"/>
    <n v="44"/>
    <n v="12"/>
    <n v="18"/>
    <n v="209"/>
    <x v="40"/>
    <n v="30"/>
    <x v="1"/>
  </r>
  <r>
    <d v="2023-05-25T00:00:00"/>
    <s v="Child"/>
    <x v="41"/>
    <n v="228"/>
    <n v="84"/>
    <n v="40"/>
    <n v="79"/>
    <n v="432"/>
    <x v="40"/>
    <n v="119"/>
    <x v="1"/>
  </r>
  <r>
    <d v="2023-05-25T00:00:00"/>
    <s v="Child"/>
    <x v="32"/>
    <n v="26"/>
    <n v="22"/>
    <n v="8"/>
    <n v="11"/>
    <n v="67"/>
    <x v="40"/>
    <n v="19"/>
    <x v="1"/>
  </r>
  <r>
    <d v="2023-05-25T00:00:00"/>
    <s v="Child"/>
    <x v="29"/>
    <n v="114"/>
    <n v="72"/>
    <n v="37"/>
    <n v="18"/>
    <n v="241"/>
    <x v="40"/>
    <n v="55"/>
    <x v="1"/>
  </r>
  <r>
    <d v="2023-05-25T00:00:00"/>
    <s v="Child"/>
    <x v="35"/>
    <n v="184"/>
    <n v="54"/>
    <n v="10"/>
    <n v="6"/>
    <n v="255"/>
    <x v="40"/>
    <n v="16"/>
    <x v="1"/>
  </r>
  <r>
    <d v="2023-05-25T00:00:00"/>
    <s v="Child"/>
    <x v="42"/>
    <n v="187"/>
    <n v="41"/>
    <n v="14"/>
    <n v="6"/>
    <n v="249"/>
    <x v="40"/>
    <n v="20"/>
    <x v="1"/>
  </r>
  <r>
    <d v="2023-06-29T00:00:00"/>
    <s v="Child"/>
    <x v="39"/>
    <n v="3588"/>
    <n v="1671"/>
    <n v="715"/>
    <n v="959"/>
    <n v="6933"/>
    <x v="30"/>
    <n v="1674"/>
    <x v="1"/>
  </r>
  <r>
    <d v="2023-06-29T00:00:00"/>
    <s v="Child"/>
    <x v="40"/>
    <n v="127"/>
    <n v="55"/>
    <n v="21"/>
    <n v="17"/>
    <n v="220"/>
    <x v="30"/>
    <n v="38"/>
    <x v="1"/>
  </r>
  <r>
    <d v="2023-06-29T00:00:00"/>
    <s v="Child"/>
    <x v="41"/>
    <n v="231"/>
    <n v="86"/>
    <n v="45"/>
    <n v="71"/>
    <n v="434"/>
    <x v="30"/>
    <n v="116"/>
    <x v="1"/>
  </r>
  <r>
    <d v="2023-06-29T00:00:00"/>
    <s v="Child"/>
    <x v="32"/>
    <n v="31"/>
    <n v="15"/>
    <n v="11"/>
    <n v="11"/>
    <n v="67"/>
    <x v="30"/>
    <n v="22"/>
    <x v="1"/>
  </r>
  <r>
    <d v="2023-06-29T00:00:00"/>
    <s v="Child"/>
    <x v="29"/>
    <n v="132"/>
    <n v="65"/>
    <n v="41"/>
    <n v="17"/>
    <n v="255"/>
    <x v="30"/>
    <n v="58"/>
    <x v="1"/>
  </r>
  <r>
    <d v="2023-06-29T00:00:00"/>
    <s v="Child"/>
    <x v="35"/>
    <n v="212"/>
    <n v="50"/>
    <n v="16"/>
    <n v="4"/>
    <n v="281"/>
    <x v="30"/>
    <n v="20"/>
    <x v="1"/>
  </r>
  <r>
    <d v="2023-06-29T00:00:00"/>
    <s v="Child"/>
    <x v="34"/>
    <n v="344"/>
    <n v="153"/>
    <n v="10"/>
    <n v="4"/>
    <n v="511"/>
    <x v="30"/>
    <n v="14"/>
    <x v="1"/>
  </r>
  <r>
    <d v="2023-06-29T00:00:00"/>
    <s v="Child"/>
    <x v="42"/>
    <n v="208"/>
    <n v="36"/>
    <n v="15"/>
    <n v="9"/>
    <n v="268"/>
    <x v="30"/>
    <n v="24"/>
    <x v="1"/>
  </r>
  <r>
    <d v="2023-07-27T00:00:00"/>
    <s v="Child"/>
    <x v="39"/>
    <n v="3537"/>
    <n v="1582"/>
    <n v="789"/>
    <n v="900"/>
    <n v="6808"/>
    <x v="31"/>
    <n v="1689"/>
    <x v="1"/>
  </r>
  <r>
    <d v="2023-07-27T00:00:00"/>
    <s v="Child"/>
    <x v="40"/>
    <n v="141"/>
    <n v="52"/>
    <n v="21"/>
    <n v="16"/>
    <n v="229"/>
    <x v="31"/>
    <n v="37"/>
    <x v="1"/>
  </r>
  <r>
    <d v="2023-07-27T00:00:00"/>
    <s v="Child"/>
    <x v="41"/>
    <n v="253"/>
    <n v="73"/>
    <n v="46"/>
    <n v="71"/>
    <n v="442"/>
    <x v="31"/>
    <n v="117"/>
    <x v="1"/>
  </r>
  <r>
    <d v="2023-07-27T00:00:00"/>
    <s v="Child"/>
    <x v="32"/>
    <n v="28"/>
    <n v="13"/>
    <n v="6"/>
    <n v="11"/>
    <n v="57"/>
    <x v="31"/>
    <n v="17"/>
    <x v="1"/>
  </r>
  <r>
    <d v="2023-07-27T00:00:00"/>
    <s v="Child"/>
    <x v="29"/>
    <n v="137"/>
    <n v="59"/>
    <n v="48"/>
    <n v="14"/>
    <n v="258"/>
    <x v="31"/>
    <n v="62"/>
    <x v="1"/>
  </r>
  <r>
    <d v="2023-07-27T00:00:00"/>
    <s v="Child"/>
    <x v="35"/>
    <n v="268"/>
    <n v="40"/>
    <n v="18"/>
    <n v="6"/>
    <n v="331"/>
    <x v="31"/>
    <n v="24"/>
    <x v="1"/>
  </r>
  <r>
    <d v="2023-07-27T00:00:00"/>
    <s v="Child"/>
    <x v="42"/>
    <n v="237"/>
    <n v="23"/>
    <n v="14"/>
    <n v="10"/>
    <n v="283"/>
    <x v="31"/>
    <n v="24"/>
    <x v="1"/>
  </r>
  <r>
    <d v="2023-08-31T00:00:00"/>
    <s v="Child"/>
    <x v="23"/>
    <n v="35"/>
    <n v="4"/>
    <n v="4"/>
    <n v="4"/>
    <n v="47"/>
    <x v="32"/>
    <n v="8"/>
    <x v="1"/>
  </r>
  <r>
    <d v="2023-08-31T00:00:00"/>
    <s v="Child"/>
    <x v="39"/>
    <n v="3388"/>
    <n v="1561"/>
    <n v="851"/>
    <n v="871"/>
    <n v="6671"/>
    <x v="32"/>
    <n v="1722"/>
    <x v="1"/>
  </r>
  <r>
    <d v="2023-08-31T00:00:00"/>
    <s v="Child"/>
    <x v="40"/>
    <n v="136"/>
    <n v="68"/>
    <n v="17"/>
    <n v="16"/>
    <n v="236"/>
    <x v="32"/>
    <n v="33"/>
    <x v="1"/>
  </r>
  <r>
    <d v="2023-08-31T00:00:00"/>
    <s v="Child"/>
    <x v="41"/>
    <n v="295"/>
    <n v="83"/>
    <n v="40"/>
    <n v="66"/>
    <n v="483"/>
    <x v="32"/>
    <n v="106"/>
    <x v="1"/>
  </r>
  <r>
    <d v="2023-08-31T00:00:00"/>
    <s v="Child"/>
    <x v="32"/>
    <n v="32"/>
    <n v="14"/>
    <n v="8"/>
    <n v="9"/>
    <n v="62"/>
    <x v="32"/>
    <n v="17"/>
    <x v="1"/>
  </r>
  <r>
    <d v="2023-08-31T00:00:00"/>
    <s v="Child"/>
    <x v="29"/>
    <n v="142"/>
    <n v="56"/>
    <n v="48"/>
    <n v="23"/>
    <n v="269"/>
    <x v="32"/>
    <n v="71"/>
    <x v="1"/>
  </r>
  <r>
    <d v="2023-08-31T00:00:00"/>
    <s v="Child"/>
    <x v="38"/>
    <n v="114"/>
    <n v="14"/>
    <n v="6"/>
    <n v="4"/>
    <n v="137"/>
    <x v="32"/>
    <n v="10"/>
    <x v="1"/>
  </r>
  <r>
    <d v="2023-08-31T00:00:00"/>
    <s v="Child"/>
    <x v="35"/>
    <n v="300"/>
    <n v="56"/>
    <n v="15"/>
    <n v="6"/>
    <n v="376"/>
    <x v="32"/>
    <n v="21"/>
    <x v="1"/>
  </r>
  <r>
    <d v="2023-08-31T00:00:00"/>
    <s v="Child"/>
    <x v="42"/>
    <n v="245"/>
    <n v="31"/>
    <n v="12"/>
    <n v="13"/>
    <n v="300"/>
    <x v="32"/>
    <n v="25"/>
    <x v="1"/>
  </r>
  <r>
    <d v="2023-09-28T00:00:00"/>
    <s v="Child"/>
    <x v="23"/>
    <n v="21"/>
    <n v="6"/>
    <n v="2"/>
    <n v="7"/>
    <n v="35"/>
    <x v="33"/>
    <n v="9"/>
    <x v="1"/>
  </r>
  <r>
    <d v="2023-09-28T00:00:00"/>
    <s v="Child"/>
    <x v="39"/>
    <n v="3133"/>
    <n v="1692"/>
    <n v="855"/>
    <n v="894"/>
    <n v="6573"/>
    <x v="33"/>
    <n v="1749"/>
    <x v="1"/>
  </r>
  <r>
    <d v="2023-09-28T00:00:00"/>
    <s v="Child"/>
    <x v="40"/>
    <n v="123"/>
    <n v="72"/>
    <n v="14"/>
    <n v="18"/>
    <n v="227"/>
    <x v="33"/>
    <n v="32"/>
    <x v="1"/>
  </r>
  <r>
    <d v="2023-09-28T00:00:00"/>
    <s v="Child"/>
    <x v="41"/>
    <n v="336"/>
    <n v="91"/>
    <n v="36"/>
    <n v="66"/>
    <n v="530"/>
    <x v="33"/>
    <n v="102"/>
    <x v="1"/>
  </r>
  <r>
    <d v="2023-09-28T00:00:00"/>
    <s v="Child"/>
    <x v="32"/>
    <n v="30"/>
    <n v="13"/>
    <n v="8"/>
    <n v="7"/>
    <n v="57"/>
    <x v="33"/>
    <n v="15"/>
    <x v="1"/>
  </r>
  <r>
    <d v="2023-09-28T00:00:00"/>
    <s v="Child"/>
    <x v="29"/>
    <n v="119"/>
    <n v="62"/>
    <n v="35"/>
    <n v="26"/>
    <n v="241"/>
    <x v="33"/>
    <n v="61"/>
    <x v="1"/>
  </r>
  <r>
    <d v="2023-09-28T00:00:00"/>
    <s v="Child"/>
    <x v="27"/>
    <n v="75"/>
    <n v="31"/>
    <n v="20"/>
    <n v="6"/>
    <n v="132"/>
    <x v="33"/>
    <n v="26"/>
    <x v="1"/>
  </r>
  <r>
    <d v="2023-09-28T00:00:00"/>
    <s v="Child"/>
    <x v="38"/>
    <n v="114"/>
    <n v="21"/>
    <n v="4"/>
    <n v="6"/>
    <n v="144"/>
    <x v="33"/>
    <n v="10"/>
    <x v="1"/>
  </r>
  <r>
    <d v="2023-09-28T00:00:00"/>
    <s v="Child"/>
    <x v="35"/>
    <n v="322"/>
    <n v="62"/>
    <n v="11"/>
    <n v="4"/>
    <n v="399"/>
    <x v="33"/>
    <n v="15"/>
    <x v="1"/>
  </r>
  <r>
    <d v="2023-09-28T00:00:00"/>
    <s v="Child"/>
    <x v="42"/>
    <n v="244"/>
    <n v="35"/>
    <n v="11"/>
    <n v="13"/>
    <n v="303"/>
    <x v="33"/>
    <n v="24"/>
    <x v="1"/>
  </r>
  <r>
    <d v="2023-10-26T00:00:00"/>
    <s v="Child"/>
    <x v="39"/>
    <n v="3113"/>
    <n v="1692"/>
    <n v="894"/>
    <n v="950"/>
    <n v="6649"/>
    <x v="41"/>
    <n v="1844"/>
    <x v="1"/>
  </r>
  <r>
    <d v="2023-10-26T00:00:00"/>
    <s v="Child"/>
    <x v="40"/>
    <n v="125"/>
    <n v="75"/>
    <n v="18"/>
    <n v="19"/>
    <n v="238"/>
    <x v="41"/>
    <n v="37"/>
    <x v="1"/>
  </r>
  <r>
    <d v="2023-10-26T00:00:00"/>
    <s v="Child"/>
    <x v="41"/>
    <n v="368"/>
    <n v="86"/>
    <n v="35"/>
    <n v="64"/>
    <n v="553"/>
    <x v="41"/>
    <n v="99"/>
    <x v="1"/>
  </r>
  <r>
    <d v="2023-10-26T00:00:00"/>
    <s v="Child"/>
    <x v="32"/>
    <n v="25"/>
    <n v="16"/>
    <n v="6"/>
    <n v="4"/>
    <n v="50"/>
    <x v="41"/>
    <n v="10"/>
    <x v="1"/>
  </r>
  <r>
    <d v="2023-10-26T00:00:00"/>
    <s v="Child"/>
    <x v="29"/>
    <n v="114"/>
    <n v="63"/>
    <n v="42"/>
    <n v="28"/>
    <n v="247"/>
    <x v="41"/>
    <n v="70"/>
    <x v="1"/>
  </r>
  <r>
    <d v="2023-10-26T00:00:00"/>
    <s v="Child"/>
    <x v="38"/>
    <n v="98"/>
    <n v="31"/>
    <n v="6"/>
    <n v="4"/>
    <n v="138"/>
    <x v="41"/>
    <n v="10"/>
    <x v="1"/>
  </r>
  <r>
    <d v="2023-10-26T00:00:00"/>
    <s v="Child"/>
    <x v="35"/>
    <n v="291"/>
    <n v="60"/>
    <n v="12"/>
    <n v="4"/>
    <n v="366"/>
    <x v="41"/>
    <n v="16"/>
    <x v="1"/>
  </r>
  <r>
    <d v="2023-10-26T00:00:00"/>
    <s v="Child"/>
    <x v="28"/>
    <n v="96"/>
    <n v="6"/>
    <n v="0"/>
    <n v="4"/>
    <n v="106"/>
    <x v="41"/>
    <n v="4"/>
    <x v="1"/>
  </r>
  <r>
    <d v="2023-10-26T00:00:00"/>
    <s v="Child"/>
    <x v="42"/>
    <n v="271"/>
    <n v="41"/>
    <n v="13"/>
    <n v="6"/>
    <n v="331"/>
    <x v="41"/>
    <n v="19"/>
    <x v="1"/>
  </r>
  <r>
    <d v="2023-11-30T00:00:00"/>
    <s v="Child"/>
    <x v="39"/>
    <n v="3041"/>
    <n v="1795"/>
    <n v="892"/>
    <n v="983"/>
    <n v="6710"/>
    <x v="42"/>
    <n v="1875"/>
    <x v="1"/>
  </r>
  <r>
    <d v="2023-11-30T00:00:00"/>
    <s v="Child"/>
    <x v="40"/>
    <n v="124"/>
    <n v="76"/>
    <n v="23"/>
    <n v="17"/>
    <n v="238"/>
    <x v="42"/>
    <n v="40"/>
    <x v="1"/>
  </r>
  <r>
    <d v="2023-11-30T00:00:00"/>
    <s v="Child"/>
    <x v="41"/>
    <n v="385"/>
    <n v="93"/>
    <n v="42"/>
    <n v="67"/>
    <n v="588"/>
    <x v="42"/>
    <n v="109"/>
    <x v="1"/>
  </r>
  <r>
    <d v="2023-11-30T00:00:00"/>
    <s v="Child"/>
    <x v="32"/>
    <n v="28"/>
    <n v="10"/>
    <n v="6"/>
    <n v="6"/>
    <n v="49"/>
    <x v="42"/>
    <n v="12"/>
    <x v="1"/>
  </r>
  <r>
    <d v="2023-11-30T00:00:00"/>
    <s v="Child"/>
    <x v="29"/>
    <n v="113"/>
    <n v="62"/>
    <n v="36"/>
    <n v="33"/>
    <n v="243"/>
    <x v="42"/>
    <n v="69"/>
    <x v="1"/>
  </r>
  <r>
    <d v="2023-11-30T00:00:00"/>
    <s v="Child"/>
    <x v="38"/>
    <n v="87"/>
    <n v="37"/>
    <n v="8"/>
    <n v="4"/>
    <n v="135"/>
    <x v="42"/>
    <n v="12"/>
    <x v="1"/>
  </r>
  <r>
    <d v="2023-11-30T00:00:00"/>
    <s v="Child"/>
    <x v="35"/>
    <n v="240"/>
    <n v="59"/>
    <n v="4"/>
    <n v="4"/>
    <n v="307"/>
    <x v="42"/>
    <n v="8"/>
    <x v="1"/>
  </r>
  <r>
    <d v="2023-11-30T00:00:00"/>
    <s v="Child"/>
    <x v="42"/>
    <n v="263"/>
    <n v="58"/>
    <n v="15"/>
    <n v="12"/>
    <n v="349"/>
    <x v="42"/>
    <n v="27"/>
    <x v="1"/>
  </r>
  <r>
    <d v="2023-12-28T00:00:00"/>
    <s v="Child"/>
    <x v="39"/>
    <n v="3036"/>
    <n v="1795"/>
    <n v="929"/>
    <n v="955"/>
    <n v="6715"/>
    <x v="43"/>
    <n v="1884"/>
    <x v="1"/>
  </r>
  <r>
    <d v="2023-12-28T00:00:00"/>
    <s v="Child"/>
    <x v="40"/>
    <n v="122"/>
    <n v="69"/>
    <n v="37"/>
    <n v="15"/>
    <n v="243"/>
    <x v="43"/>
    <n v="52"/>
    <x v="1"/>
  </r>
  <r>
    <d v="2023-12-28T00:00:00"/>
    <s v="Child"/>
    <x v="41"/>
    <n v="453"/>
    <n v="107"/>
    <n v="41"/>
    <n v="70"/>
    <n v="672"/>
    <x v="43"/>
    <n v="111"/>
    <x v="1"/>
  </r>
  <r>
    <d v="2023-12-28T00:00:00"/>
    <s v="Child"/>
    <x v="32"/>
    <n v="30"/>
    <n v="9"/>
    <n v="6"/>
    <n v="6"/>
    <n v="50"/>
    <x v="43"/>
    <n v="12"/>
    <x v="1"/>
  </r>
  <r>
    <d v="2023-12-28T00:00:00"/>
    <s v="Child"/>
    <x v="29"/>
    <n v="100"/>
    <n v="67"/>
    <n v="26"/>
    <n v="34"/>
    <n v="226"/>
    <x v="43"/>
    <n v="60"/>
    <x v="1"/>
  </r>
  <r>
    <d v="2023-12-28T00:00:00"/>
    <s v="Child"/>
    <x v="38"/>
    <n v="68"/>
    <n v="38"/>
    <n v="7"/>
    <n v="4"/>
    <n v="117"/>
    <x v="43"/>
    <n v="11"/>
    <x v="1"/>
  </r>
  <r>
    <d v="2023-12-28T00:00:00"/>
    <s v="Child"/>
    <x v="42"/>
    <n v="273"/>
    <n v="79"/>
    <n v="15"/>
    <n v="13"/>
    <n v="380"/>
    <x v="43"/>
    <n v="28"/>
    <x v="1"/>
  </r>
  <r>
    <d v="2024-01-25T00:00:00"/>
    <s v="Child"/>
    <x v="16"/>
    <n v="20"/>
    <n v="1"/>
    <n v="0"/>
    <n v="3"/>
    <n v="24"/>
    <x v="12"/>
    <n v="3"/>
    <x v="1"/>
  </r>
  <r>
    <d v="2024-01-25T00:00:00"/>
    <s v="Child"/>
    <x v="39"/>
    <n v="2879"/>
    <n v="1845"/>
    <n v="888"/>
    <n v="1001"/>
    <n v="6614"/>
    <x v="12"/>
    <n v="1889"/>
    <x v="1"/>
  </r>
  <r>
    <d v="2024-01-25T00:00:00"/>
    <s v="Child"/>
    <x v="40"/>
    <n v="130"/>
    <n v="78"/>
    <n v="38"/>
    <n v="11"/>
    <n v="258"/>
    <x v="12"/>
    <n v="49"/>
    <x v="1"/>
  </r>
  <r>
    <d v="2024-01-25T00:00:00"/>
    <s v="Child"/>
    <x v="41"/>
    <n v="456"/>
    <n v="124"/>
    <n v="45"/>
    <n v="73"/>
    <n v="698"/>
    <x v="12"/>
    <n v="118"/>
    <x v="1"/>
  </r>
  <r>
    <d v="2024-01-25T00:00:00"/>
    <s v="Child"/>
    <x v="32"/>
    <n v="32"/>
    <n v="8"/>
    <n v="0"/>
    <n v="5"/>
    <n v="44"/>
    <x v="12"/>
    <n v="5"/>
    <x v="1"/>
  </r>
  <r>
    <d v="2024-01-25T00:00:00"/>
    <s v="Child"/>
    <x v="22"/>
    <n v="5"/>
    <n v="0"/>
    <n v="0"/>
    <n v="3"/>
    <n v="8"/>
    <x v="12"/>
    <n v="3"/>
    <x v="1"/>
  </r>
  <r>
    <d v="2024-01-25T00:00:00"/>
    <s v="Child"/>
    <x v="42"/>
    <n v="258"/>
    <n v="85"/>
    <n v="14"/>
    <n v="9"/>
    <n v="365"/>
    <x v="12"/>
    <n v="23"/>
    <x v="1"/>
  </r>
  <r>
    <d v="2024-02-29T00:00:00"/>
    <s v="Child"/>
    <x v="39"/>
    <n v="2934"/>
    <n v="1678"/>
    <n v="847"/>
    <n v="974"/>
    <n v="6433"/>
    <x v="13"/>
    <n v="1821"/>
    <x v="1"/>
  </r>
  <r>
    <d v="2024-02-29T00:00:00"/>
    <s v="Child"/>
    <x v="40"/>
    <n v="129"/>
    <n v="74"/>
    <n v="40"/>
    <n v="14"/>
    <n v="257"/>
    <x v="13"/>
    <n v="54"/>
    <x v="1"/>
  </r>
  <r>
    <d v="2024-02-29T00:00:00"/>
    <s v="Child"/>
    <x v="41"/>
    <n v="405"/>
    <n v="180"/>
    <n v="52"/>
    <n v="74"/>
    <n v="711"/>
    <x v="13"/>
    <n v="126"/>
    <x v="1"/>
  </r>
  <r>
    <d v="2024-02-29T00:00:00"/>
    <s v="Child"/>
    <x v="32"/>
    <n v="20"/>
    <n v="5"/>
    <n v="2"/>
    <n v="4"/>
    <n v="31"/>
    <x v="13"/>
    <n v="6"/>
    <x v="1"/>
  </r>
  <r>
    <d v="2024-02-29T00:00:00"/>
    <s v="Child"/>
    <x v="22"/>
    <n v="6"/>
    <n v="0"/>
    <n v="0"/>
    <n v="1"/>
    <n v="7"/>
    <x v="13"/>
    <n v="1"/>
    <x v="1"/>
  </r>
  <r>
    <d v="2024-02-29T00:00:00"/>
    <s v="Child"/>
    <x v="29"/>
    <n v="68"/>
    <n v="63"/>
    <n v="17"/>
    <n v="3"/>
    <n v="151"/>
    <x v="13"/>
    <n v="20"/>
    <x v="1"/>
  </r>
  <r>
    <d v="2024-02-29T00:00:00"/>
    <s v="Child"/>
    <x v="36"/>
    <n v="252"/>
    <n v="30"/>
    <n v="4"/>
    <n v="4"/>
    <n v="291"/>
    <x v="13"/>
    <n v="8"/>
    <x v="1"/>
  </r>
  <r>
    <d v="2024-02-29T00:00:00"/>
    <s v="Child"/>
    <x v="42"/>
    <n v="279"/>
    <n v="94"/>
    <n v="18"/>
    <n v="6"/>
    <n v="396"/>
    <x v="13"/>
    <n v="24"/>
    <x v="1"/>
  </r>
  <r>
    <d v="2024-03-28T00:00:00"/>
    <s v="Child"/>
    <x v="39"/>
    <n v="2952"/>
    <n v="1606"/>
    <n v="909"/>
    <n v="945"/>
    <n v="6412"/>
    <x v="14"/>
    <n v="1854"/>
    <x v="1"/>
  </r>
  <r>
    <d v="2024-03-28T00:00:00"/>
    <s v="Child"/>
    <x v="40"/>
    <n v="121"/>
    <n v="78"/>
    <n v="43"/>
    <n v="16"/>
    <n v="258"/>
    <x v="14"/>
    <n v="59"/>
    <x v="1"/>
  </r>
  <r>
    <d v="2024-03-28T00:00:00"/>
    <s v="Child"/>
    <x v="41"/>
    <n v="399"/>
    <n v="213"/>
    <n v="58"/>
    <n v="68"/>
    <n v="738"/>
    <x v="14"/>
    <n v="126"/>
    <x v="1"/>
  </r>
  <r>
    <d v="2024-03-28T00:00:00"/>
    <s v="Child"/>
    <x v="38"/>
    <n v="63"/>
    <n v="50"/>
    <n v="8"/>
    <n v="5"/>
    <n v="126"/>
    <x v="14"/>
    <n v="13"/>
    <x v="1"/>
  </r>
  <r>
    <d v="2024-03-28T00:00:00"/>
    <s v="Child"/>
    <x v="42"/>
    <n v="262"/>
    <n v="100"/>
    <n v="14"/>
    <n v="5"/>
    <n v="381"/>
    <x v="14"/>
    <n v="19"/>
    <x v="1"/>
  </r>
  <r>
    <d v="2024-04-25T00:00:00"/>
    <s v="Child"/>
    <x v="39"/>
    <n v="2852"/>
    <n v="1604"/>
    <n v="917"/>
    <n v="998"/>
    <n v="6371"/>
    <x v="15"/>
    <n v="1915"/>
    <x v="1"/>
  </r>
  <r>
    <d v="2024-04-25T00:00:00"/>
    <s v="Child"/>
    <x v="40"/>
    <n v="135"/>
    <n v="73"/>
    <n v="49"/>
    <n v="17"/>
    <n v="274"/>
    <x v="15"/>
    <n v="66"/>
    <x v="1"/>
  </r>
  <r>
    <d v="2024-04-25T00:00:00"/>
    <s v="Child"/>
    <x v="41"/>
    <n v="416"/>
    <n v="227"/>
    <n v="57"/>
    <n v="67"/>
    <n v="768"/>
    <x v="15"/>
    <n v="124"/>
    <x v="1"/>
  </r>
  <r>
    <d v="2024-04-25T00:00:00"/>
    <s v="Child"/>
    <x v="32"/>
    <n v="19"/>
    <n v="0"/>
    <n v="2"/>
    <n v="4"/>
    <n v="25"/>
    <x v="15"/>
    <n v="6"/>
    <x v="1"/>
  </r>
  <r>
    <d v="2024-04-25T00:00:00"/>
    <s v="Child"/>
    <x v="38"/>
    <n v="55"/>
    <n v="39"/>
    <n v="10"/>
    <n v="7"/>
    <n v="111"/>
    <x v="15"/>
    <n v="17"/>
    <x v="1"/>
  </r>
  <r>
    <d v="2024-04-25T00:00:00"/>
    <s v="Child"/>
    <x v="35"/>
    <n v="82"/>
    <n v="35"/>
    <n v="0"/>
    <n v="1"/>
    <n v="118"/>
    <x v="15"/>
    <n v="1"/>
    <x v="1"/>
  </r>
  <r>
    <d v="2024-04-25T00:00:00"/>
    <s v="Child"/>
    <x v="42"/>
    <n v="229"/>
    <n v="119"/>
    <n v="23"/>
    <n v="7"/>
    <n v="378"/>
    <x v="15"/>
    <n v="30"/>
    <x v="1"/>
  </r>
  <r>
    <d v="2024-05-30T00:00:00"/>
    <s v="Child"/>
    <x v="16"/>
    <n v="93"/>
    <n v="3"/>
    <n v="3"/>
    <n v="20"/>
    <n v="119"/>
    <x v="0"/>
    <n v="23"/>
    <x v="1"/>
  </r>
  <r>
    <d v="2024-05-30T00:00:00"/>
    <s v="Child"/>
    <x v="39"/>
    <n v="2881"/>
    <n v="1575"/>
    <n v="1001"/>
    <n v="1004"/>
    <n v="6460"/>
    <x v="0"/>
    <n v="2005"/>
    <x v="1"/>
  </r>
  <r>
    <d v="2024-05-30T00:00:00"/>
    <s v="Child"/>
    <x v="40"/>
    <n v="126"/>
    <n v="65"/>
    <n v="54"/>
    <n v="21"/>
    <n v="266"/>
    <x v="0"/>
    <n v="75"/>
    <x v="1"/>
  </r>
  <r>
    <d v="2024-05-30T00:00:00"/>
    <s v="Child"/>
    <x v="41"/>
    <n v="400"/>
    <n v="251"/>
    <n v="52"/>
    <n v="62"/>
    <n v="765"/>
    <x v="0"/>
    <n v="114"/>
    <x v="1"/>
  </r>
  <r>
    <d v="2024-05-30T00:00:00"/>
    <s v="Child"/>
    <x v="32"/>
    <n v="15"/>
    <n v="0"/>
    <n v="2"/>
    <n v="1"/>
    <n v="18"/>
    <x v="0"/>
    <n v="3"/>
    <x v="1"/>
  </r>
  <r>
    <d v="2024-05-30T00:00:00"/>
    <s v="Child"/>
    <x v="27"/>
    <n v="107"/>
    <n v="27"/>
    <n v="4"/>
    <n v="1"/>
    <n v="140"/>
    <x v="0"/>
    <n v="5"/>
    <x v="1"/>
  </r>
  <r>
    <d v="2024-05-30T00:00:00"/>
    <s v="Child"/>
    <x v="38"/>
    <n v="48"/>
    <n v="32"/>
    <n v="17"/>
    <n v="8"/>
    <n v="105"/>
    <x v="0"/>
    <n v="25"/>
    <x v="1"/>
  </r>
  <r>
    <d v="2024-05-30T00:00:00"/>
    <s v="Child"/>
    <x v="36"/>
    <n v="319"/>
    <n v="38"/>
    <n v="5"/>
    <n v="5"/>
    <n v="366"/>
    <x v="0"/>
    <n v="10"/>
    <x v="1"/>
  </r>
  <r>
    <d v="2024-05-30T00:00:00"/>
    <s v="Child"/>
    <x v="42"/>
    <n v="235"/>
    <n v="133"/>
    <n v="22"/>
    <n v="11"/>
    <n v="400"/>
    <x v="0"/>
    <n v="33"/>
    <x v="1"/>
  </r>
  <r>
    <d v="2024-06-27T00:00:00"/>
    <s v="Child"/>
    <x v="39"/>
    <n v="2895"/>
    <n v="1529"/>
    <n v="970"/>
    <n v="1029"/>
    <n v="6423"/>
    <x v="1"/>
    <n v="1999"/>
    <x v="1"/>
  </r>
  <r>
    <d v="2024-06-27T00:00:00"/>
    <s v="Child"/>
    <x v="40"/>
    <n v="129"/>
    <n v="74"/>
    <n v="47"/>
    <n v="24"/>
    <n v="274"/>
    <x v="1"/>
    <n v="71"/>
    <x v="1"/>
  </r>
  <r>
    <d v="2024-06-27T00:00:00"/>
    <s v="Child"/>
    <x v="41"/>
    <n v="397"/>
    <n v="254"/>
    <n v="50"/>
    <n v="63"/>
    <n v="764"/>
    <x v="1"/>
    <n v="113"/>
    <x v="1"/>
  </r>
  <r>
    <d v="2024-06-27T00:00:00"/>
    <s v="Child"/>
    <x v="11"/>
    <n v="2"/>
    <n v="2"/>
    <n v="1"/>
    <n v="1"/>
    <n v="6"/>
    <x v="1"/>
    <n v="2"/>
    <x v="1"/>
  </r>
  <r>
    <d v="2024-06-27T00:00:00"/>
    <s v="Child"/>
    <x v="36"/>
    <n v="341"/>
    <n v="39"/>
    <n v="2"/>
    <n v="6"/>
    <n v="387"/>
    <x v="1"/>
    <n v="8"/>
    <x v="1"/>
  </r>
  <r>
    <d v="2024-06-27T00:00:00"/>
    <s v="Child"/>
    <x v="34"/>
    <n v="206"/>
    <n v="197"/>
    <n v="79"/>
    <n v="4"/>
    <n v="487"/>
    <x v="1"/>
    <n v="83"/>
    <x v="1"/>
  </r>
  <r>
    <d v="2024-06-27T00:00:00"/>
    <s v="Child"/>
    <x v="42"/>
    <n v="237"/>
    <n v="128"/>
    <n v="30"/>
    <n v="10"/>
    <n v="404"/>
    <x v="1"/>
    <n v="40"/>
    <x v="1"/>
  </r>
  <r>
    <d v="2024-07-25T00:00:00"/>
    <s v="Child"/>
    <x v="39"/>
    <n v="2997"/>
    <n v="1415"/>
    <n v="987"/>
    <n v="986"/>
    <n v="6385"/>
    <x v="16"/>
    <n v="1973"/>
    <x v="1"/>
  </r>
  <r>
    <d v="2024-07-25T00:00:00"/>
    <s v="Child"/>
    <x v="40"/>
    <n v="170"/>
    <n v="98"/>
    <n v="52"/>
    <n v="26"/>
    <n v="346"/>
    <x v="16"/>
    <n v="78"/>
    <x v="1"/>
  </r>
  <r>
    <d v="2024-07-25T00:00:00"/>
    <s v="Child"/>
    <x v="41"/>
    <n v="391"/>
    <n v="233"/>
    <n v="57"/>
    <n v="61"/>
    <n v="742"/>
    <x v="16"/>
    <n v="118"/>
    <x v="1"/>
  </r>
  <r>
    <d v="2024-07-25T00:00:00"/>
    <s v="Child"/>
    <x v="11"/>
    <n v="2"/>
    <n v="1"/>
    <n v="0"/>
    <n v="1"/>
    <n v="4"/>
    <x v="16"/>
    <n v="1"/>
    <x v="1"/>
  </r>
  <r>
    <d v="2024-07-25T00:00:00"/>
    <s v="Child"/>
    <x v="38"/>
    <n v="41"/>
    <n v="21"/>
    <n v="18"/>
    <n v="3"/>
    <n v="82"/>
    <x v="16"/>
    <n v="21"/>
    <x v="1"/>
  </r>
  <r>
    <d v="2024-07-25T00:00:00"/>
    <s v="Child"/>
    <x v="36"/>
    <n v="335"/>
    <n v="56"/>
    <n v="4"/>
    <n v="4"/>
    <n v="400"/>
    <x v="16"/>
    <n v="8"/>
    <x v="1"/>
  </r>
  <r>
    <d v="2024-07-25T00:00:00"/>
    <s v="Child"/>
    <x v="42"/>
    <n v="239"/>
    <n v="116"/>
    <n v="30"/>
    <n v="13"/>
    <n v="399"/>
    <x v="16"/>
    <n v="43"/>
    <x v="1"/>
  </r>
  <r>
    <d v="2024-08-29T00:00:00"/>
    <s v="Child"/>
    <x v="39"/>
    <n v="2912"/>
    <n v="1431"/>
    <n v="937"/>
    <n v="967"/>
    <n v="6246"/>
    <x v="2"/>
    <n v="1904"/>
    <x v="1"/>
  </r>
  <r>
    <d v="2024-08-29T00:00:00"/>
    <s v="Child"/>
    <x v="40"/>
    <n v="155"/>
    <n v="105"/>
    <n v="45"/>
    <n v="30"/>
    <n v="335"/>
    <x v="2"/>
    <n v="75"/>
    <x v="1"/>
  </r>
  <r>
    <d v="2024-08-29T00:00:00"/>
    <s v="Child"/>
    <x v="41"/>
    <n v="352"/>
    <n v="233"/>
    <n v="100"/>
    <n v="61"/>
    <n v="746"/>
    <x v="2"/>
    <n v="161"/>
    <x v="1"/>
  </r>
  <r>
    <d v="2024-08-29T00:00:00"/>
    <s v="Child"/>
    <x v="32"/>
    <n v="30"/>
    <n v="3"/>
    <n v="1"/>
    <n v="1"/>
    <n v="36"/>
    <x v="2"/>
    <n v="2"/>
    <x v="1"/>
  </r>
  <r>
    <d v="2024-08-29T00:00:00"/>
    <s v="Child"/>
    <x v="11"/>
    <n v="2"/>
    <n v="1"/>
    <n v="0"/>
    <n v="1"/>
    <n v="4"/>
    <x v="2"/>
    <n v="1"/>
    <x v="1"/>
  </r>
  <r>
    <d v="2024-08-29T00:00:00"/>
    <s v="Child"/>
    <x v="38"/>
    <n v="58"/>
    <n v="20"/>
    <n v="10"/>
    <n v="3"/>
    <n v="90"/>
    <x v="2"/>
    <n v="13"/>
    <x v="1"/>
  </r>
  <r>
    <d v="2024-08-29T00:00:00"/>
    <s v="Child"/>
    <x v="36"/>
    <n v="302"/>
    <n v="67"/>
    <n v="3"/>
    <n v="5"/>
    <n v="377"/>
    <x v="2"/>
    <n v="8"/>
    <x v="1"/>
  </r>
  <r>
    <d v="2024-08-29T00:00:00"/>
    <s v="Child"/>
    <x v="34"/>
    <n v="170"/>
    <n v="161"/>
    <n v="56"/>
    <n v="8"/>
    <n v="395"/>
    <x v="2"/>
    <n v="64"/>
    <x v="1"/>
  </r>
  <r>
    <d v="2024-08-29T00:00:00"/>
    <s v="Child"/>
    <x v="42"/>
    <n v="182"/>
    <n v="143"/>
    <n v="32"/>
    <n v="14"/>
    <n v="370"/>
    <x v="2"/>
    <n v="46"/>
    <x v="1"/>
  </r>
  <r>
    <d v="2024-09-26T00:00:00"/>
    <s v="Child"/>
    <x v="39"/>
    <n v="2770"/>
    <n v="1406"/>
    <n v="887"/>
    <n v="965"/>
    <n v="6027"/>
    <x v="17"/>
    <n v="1852"/>
    <x v="1"/>
  </r>
  <r>
    <d v="2024-09-26T00:00:00"/>
    <s v="Child"/>
    <x v="40"/>
    <n v="161"/>
    <n v="112"/>
    <n v="54"/>
    <n v="29"/>
    <n v="355"/>
    <x v="17"/>
    <n v="83"/>
    <x v="1"/>
  </r>
  <r>
    <d v="2024-09-26T00:00:00"/>
    <s v="Child"/>
    <x v="41"/>
    <n v="325"/>
    <n v="222"/>
    <n v="115"/>
    <n v="65"/>
    <n v="727"/>
    <x v="17"/>
    <n v="180"/>
    <x v="1"/>
  </r>
  <r>
    <d v="2024-09-26T00:00:00"/>
    <s v="Child"/>
    <x v="11"/>
    <n v="2"/>
    <n v="2"/>
    <n v="0"/>
    <n v="1"/>
    <n v="6"/>
    <x v="17"/>
    <n v="1"/>
    <x v="1"/>
  </r>
  <r>
    <d v="2024-09-26T00:00:00"/>
    <s v="Child"/>
    <x v="36"/>
    <n v="262"/>
    <n v="75"/>
    <n v="5"/>
    <n v="5"/>
    <n v="347"/>
    <x v="17"/>
    <n v="10"/>
    <x v="1"/>
  </r>
  <r>
    <d v="2024-09-26T00:00:00"/>
    <s v="Child"/>
    <x v="34"/>
    <n v="199"/>
    <n v="110"/>
    <n v="35"/>
    <n v="20"/>
    <n v="364"/>
    <x v="17"/>
    <n v="55"/>
    <x v="1"/>
  </r>
  <r>
    <d v="2024-09-26T00:00:00"/>
    <s v="Child"/>
    <x v="42"/>
    <n v="184"/>
    <n v="126"/>
    <n v="38"/>
    <n v="12"/>
    <n v="360"/>
    <x v="17"/>
    <n v="50"/>
    <x v="1"/>
  </r>
  <r>
    <d v="2024-10-31T00:00:00"/>
    <s v="Child"/>
    <x v="39"/>
    <n v="2785"/>
    <n v="1375"/>
    <n v="814"/>
    <n v="899"/>
    <n v="5874"/>
    <x v="34"/>
    <n v="1713"/>
    <x v="1"/>
  </r>
  <r>
    <d v="2024-10-31T00:00:00"/>
    <s v="Child"/>
    <x v="40"/>
    <n v="155"/>
    <n v="111"/>
    <n v="50"/>
    <n v="32"/>
    <n v="348"/>
    <x v="34"/>
    <n v="82"/>
    <x v="1"/>
  </r>
  <r>
    <d v="2024-10-31T00:00:00"/>
    <s v="Child"/>
    <x v="41"/>
    <n v="328"/>
    <n v="232"/>
    <n v="127"/>
    <n v="64"/>
    <n v="751"/>
    <x v="34"/>
    <n v="191"/>
    <x v="1"/>
  </r>
  <r>
    <d v="2024-10-31T00:00:00"/>
    <s v="Child"/>
    <x v="35"/>
    <n v="97"/>
    <n v="9"/>
    <n v="3"/>
    <n v="1"/>
    <n v="110"/>
    <x v="34"/>
    <n v="4"/>
    <x v="1"/>
  </r>
  <r>
    <d v="2024-10-31T00:00:00"/>
    <s v="Child"/>
    <x v="36"/>
    <n v="236"/>
    <n v="72"/>
    <n v="5"/>
    <n v="4"/>
    <n v="316"/>
    <x v="34"/>
    <n v="9"/>
    <x v="1"/>
  </r>
  <r>
    <d v="2024-10-31T00:00:00"/>
    <s v="Child"/>
    <x v="34"/>
    <n v="176"/>
    <n v="94"/>
    <n v="47"/>
    <n v="13"/>
    <n v="329"/>
    <x v="34"/>
    <n v="60"/>
    <x v="1"/>
  </r>
  <r>
    <d v="2024-10-31T00:00:00"/>
    <s v="Child"/>
    <x v="42"/>
    <n v="176"/>
    <n v="131"/>
    <n v="41"/>
    <n v="14"/>
    <n v="361"/>
    <x v="34"/>
    <n v="55"/>
    <x v="1"/>
  </r>
  <r>
    <d v="2024-11-28T00:00:00"/>
    <s v="Child"/>
    <x v="39"/>
    <n v="2892"/>
    <n v="1346"/>
    <n v="757"/>
    <n v="830"/>
    <n v="5825"/>
    <x v="3"/>
    <n v="1587"/>
    <x v="1"/>
  </r>
  <r>
    <d v="2024-11-28T00:00:00"/>
    <s v="Child"/>
    <x v="40"/>
    <n v="159"/>
    <n v="107"/>
    <n v="55"/>
    <n v="38"/>
    <n v="359"/>
    <x v="3"/>
    <n v="93"/>
    <x v="1"/>
  </r>
  <r>
    <d v="2024-11-28T00:00:00"/>
    <s v="Child"/>
    <x v="41"/>
    <n v="320"/>
    <n v="204"/>
    <n v="134"/>
    <n v="64"/>
    <n v="722"/>
    <x v="3"/>
    <n v="198"/>
    <x v="1"/>
  </r>
  <r>
    <d v="2024-11-28T00:00:00"/>
    <s v="Child"/>
    <x v="11"/>
    <n v="7"/>
    <n v="2"/>
    <n v="0"/>
    <n v="1"/>
    <n v="10"/>
    <x v="3"/>
    <n v="1"/>
    <x v="1"/>
  </r>
  <r>
    <d v="2024-11-28T00:00:00"/>
    <s v="Child"/>
    <x v="36"/>
    <n v="189"/>
    <n v="64"/>
    <n v="3"/>
    <n v="3"/>
    <n v="259"/>
    <x v="3"/>
    <n v="6"/>
    <x v="1"/>
  </r>
  <r>
    <d v="2024-11-28T00:00:00"/>
    <s v="Child"/>
    <x v="34"/>
    <n v="187"/>
    <n v="82"/>
    <n v="52"/>
    <n v="9"/>
    <n v="330"/>
    <x v="3"/>
    <n v="61"/>
    <x v="1"/>
  </r>
  <r>
    <d v="2024-11-28T00:00:00"/>
    <s v="Child"/>
    <x v="42"/>
    <n v="162"/>
    <n v="121"/>
    <n v="54"/>
    <n v="19"/>
    <n v="356"/>
    <x v="3"/>
    <n v="73"/>
    <x v="1"/>
  </r>
  <r>
    <d v="2024-12-19T00:00:00"/>
    <s v="Child"/>
    <x v="39"/>
    <n v="3281"/>
    <n v="1412"/>
    <n v="754"/>
    <n v="802"/>
    <n v="6249"/>
    <x v="4"/>
    <n v="1556"/>
    <x v="1"/>
  </r>
  <r>
    <d v="2024-12-19T00:00:00"/>
    <s v="Child"/>
    <x v="40"/>
    <n v="200"/>
    <n v="106"/>
    <n v="69"/>
    <n v="35"/>
    <n v="409"/>
    <x v="4"/>
    <n v="104"/>
    <x v="1"/>
  </r>
  <r>
    <d v="2024-12-19T00:00:00"/>
    <s v="Child"/>
    <x v="41"/>
    <n v="388"/>
    <n v="187"/>
    <n v="132"/>
    <n v="64"/>
    <n v="770"/>
    <x v="4"/>
    <n v="196"/>
    <x v="1"/>
  </r>
  <r>
    <d v="2024-12-19T00:00:00"/>
    <s v="Child"/>
    <x v="38"/>
    <n v="63"/>
    <n v="23"/>
    <n v="13"/>
    <n v="3"/>
    <n v="101"/>
    <x v="4"/>
    <n v="16"/>
    <x v="1"/>
  </r>
  <r>
    <d v="2024-12-19T00:00:00"/>
    <s v="Child"/>
    <x v="36"/>
    <n v="208"/>
    <n v="68"/>
    <n v="8"/>
    <n v="4"/>
    <n v="288"/>
    <x v="4"/>
    <n v="12"/>
    <x v="1"/>
  </r>
  <r>
    <d v="2024-12-19T00:00:00"/>
    <s v="Child"/>
    <x v="42"/>
    <n v="177"/>
    <n v="110"/>
    <n v="60"/>
    <n v="24"/>
    <n v="370"/>
    <x v="4"/>
    <n v="84"/>
    <x v="1"/>
  </r>
  <r>
    <d v="2025-01-30T00:00:00"/>
    <s v="Child"/>
    <x v="39"/>
    <n v="3075"/>
    <n v="1434"/>
    <n v="781"/>
    <n v="877"/>
    <n v="6167"/>
    <x v="18"/>
    <n v="1658"/>
    <x v="1"/>
  </r>
  <r>
    <d v="2025-01-30T00:00:00"/>
    <s v="Child"/>
    <x v="40"/>
    <n v="215"/>
    <n v="111"/>
    <n v="59"/>
    <n v="30"/>
    <n v="414"/>
    <x v="18"/>
    <n v="89"/>
    <x v="1"/>
  </r>
  <r>
    <d v="2025-01-30T00:00:00"/>
    <s v="Child"/>
    <x v="41"/>
    <n v="401"/>
    <n v="209"/>
    <n v="138"/>
    <n v="80"/>
    <n v="827"/>
    <x v="18"/>
    <n v="218"/>
    <x v="1"/>
  </r>
  <r>
    <d v="2025-01-30T00:00:00"/>
    <s v="Child"/>
    <x v="38"/>
    <n v="67"/>
    <n v="27"/>
    <n v="13"/>
    <n v="7"/>
    <n v="113"/>
    <x v="18"/>
    <n v="20"/>
    <x v="1"/>
  </r>
  <r>
    <d v="2025-01-30T00:00:00"/>
    <s v="Child"/>
    <x v="36"/>
    <n v="183"/>
    <n v="83"/>
    <n v="14"/>
    <n v="4"/>
    <n v="284"/>
    <x v="18"/>
    <n v="18"/>
    <x v="1"/>
  </r>
  <r>
    <d v="2025-01-30T00:00:00"/>
    <s v="Child"/>
    <x v="34"/>
    <n v="223"/>
    <n v="51"/>
    <n v="58"/>
    <n v="4"/>
    <n v="335"/>
    <x v="18"/>
    <n v="62"/>
    <x v="1"/>
  </r>
  <r>
    <d v="2025-01-30T00:00:00"/>
    <s v="Child"/>
    <x v="42"/>
    <n v="164"/>
    <n v="104"/>
    <n v="54"/>
    <n v="24"/>
    <n v="346"/>
    <x v="18"/>
    <n v="78"/>
    <x v="1"/>
  </r>
  <r>
    <d v="2025-02-27T00:00:00"/>
    <s v="Child"/>
    <x v="39"/>
    <n v="3081"/>
    <n v="1359"/>
    <n v="756"/>
    <n v="893"/>
    <n v="6089"/>
    <x v="35"/>
    <n v="1649"/>
    <x v="1"/>
  </r>
  <r>
    <d v="2025-02-27T00:00:00"/>
    <s v="Child"/>
    <x v="40"/>
    <n v="246"/>
    <n v="113"/>
    <n v="70"/>
    <n v="32"/>
    <n v="461"/>
    <x v="35"/>
    <n v="102"/>
    <x v="1"/>
  </r>
  <r>
    <d v="2025-02-27T00:00:00"/>
    <s v="Child"/>
    <x v="41"/>
    <n v="400"/>
    <n v="193"/>
    <n v="138"/>
    <n v="95"/>
    <n v="827"/>
    <x v="35"/>
    <n v="233"/>
    <x v="1"/>
  </r>
  <r>
    <d v="2025-02-27T00:00:00"/>
    <s v="Child"/>
    <x v="22"/>
    <n v="5"/>
    <n v="1"/>
    <n v="0"/>
    <n v="1"/>
    <n v="8"/>
    <x v="35"/>
    <n v="1"/>
    <x v="1"/>
  </r>
  <r>
    <d v="2025-02-27T00:00:00"/>
    <s v="Child"/>
    <x v="38"/>
    <n v="57"/>
    <n v="29"/>
    <n v="16"/>
    <n v="8"/>
    <n v="110"/>
    <x v="35"/>
    <n v="24"/>
    <x v="1"/>
  </r>
  <r>
    <d v="2025-02-27T00:00:00"/>
    <s v="Child"/>
    <x v="36"/>
    <n v="200"/>
    <n v="73"/>
    <n v="16"/>
    <n v="4"/>
    <n v="292"/>
    <x v="35"/>
    <n v="20"/>
    <x v="1"/>
  </r>
  <r>
    <d v="2025-02-27T00:00:00"/>
    <s v="Child"/>
    <x v="34"/>
    <n v="247"/>
    <n v="48"/>
    <n v="50"/>
    <n v="4"/>
    <n v="349"/>
    <x v="35"/>
    <n v="54"/>
    <x v="1"/>
  </r>
  <r>
    <d v="2025-02-27T00:00:00"/>
    <s v="Child"/>
    <x v="42"/>
    <n v="168"/>
    <n v="89"/>
    <n v="57"/>
    <n v="26"/>
    <n v="340"/>
    <x v="35"/>
    <n v="83"/>
    <x v="1"/>
  </r>
  <r>
    <d v="2025-03-27T00:00:00"/>
    <s v="Child"/>
    <x v="39"/>
    <n v="3134"/>
    <n v="1472"/>
    <n v="817"/>
    <n v="921"/>
    <n v="6344"/>
    <x v="19"/>
    <n v="1738"/>
    <x v="1"/>
  </r>
  <r>
    <d v="2025-03-27T00:00:00"/>
    <s v="Child"/>
    <x v="40"/>
    <n v="228"/>
    <n v="114"/>
    <n v="71"/>
    <n v="33"/>
    <n v="446"/>
    <x v="19"/>
    <n v="104"/>
    <x v="1"/>
  </r>
  <r>
    <d v="2025-03-27T00:00:00"/>
    <s v="Child"/>
    <x v="41"/>
    <n v="426"/>
    <n v="202"/>
    <n v="140"/>
    <n v="107"/>
    <n v="876"/>
    <x v="19"/>
    <n v="247"/>
    <x v="1"/>
  </r>
  <r>
    <d v="2025-03-27T00:00:00"/>
    <s v="Child"/>
    <x v="32"/>
    <n v="45"/>
    <n v="14"/>
    <n v="1"/>
    <n v="1"/>
    <n v="61"/>
    <x v="19"/>
    <n v="2"/>
    <x v="1"/>
  </r>
  <r>
    <d v="2025-03-27T00:00:00"/>
    <s v="Child"/>
    <x v="22"/>
    <n v="4"/>
    <n v="1"/>
    <n v="0"/>
    <n v="1"/>
    <n v="6"/>
    <x v="19"/>
    <n v="1"/>
    <x v="1"/>
  </r>
  <r>
    <d v="2025-03-27T00:00:00"/>
    <s v="Child"/>
    <x v="38"/>
    <n v="48"/>
    <n v="23"/>
    <n v="17"/>
    <n v="8"/>
    <n v="97"/>
    <x v="19"/>
    <n v="25"/>
    <x v="1"/>
  </r>
  <r>
    <d v="2025-03-27T00:00:00"/>
    <s v="Child"/>
    <x v="35"/>
    <n v="145"/>
    <n v="20"/>
    <n v="14"/>
    <n v="4"/>
    <n v="183"/>
    <x v="19"/>
    <n v="18"/>
    <x v="1"/>
  </r>
  <r>
    <d v="2025-03-27T00:00:00"/>
    <s v="Child"/>
    <x v="36"/>
    <n v="186"/>
    <n v="61"/>
    <n v="15"/>
    <n v="4"/>
    <n v="266"/>
    <x v="19"/>
    <n v="19"/>
    <x v="1"/>
  </r>
  <r>
    <d v="2025-03-27T00:00:00"/>
    <s v="Child"/>
    <x v="34"/>
    <n v="279"/>
    <n v="50"/>
    <n v="45"/>
    <n v="5"/>
    <n v="378"/>
    <x v="19"/>
    <n v="50"/>
    <x v="1"/>
  </r>
  <r>
    <d v="2025-03-27T00:00:00"/>
    <s v="Child"/>
    <x v="42"/>
    <n v="176"/>
    <n v="98"/>
    <n v="51"/>
    <n v="33"/>
    <n v="358"/>
    <x v="19"/>
    <n v="84"/>
    <x v="1"/>
  </r>
  <r>
    <d v="2025-04-24T00:00:00"/>
    <s v="Child"/>
    <x v="39"/>
    <n v="3120"/>
    <n v="1557"/>
    <n v="814"/>
    <n v="941"/>
    <n v="6432"/>
    <x v="5"/>
    <n v="1755"/>
    <x v="1"/>
  </r>
  <r>
    <d v="2025-04-24T00:00:00"/>
    <s v="Child"/>
    <x v="40"/>
    <n v="192"/>
    <n v="112"/>
    <n v="79"/>
    <n v="35"/>
    <n v="418"/>
    <x v="5"/>
    <n v="114"/>
    <x v="1"/>
  </r>
  <r>
    <d v="2025-04-24T00:00:00"/>
    <s v="Child"/>
    <x v="41"/>
    <n v="438"/>
    <n v="214"/>
    <n v="140"/>
    <n v="113"/>
    <n v="905"/>
    <x v="5"/>
    <n v="253"/>
    <x v="1"/>
  </r>
  <r>
    <d v="2025-04-24T00:00:00"/>
    <s v="Child"/>
    <x v="32"/>
    <n v="37"/>
    <n v="24"/>
    <n v="0"/>
    <n v="1"/>
    <n v="63"/>
    <x v="5"/>
    <n v="1"/>
    <x v="1"/>
  </r>
  <r>
    <d v="2025-04-24T00:00:00"/>
    <s v="Child"/>
    <x v="22"/>
    <n v="3"/>
    <n v="0"/>
    <n v="0"/>
    <n v="1"/>
    <n v="4"/>
    <x v="5"/>
    <n v="1"/>
    <x v="1"/>
  </r>
  <r>
    <d v="2025-04-24T00:00:00"/>
    <s v="Child"/>
    <x v="38"/>
    <n v="53"/>
    <n v="30"/>
    <n v="14"/>
    <n v="10"/>
    <n v="107"/>
    <x v="5"/>
    <n v="24"/>
    <x v="1"/>
  </r>
  <r>
    <d v="2025-04-24T00:00:00"/>
    <s v="Child"/>
    <x v="35"/>
    <n v="156"/>
    <n v="26"/>
    <n v="14"/>
    <n v="4"/>
    <n v="200"/>
    <x v="5"/>
    <n v="18"/>
    <x v="1"/>
  </r>
  <r>
    <d v="2025-04-24T00:00:00"/>
    <s v="Child"/>
    <x v="36"/>
    <n v="181"/>
    <n v="52"/>
    <n v="18"/>
    <n v="4"/>
    <n v="254"/>
    <x v="5"/>
    <n v="22"/>
    <x v="1"/>
  </r>
  <r>
    <d v="2025-04-24T00:00:00"/>
    <s v="Child"/>
    <x v="34"/>
    <n v="307"/>
    <n v="55"/>
    <n v="39"/>
    <n v="5"/>
    <n v="406"/>
    <x v="5"/>
    <n v="44"/>
    <x v="1"/>
  </r>
  <r>
    <d v="2025-04-24T00:00:00"/>
    <s v="Child"/>
    <x v="42"/>
    <n v="172"/>
    <n v="91"/>
    <n v="53"/>
    <n v="37"/>
    <n v="352"/>
    <x v="5"/>
    <n v="90"/>
    <x v="1"/>
  </r>
  <r>
    <d v="2025-05-29T00:00:00"/>
    <s v="Child"/>
    <x v="39"/>
    <n v="3188"/>
    <n v="1575"/>
    <n v="844"/>
    <n v="934"/>
    <n v="6541"/>
    <x v="20"/>
    <n v="1778"/>
    <x v="1"/>
  </r>
  <r>
    <d v="2025-05-29T00:00:00"/>
    <s v="Child"/>
    <x v="40"/>
    <n v="185"/>
    <n v="96"/>
    <n v="69"/>
    <n v="37"/>
    <n v="387"/>
    <x v="20"/>
    <n v="106"/>
    <x v="1"/>
  </r>
  <r>
    <d v="2025-05-29T00:00:00"/>
    <s v="Child"/>
    <x v="41"/>
    <n v="350"/>
    <n v="172"/>
    <n v="126"/>
    <n v="128"/>
    <n v="776"/>
    <x v="20"/>
    <n v="254"/>
    <x v="1"/>
  </r>
  <r>
    <d v="2025-05-29T00:00:00"/>
    <s v="Child"/>
    <x v="22"/>
    <n v="5"/>
    <n v="1"/>
    <n v="0"/>
    <n v="1"/>
    <n v="8"/>
    <x v="20"/>
    <n v="1"/>
    <x v="1"/>
  </r>
  <r>
    <d v="2025-05-29T00:00:00"/>
    <s v="Child"/>
    <x v="38"/>
    <n v="52"/>
    <n v="22"/>
    <n v="16"/>
    <n v="11"/>
    <n v="102"/>
    <x v="20"/>
    <n v="27"/>
    <x v="1"/>
  </r>
  <r>
    <d v="2025-05-29T00:00:00"/>
    <s v="Child"/>
    <x v="35"/>
    <n v="139"/>
    <n v="38"/>
    <n v="15"/>
    <n v="4"/>
    <n v="196"/>
    <x v="20"/>
    <n v="19"/>
    <x v="1"/>
  </r>
  <r>
    <d v="2025-05-29T00:00:00"/>
    <s v="Child"/>
    <x v="36"/>
    <n v="177"/>
    <n v="31"/>
    <n v="16"/>
    <n v="4"/>
    <n v="228"/>
    <x v="20"/>
    <n v="20"/>
    <x v="1"/>
  </r>
  <r>
    <d v="2025-05-29T00:00:00"/>
    <s v="Child"/>
    <x v="34"/>
    <n v="294"/>
    <n v="70"/>
    <n v="23"/>
    <n v="3"/>
    <n v="391"/>
    <x v="20"/>
    <n v="26"/>
    <x v="1"/>
  </r>
  <r>
    <d v="2025-05-29T00:00:00"/>
    <s v="Child"/>
    <x v="42"/>
    <n v="182"/>
    <n v="87"/>
    <n v="53"/>
    <n v="37"/>
    <n v="359"/>
    <x v="20"/>
    <n v="90"/>
    <x v="1"/>
  </r>
  <r>
    <d v="2025-06-26T00:00:00"/>
    <s v="Child"/>
    <x v="39"/>
    <n v="3129"/>
    <n v="1649"/>
    <n v="822"/>
    <n v="827"/>
    <n v="6427"/>
    <x v="21"/>
    <n v="1649"/>
    <x v="1"/>
  </r>
  <r>
    <d v="2025-06-26T00:00:00"/>
    <s v="Child"/>
    <x v="40"/>
    <n v="176"/>
    <n v="99"/>
    <n v="48"/>
    <n v="34"/>
    <n v="357"/>
    <x v="21"/>
    <n v="82"/>
    <x v="1"/>
  </r>
  <r>
    <d v="2025-06-26T00:00:00"/>
    <s v="Child"/>
    <x v="41"/>
    <n v="289"/>
    <n v="208"/>
    <n v="109"/>
    <n v="143"/>
    <n v="748"/>
    <x v="21"/>
    <n v="252"/>
    <x v="1"/>
  </r>
  <r>
    <d v="2025-06-26T00:00:00"/>
    <s v="Child"/>
    <x v="27"/>
    <n v="43"/>
    <n v="19"/>
    <n v="15"/>
    <n v="5"/>
    <n v="82"/>
    <x v="21"/>
    <n v="20"/>
    <x v="1"/>
  </r>
  <r>
    <d v="2025-06-26T00:00:00"/>
    <s v="Child"/>
    <x v="38"/>
    <n v="40"/>
    <n v="30"/>
    <n v="13"/>
    <n v="12"/>
    <n v="95"/>
    <x v="21"/>
    <n v="25"/>
    <x v="1"/>
  </r>
  <r>
    <d v="2025-06-26T00:00:00"/>
    <s v="Child"/>
    <x v="35"/>
    <n v="108"/>
    <n v="41"/>
    <n v="15"/>
    <n v="5"/>
    <n v="169"/>
    <x v="21"/>
    <n v="20"/>
    <x v="1"/>
  </r>
  <r>
    <d v="2025-06-26T00:00:00"/>
    <s v="Child"/>
    <x v="36"/>
    <n v="190"/>
    <n v="20"/>
    <n v="19"/>
    <n v="4"/>
    <n v="233"/>
    <x v="21"/>
    <n v="23"/>
    <x v="1"/>
  </r>
  <r>
    <d v="2025-06-26T00:00:00"/>
    <s v="Child"/>
    <x v="34"/>
    <n v="277"/>
    <n v="63"/>
    <n v="20"/>
    <n v="4"/>
    <n v="364"/>
    <x v="21"/>
    <n v="24"/>
    <x v="1"/>
  </r>
  <r>
    <d v="2025-06-26T00:00:00"/>
    <s v="Child"/>
    <x v="42"/>
    <n v="190"/>
    <n v="73"/>
    <n v="52"/>
    <n v="41"/>
    <n v="355"/>
    <x v="21"/>
    <n v="93"/>
    <x v="1"/>
  </r>
  <r>
    <d v="2025-07-31T00:00:00"/>
    <s v="Child"/>
    <x v="39"/>
    <n v="3146"/>
    <n v="1532"/>
    <n v="779"/>
    <n v="762"/>
    <n v="6219"/>
    <x v="22"/>
    <n v="1541"/>
    <x v="1"/>
  </r>
  <r>
    <d v="2025-07-31T00:00:00"/>
    <s v="Child"/>
    <x v="40"/>
    <n v="168"/>
    <n v="111"/>
    <n v="30"/>
    <n v="20"/>
    <n v="329"/>
    <x v="22"/>
    <n v="50"/>
    <x v="1"/>
  </r>
  <r>
    <d v="2025-07-31T00:00:00"/>
    <s v="Child"/>
    <x v="41"/>
    <n v="295"/>
    <n v="183"/>
    <n v="112"/>
    <n v="147"/>
    <n v="736"/>
    <x v="22"/>
    <n v="259"/>
    <x v="1"/>
  </r>
  <r>
    <d v="2025-07-31T00:00:00"/>
    <s v="Child"/>
    <x v="29"/>
    <n v="38"/>
    <n v="5"/>
    <n v="5"/>
    <n v="5"/>
    <n v="53"/>
    <x v="22"/>
    <n v="10"/>
    <x v="1"/>
  </r>
  <r>
    <d v="2025-07-31T00:00:00"/>
    <s v="Child"/>
    <x v="27"/>
    <n v="46"/>
    <n v="14"/>
    <n v="15"/>
    <n v="6"/>
    <n v="81"/>
    <x v="22"/>
    <n v="21"/>
    <x v="1"/>
  </r>
  <r>
    <d v="2025-07-31T00:00:00"/>
    <s v="Child"/>
    <x v="38"/>
    <n v="42"/>
    <n v="25"/>
    <n v="12"/>
    <n v="13"/>
    <n v="92"/>
    <x v="22"/>
    <n v="25"/>
    <x v="1"/>
  </r>
  <r>
    <d v="2025-07-31T00:00:00"/>
    <s v="Child"/>
    <x v="35"/>
    <n v="115"/>
    <n v="32"/>
    <n v="7"/>
    <n v="7"/>
    <n v="161"/>
    <x v="22"/>
    <n v="14"/>
    <x v="1"/>
  </r>
  <r>
    <d v="2025-07-31T00:00:00"/>
    <s v="Child"/>
    <x v="36"/>
    <n v="203"/>
    <n v="29"/>
    <n v="23"/>
    <n v="3"/>
    <n v="259"/>
    <x v="22"/>
    <n v="26"/>
    <x v="1"/>
  </r>
  <r>
    <d v="2025-07-31T00:00:00"/>
    <s v="Child"/>
    <x v="34"/>
    <n v="281"/>
    <n v="72"/>
    <n v="18"/>
    <n v="4"/>
    <n v="375"/>
    <x v="22"/>
    <n v="22"/>
    <x v="1"/>
  </r>
  <r>
    <d v="2025-07-31T00:00:00"/>
    <s v="Child"/>
    <x v="42"/>
    <n v="212"/>
    <n v="64"/>
    <n v="51"/>
    <n v="39"/>
    <n v="367"/>
    <x v="22"/>
    <n v="90"/>
    <x v="1"/>
  </r>
  <r>
    <d v="2025-08-28T00:00:00"/>
    <s v="Child"/>
    <x v="39"/>
    <n v="2925"/>
    <n v="1395"/>
    <n v="646"/>
    <n v="667"/>
    <n v="5633"/>
    <x v="23"/>
    <n v="1313"/>
    <x v="1"/>
  </r>
  <r>
    <d v="2025-08-28T00:00:00"/>
    <s v="Child"/>
    <x v="40"/>
    <n v="147"/>
    <n v="123"/>
    <n v="17"/>
    <n v="12"/>
    <n v="299"/>
    <x v="23"/>
    <n v="29"/>
    <x v="1"/>
  </r>
  <r>
    <d v="2025-08-28T00:00:00"/>
    <s v="Child"/>
    <x v="41"/>
    <n v="250"/>
    <n v="205"/>
    <n v="92"/>
    <n v="148"/>
    <n v="694"/>
    <x v="23"/>
    <n v="240"/>
    <x v="1"/>
  </r>
  <r>
    <d v="2025-08-28T00:00:00"/>
    <s v="Child"/>
    <x v="29"/>
    <n v="45"/>
    <n v="11"/>
    <n v="4"/>
    <n v="6"/>
    <n v="66"/>
    <x v="23"/>
    <n v="10"/>
    <x v="1"/>
  </r>
  <r>
    <d v="2025-08-28T00:00:00"/>
    <s v="Child"/>
    <x v="27"/>
    <n v="35"/>
    <n v="20"/>
    <n v="17"/>
    <n v="9"/>
    <n v="81"/>
    <x v="23"/>
    <n v="26"/>
    <x v="1"/>
  </r>
  <r>
    <d v="2025-08-28T00:00:00"/>
    <s v="Child"/>
    <x v="38"/>
    <n v="43"/>
    <n v="27"/>
    <n v="10"/>
    <n v="16"/>
    <n v="96"/>
    <x v="23"/>
    <n v="26"/>
    <x v="1"/>
  </r>
  <r>
    <d v="2025-08-28T00:00:00"/>
    <s v="Child"/>
    <x v="35"/>
    <n v="98"/>
    <n v="39"/>
    <n v="7"/>
    <n v="9"/>
    <n v="152"/>
    <x v="23"/>
    <n v="16"/>
    <x v="1"/>
  </r>
  <r>
    <d v="2025-08-28T00:00:00"/>
    <s v="Child"/>
    <x v="36"/>
    <n v="210"/>
    <n v="37"/>
    <n v="13"/>
    <n v="7"/>
    <n v="268"/>
    <x v="23"/>
    <n v="20"/>
    <x v="1"/>
  </r>
  <r>
    <d v="2025-08-28T00:00:00"/>
    <s v="Child"/>
    <x v="34"/>
    <n v="247"/>
    <n v="75"/>
    <n v="18"/>
    <n v="6"/>
    <n v="346"/>
    <x v="23"/>
    <n v="24"/>
    <x v="1"/>
  </r>
  <r>
    <d v="2025-08-28T00:00:00"/>
    <s v="Child"/>
    <x v="42"/>
    <n v="205"/>
    <n v="61"/>
    <n v="44"/>
    <n v="44"/>
    <n v="353"/>
    <x v="23"/>
    <n v="88"/>
    <x v="1"/>
  </r>
  <r>
    <d v="2025-09-25T00:00:00"/>
    <s v="Child"/>
    <x v="39"/>
    <n v="2923"/>
    <n v="1383"/>
    <n v="648"/>
    <n v="578"/>
    <n v="5532"/>
    <x v="24"/>
    <n v="1226"/>
    <x v="1"/>
  </r>
  <r>
    <d v="2025-09-25T00:00:00"/>
    <s v="Child"/>
    <x v="40"/>
    <n v="167"/>
    <n v="120"/>
    <n v="26"/>
    <n v="9"/>
    <n v="322"/>
    <x v="24"/>
    <n v="35"/>
    <x v="1"/>
  </r>
  <r>
    <d v="2025-09-25T00:00:00"/>
    <s v="Child"/>
    <x v="41"/>
    <n v="218"/>
    <n v="153"/>
    <n v="102"/>
    <n v="141"/>
    <n v="615"/>
    <x v="24"/>
    <n v="243"/>
    <x v="1"/>
  </r>
  <r>
    <d v="2025-09-25T00:00:00"/>
    <s v="Child"/>
    <x v="32"/>
    <n v="17"/>
    <n v="4"/>
    <n v="4"/>
    <n v="1"/>
    <n v="27"/>
    <x v="24"/>
    <n v="5"/>
    <x v="1"/>
  </r>
  <r>
    <d v="2025-09-25T00:00:00"/>
    <s v="Child"/>
    <x v="29"/>
    <n v="43"/>
    <n v="5"/>
    <n v="5"/>
    <n v="3"/>
    <n v="55"/>
    <x v="24"/>
    <n v="8"/>
    <x v="1"/>
  </r>
  <r>
    <d v="2025-09-25T00:00:00"/>
    <s v="Child"/>
    <x v="27"/>
    <n v="36"/>
    <n v="18"/>
    <n v="18"/>
    <n v="9"/>
    <n v="82"/>
    <x v="24"/>
    <n v="27"/>
    <x v="1"/>
  </r>
  <r>
    <d v="2025-09-25T00:00:00"/>
    <s v="Child"/>
    <x v="38"/>
    <n v="48"/>
    <n v="22"/>
    <n v="15"/>
    <n v="16"/>
    <n v="101"/>
    <x v="24"/>
    <n v="31"/>
    <x v="1"/>
  </r>
  <r>
    <d v="2025-09-25T00:00:00"/>
    <s v="Child"/>
    <x v="35"/>
    <n v="99"/>
    <n v="31"/>
    <n v="9"/>
    <n v="7"/>
    <n v="145"/>
    <x v="24"/>
    <n v="16"/>
    <x v="1"/>
  </r>
  <r>
    <d v="2025-09-25T00:00:00"/>
    <s v="Child"/>
    <x v="36"/>
    <n v="218"/>
    <n v="37"/>
    <n v="10"/>
    <n v="4"/>
    <n v="270"/>
    <x v="24"/>
    <n v="14"/>
    <x v="1"/>
  </r>
  <r>
    <d v="2025-09-25T00:00:00"/>
    <s v="Child"/>
    <x v="34"/>
    <n v="241"/>
    <n v="89"/>
    <n v="21"/>
    <n v="6"/>
    <n v="357"/>
    <x v="24"/>
    <n v="27"/>
    <x v="1"/>
  </r>
  <r>
    <d v="2025-09-25T00:00:00"/>
    <s v="Child"/>
    <x v="42"/>
    <n v="229"/>
    <n v="52"/>
    <n v="46"/>
    <n v="43"/>
    <n v="370"/>
    <x v="24"/>
    <n v="89"/>
    <x v="1"/>
  </r>
  <r>
    <d v="2025-10-30T00:00:00"/>
    <s v="Child"/>
    <x v="39"/>
    <n v="3030"/>
    <n v="1349"/>
    <n v="625"/>
    <n v="470"/>
    <n v="5474"/>
    <x v="25"/>
    <n v="1095"/>
    <x v="1"/>
  </r>
  <r>
    <d v="2025-10-30T00:00:00"/>
    <s v="Child"/>
    <x v="40"/>
    <n v="170"/>
    <n v="90"/>
    <n v="45"/>
    <n v="9"/>
    <n v="314"/>
    <x v="25"/>
    <n v="54"/>
    <x v="1"/>
  </r>
  <r>
    <d v="2025-10-30T00:00:00"/>
    <s v="Child"/>
    <x v="41"/>
    <n v="224"/>
    <n v="155"/>
    <n v="99"/>
    <n v="149"/>
    <n v="627"/>
    <x v="25"/>
    <n v="248"/>
    <x v="1"/>
  </r>
  <r>
    <d v="2025-10-30T00:00:00"/>
    <s v="Child"/>
    <x v="27"/>
    <n v="48"/>
    <n v="21"/>
    <n v="17"/>
    <n v="6"/>
    <n v="92"/>
    <x v="25"/>
    <n v="23"/>
    <x v="1"/>
  </r>
  <r>
    <d v="2025-10-30T00:00:00"/>
    <s v="Child"/>
    <x v="38"/>
    <n v="45"/>
    <n v="24"/>
    <n v="14"/>
    <n v="14"/>
    <n v="97"/>
    <x v="25"/>
    <n v="28"/>
    <x v="1"/>
  </r>
  <r>
    <d v="2025-10-30T00:00:00"/>
    <s v="Child"/>
    <x v="35"/>
    <n v="132"/>
    <n v="35"/>
    <n v="13"/>
    <n v="5"/>
    <n v="185"/>
    <x v="25"/>
    <n v="18"/>
    <x v="1"/>
  </r>
  <r>
    <d v="2025-10-30T00:00:00"/>
    <s v="Child"/>
    <x v="36"/>
    <n v="223"/>
    <n v="34"/>
    <n v="9"/>
    <n v="7"/>
    <n v="274"/>
    <x v="25"/>
    <n v="16"/>
    <x v="1"/>
  </r>
  <r>
    <d v="2025-10-30T00:00:00"/>
    <s v="Child"/>
    <x v="34"/>
    <n v="231"/>
    <n v="88"/>
    <n v="17"/>
    <n v="5"/>
    <n v="341"/>
    <x v="25"/>
    <n v="22"/>
    <x v="1"/>
  </r>
  <r>
    <d v="2025-10-30T00:00:00"/>
    <s v="Child"/>
    <x v="42"/>
    <n v="199"/>
    <n v="62"/>
    <n v="44"/>
    <n v="41"/>
    <n v="346"/>
    <x v="25"/>
    <n v="85"/>
    <x v="1"/>
  </r>
  <r>
    <d v="2025-11-27T00:00:00"/>
    <s v="Child"/>
    <x v="39"/>
    <n v="3103"/>
    <n v="1388"/>
    <n v="597"/>
    <n v="426"/>
    <n v="5514"/>
    <x v="26"/>
    <n v="1023"/>
    <x v="1"/>
  </r>
  <r>
    <d v="2025-11-27T00:00:00"/>
    <s v="Child"/>
    <x v="40"/>
    <n v="167"/>
    <n v="103"/>
    <n v="50"/>
    <n v="10"/>
    <n v="330"/>
    <x v="26"/>
    <n v="60"/>
    <x v="1"/>
  </r>
  <r>
    <d v="2025-11-27T00:00:00"/>
    <s v="Child"/>
    <x v="41"/>
    <n v="245"/>
    <n v="127"/>
    <n v="98"/>
    <n v="147"/>
    <n v="617"/>
    <x v="26"/>
    <n v="245"/>
    <x v="1"/>
  </r>
  <r>
    <d v="2025-11-27T00:00:00"/>
    <s v="Child"/>
    <x v="27"/>
    <n v="56"/>
    <n v="16"/>
    <n v="12"/>
    <n v="6"/>
    <n v="90"/>
    <x v="26"/>
    <n v="18"/>
    <x v="1"/>
  </r>
  <r>
    <d v="2025-11-27T00:00:00"/>
    <s v="Child"/>
    <x v="38"/>
    <n v="52"/>
    <n v="28"/>
    <n v="12"/>
    <n v="9"/>
    <n v="100"/>
    <x v="26"/>
    <n v="21"/>
    <x v="1"/>
  </r>
  <r>
    <d v="2025-11-27T00:00:00"/>
    <s v="Child"/>
    <x v="35"/>
    <n v="123"/>
    <n v="24"/>
    <n v="17"/>
    <n v="5"/>
    <n v="169"/>
    <x v="26"/>
    <n v="22"/>
    <x v="1"/>
  </r>
  <r>
    <d v="2025-11-27T00:00:00"/>
    <s v="Child"/>
    <x v="36"/>
    <n v="229"/>
    <n v="30"/>
    <n v="9"/>
    <n v="6"/>
    <n v="274"/>
    <x v="26"/>
    <n v="15"/>
    <x v="1"/>
  </r>
  <r>
    <d v="2025-11-27T00:00:00"/>
    <s v="Child"/>
    <x v="34"/>
    <n v="223"/>
    <n v="92"/>
    <n v="26"/>
    <n v="6"/>
    <n v="347"/>
    <x v="26"/>
    <n v="32"/>
    <x v="1"/>
  </r>
  <r>
    <d v="2025-11-27T00:00:00"/>
    <s v="Child"/>
    <x v="42"/>
    <n v="188"/>
    <n v="70"/>
    <n v="43"/>
    <n v="43"/>
    <n v="345"/>
    <x v="26"/>
    <n v="86"/>
    <x v="1"/>
  </r>
  <r>
    <d v="2025-12-18T00:00:00"/>
    <s v="Child"/>
    <x v="39"/>
    <n v="3319"/>
    <n v="1295"/>
    <n v="638"/>
    <n v="285"/>
    <n v="5538"/>
    <x v="27"/>
    <n v="923"/>
    <x v="1"/>
  </r>
  <r>
    <d v="2025-12-18T00:00:00"/>
    <s v="Child"/>
    <x v="40"/>
    <n v="159"/>
    <n v="105"/>
    <n v="58"/>
    <n v="7"/>
    <n v="329"/>
    <x v="27"/>
    <n v="65"/>
    <x v="1"/>
  </r>
  <r>
    <d v="2025-12-18T00:00:00"/>
    <s v="Child"/>
    <x v="41"/>
    <n v="268"/>
    <n v="105"/>
    <n v="104"/>
    <n v="141"/>
    <n v="618"/>
    <x v="27"/>
    <n v="245"/>
    <x v="1"/>
  </r>
  <r>
    <d v="2025-12-18T00:00:00"/>
    <s v="Child"/>
    <x v="27"/>
    <n v="61"/>
    <n v="21"/>
    <n v="7"/>
    <n v="6"/>
    <n v="95"/>
    <x v="27"/>
    <n v="13"/>
    <x v="1"/>
  </r>
  <r>
    <d v="2025-12-18T00:00:00"/>
    <s v="Child"/>
    <x v="38"/>
    <n v="51"/>
    <n v="32"/>
    <n v="10"/>
    <n v="7"/>
    <n v="100"/>
    <x v="27"/>
    <n v="17"/>
    <x v="1"/>
  </r>
  <r>
    <d v="2025-12-18T00:00:00"/>
    <s v="Child"/>
    <x v="35"/>
    <n v="134"/>
    <n v="30"/>
    <n v="16"/>
    <n v="7"/>
    <n v="187"/>
    <x v="27"/>
    <n v="23"/>
    <x v="1"/>
  </r>
  <r>
    <d v="2025-12-18T00:00:00"/>
    <s v="Child"/>
    <x v="36"/>
    <n v="242"/>
    <n v="30"/>
    <n v="8"/>
    <n v="6"/>
    <n v="287"/>
    <x v="27"/>
    <n v="14"/>
    <x v="1"/>
  </r>
  <r>
    <d v="2025-12-18T00:00:00"/>
    <s v="Child"/>
    <x v="34"/>
    <n v="237"/>
    <n v="91"/>
    <n v="23"/>
    <n v="4"/>
    <n v="354"/>
    <x v="27"/>
    <n v="27"/>
    <x v="1"/>
  </r>
  <r>
    <d v="2025-12-18T00:00:00"/>
    <s v="Child"/>
    <x v="42"/>
    <n v="211"/>
    <n v="75"/>
    <n v="37"/>
    <n v="48"/>
    <n v="371"/>
    <x v="27"/>
    <n v="85"/>
    <x v="1"/>
  </r>
  <r>
    <d v="2026-01-29T00:00:00"/>
    <s v="Child"/>
    <x v="39"/>
    <n v="3256"/>
    <n v="1502"/>
    <n v="618"/>
    <n v="363"/>
    <n v="5739"/>
    <x v="6"/>
    <n v="981"/>
    <x v="1"/>
  </r>
  <r>
    <d v="2026-01-29T00:00:00"/>
    <s v="Child"/>
    <x v="40"/>
    <n v="150"/>
    <n v="109"/>
    <n v="65"/>
    <n v="10"/>
    <n v="334"/>
    <x v="6"/>
    <n v="75"/>
    <x v="1"/>
  </r>
  <r>
    <d v="2026-01-29T00:00:00"/>
    <s v="Child"/>
    <x v="41"/>
    <n v="287"/>
    <n v="119"/>
    <n v="88"/>
    <n v="149"/>
    <n v="643"/>
    <x v="6"/>
    <n v="237"/>
    <x v="1"/>
  </r>
  <r>
    <d v="2026-01-29T00:00:00"/>
    <s v="Child"/>
    <x v="27"/>
    <n v="66"/>
    <n v="20"/>
    <n v="4"/>
    <n v="7"/>
    <n v="96"/>
    <x v="6"/>
    <n v="11"/>
    <x v="1"/>
  </r>
  <r>
    <d v="2026-01-29T00:00:00"/>
    <s v="Child"/>
    <x v="38"/>
    <n v="49"/>
    <n v="29"/>
    <n v="15"/>
    <n v="8"/>
    <n v="101"/>
    <x v="6"/>
    <n v="23"/>
    <x v="1"/>
  </r>
  <r>
    <d v="2026-01-29T00:00:00"/>
    <s v="Child"/>
    <x v="35"/>
    <n v="107"/>
    <n v="14"/>
    <n v="16"/>
    <n v="7"/>
    <n v="144"/>
    <x v="6"/>
    <n v="23"/>
    <x v="1"/>
  </r>
  <r>
    <d v="2026-01-29T00:00:00"/>
    <s v="Child"/>
    <x v="36"/>
    <n v="247"/>
    <n v="49"/>
    <n v="9"/>
    <n v="6"/>
    <n v="311"/>
    <x v="6"/>
    <n v="15"/>
    <x v="1"/>
  </r>
  <r>
    <d v="2026-01-29T00:00:00"/>
    <s v="Child"/>
    <x v="42"/>
    <n v="183"/>
    <n v="92"/>
    <n v="27"/>
    <n v="52"/>
    <n v="354"/>
    <x v="6"/>
    <n v="79"/>
    <x v="1"/>
  </r>
  <r>
    <d v="2026-02-26T00:00:00"/>
    <s v="Child"/>
    <x v="39"/>
    <n v="3375"/>
    <n v="1466"/>
    <n v="689"/>
    <n v="351"/>
    <n v="5881"/>
    <x v="7"/>
    <n v="1040"/>
    <x v="1"/>
  </r>
  <r>
    <d v="2026-02-26T00:00:00"/>
    <s v="Child"/>
    <x v="40"/>
    <n v="163"/>
    <n v="103"/>
    <n v="83"/>
    <n v="13"/>
    <n v="362"/>
    <x v="7"/>
    <n v="96"/>
    <x v="1"/>
  </r>
  <r>
    <d v="2026-02-26T00:00:00"/>
    <s v="Child"/>
    <x v="41"/>
    <n v="304"/>
    <n v="104"/>
    <n v="84"/>
    <n v="146"/>
    <n v="638"/>
    <x v="7"/>
    <n v="230"/>
    <x v="1"/>
  </r>
  <r>
    <d v="2026-02-26T00:00:00"/>
    <s v="Child"/>
    <x v="27"/>
    <n v="61"/>
    <n v="14"/>
    <n v="14"/>
    <n v="11"/>
    <n v="99"/>
    <x v="7"/>
    <n v="25"/>
    <x v="1"/>
  </r>
  <r>
    <d v="2026-02-26T00:00:00"/>
    <s v="Child"/>
    <x v="38"/>
    <n v="55"/>
    <n v="29"/>
    <n v="16"/>
    <n v="7"/>
    <n v="108"/>
    <x v="7"/>
    <n v="23"/>
    <x v="1"/>
  </r>
  <r>
    <d v="2026-02-26T00:00:00"/>
    <s v="Child"/>
    <x v="35"/>
    <n v="94"/>
    <n v="20"/>
    <n v="17"/>
    <n v="7"/>
    <n v="138"/>
    <x v="7"/>
    <n v="24"/>
    <x v="1"/>
  </r>
  <r>
    <d v="2026-02-26T00:00:00"/>
    <s v="Child"/>
    <x v="36"/>
    <n v="246"/>
    <n v="69"/>
    <n v="6"/>
    <n v="6"/>
    <n v="327"/>
    <x v="7"/>
    <n v="12"/>
    <x v="1"/>
  </r>
  <r>
    <d v="2026-02-26T00:00:00"/>
    <s v="Child"/>
    <x v="42"/>
    <n v="196"/>
    <n v="86"/>
    <n v="32"/>
    <n v="51"/>
    <n v="365"/>
    <x v="7"/>
    <n v="83"/>
    <x v="1"/>
  </r>
  <r>
    <d v="2026-03-26T00:00:00"/>
    <s v="Child"/>
    <x v="39"/>
    <n v="3334"/>
    <n v="1536"/>
    <n v="694"/>
    <n v="369"/>
    <n v="5933"/>
    <x v="28"/>
    <n v="1063"/>
    <x v="1"/>
  </r>
  <r>
    <d v="2026-03-26T00:00:00"/>
    <s v="Child"/>
    <x v="40"/>
    <n v="152"/>
    <n v="129"/>
    <n v="80"/>
    <n v="21"/>
    <n v="382"/>
    <x v="28"/>
    <n v="101"/>
    <x v="1"/>
  </r>
  <r>
    <d v="2026-03-26T00:00:00"/>
    <s v="Child"/>
    <x v="41"/>
    <n v="337"/>
    <n v="102"/>
    <n v="71"/>
    <n v="152"/>
    <n v="662"/>
    <x v="28"/>
    <n v="223"/>
    <x v="1"/>
  </r>
  <r>
    <d v="2026-03-26T00:00:00"/>
    <s v="Child"/>
    <x v="27"/>
    <n v="75"/>
    <n v="12"/>
    <n v="13"/>
    <n v="7"/>
    <n v="107"/>
    <x v="28"/>
    <n v="20"/>
    <x v="1"/>
  </r>
  <r>
    <d v="2026-03-26T00:00:00"/>
    <s v="Child"/>
    <x v="38"/>
    <n v="37"/>
    <n v="28"/>
    <n v="15"/>
    <n v="11"/>
    <n v="90"/>
    <x v="28"/>
    <n v="26"/>
    <x v="1"/>
  </r>
  <r>
    <d v="2026-03-26T00:00:00"/>
    <s v="Child"/>
    <x v="35"/>
    <n v="102"/>
    <n v="26"/>
    <n v="17"/>
    <n v="7"/>
    <n v="152"/>
    <x v="28"/>
    <n v="24"/>
    <x v="1"/>
  </r>
  <r>
    <d v="2026-03-26T00:00:00"/>
    <s v="Child"/>
    <x v="36"/>
    <n v="236"/>
    <n v="78"/>
    <n v="4"/>
    <n v="6"/>
    <n v="323"/>
    <x v="28"/>
    <n v="10"/>
    <x v="1"/>
  </r>
  <r>
    <d v="2026-03-26T00:00:00"/>
    <s v="Child"/>
    <x v="42"/>
    <n v="183"/>
    <n v="84"/>
    <n v="27"/>
    <n v="53"/>
    <n v="347"/>
    <x v="28"/>
    <n v="80"/>
    <x v="1"/>
  </r>
  <r>
    <d v="2026-04-30T00:00:00"/>
    <s v="Child"/>
    <x v="39"/>
    <n v="3228"/>
    <n v="1507"/>
    <n v="646"/>
    <n v="354"/>
    <n v="5736"/>
    <x v="29"/>
    <n v="1000"/>
    <x v="1"/>
  </r>
  <r>
    <d v="2026-04-30T00:00:00"/>
    <s v="Child"/>
    <x v="40"/>
    <n v="154"/>
    <n v="124"/>
    <n v="68"/>
    <n v="31"/>
    <n v="378"/>
    <x v="29"/>
    <n v="99"/>
    <x v="1"/>
  </r>
  <r>
    <d v="2026-04-30T00:00:00"/>
    <s v="Child"/>
    <x v="41"/>
    <n v="341"/>
    <n v="107"/>
    <n v="78"/>
    <n v="152"/>
    <n v="678"/>
    <x v="29"/>
    <n v="230"/>
    <x v="1"/>
  </r>
  <r>
    <d v="2026-04-30T00:00:00"/>
    <s v="Child"/>
    <x v="27"/>
    <n v="62"/>
    <n v="16"/>
    <n v="5"/>
    <n v="7"/>
    <n v="90"/>
    <x v="29"/>
    <n v="12"/>
    <x v="1"/>
  </r>
  <r>
    <d v="2026-04-30T00:00:00"/>
    <s v="Child"/>
    <x v="38"/>
    <n v="37"/>
    <n v="26"/>
    <n v="16"/>
    <n v="11"/>
    <n v="91"/>
    <x v="29"/>
    <n v="27"/>
    <x v="1"/>
  </r>
  <r>
    <d v="2026-04-30T00:00:00"/>
    <s v="Child"/>
    <x v="35"/>
    <n v="116"/>
    <n v="22"/>
    <n v="12"/>
    <n v="10"/>
    <n v="159"/>
    <x v="29"/>
    <n v="22"/>
    <x v="1"/>
  </r>
  <r>
    <d v="2026-04-30T00:00:00"/>
    <s v="Child"/>
    <x v="36"/>
    <n v="234"/>
    <n v="68"/>
    <n v="2"/>
    <n v="6"/>
    <n v="309"/>
    <x v="29"/>
    <n v="8"/>
    <x v="1"/>
  </r>
  <r>
    <d v="2026-04-30T00:00:00"/>
    <s v="Child"/>
    <x v="42"/>
    <n v="206"/>
    <n v="74"/>
    <n v="28"/>
    <n v="43"/>
    <n v="351"/>
    <x v="29"/>
    <n v="71"/>
    <x v="1"/>
  </r>
  <r>
    <d v="2026-05-28T00:00:00"/>
    <s v="Child"/>
    <x v="39"/>
    <n v="3044"/>
    <n v="1520"/>
    <n v="603"/>
    <n v="352"/>
    <n v="5519"/>
    <x v="8"/>
    <n v="955"/>
    <x v="1"/>
  </r>
  <r>
    <d v="2026-05-28T00:00:00"/>
    <s v="Child"/>
    <x v="40"/>
    <n v="153"/>
    <n v="106"/>
    <n v="74"/>
    <n v="27"/>
    <n v="360"/>
    <x v="8"/>
    <n v="101"/>
    <x v="1"/>
  </r>
  <r>
    <d v="2026-05-28T00:00:00"/>
    <s v="Child"/>
    <x v="41"/>
    <n v="312"/>
    <n v="139"/>
    <n v="58"/>
    <n v="133"/>
    <n v="641"/>
    <x v="8"/>
    <n v="191"/>
    <x v="1"/>
  </r>
  <r>
    <d v="2026-05-28T00:00:00"/>
    <s v="Child"/>
    <x v="27"/>
    <n v="53"/>
    <n v="17"/>
    <n v="4"/>
    <n v="9"/>
    <n v="82"/>
    <x v="8"/>
    <n v="13"/>
    <x v="1"/>
  </r>
  <r>
    <d v="2026-05-28T00:00:00"/>
    <s v="Child"/>
    <x v="38"/>
    <n v="43"/>
    <n v="18"/>
    <n v="14"/>
    <n v="10"/>
    <n v="85"/>
    <x v="8"/>
    <n v="24"/>
    <x v="1"/>
  </r>
  <r>
    <d v="2026-05-28T00:00:00"/>
    <s v="Child"/>
    <x v="35"/>
    <n v="125"/>
    <n v="27"/>
    <n v="11"/>
    <n v="14"/>
    <n v="177"/>
    <x v="8"/>
    <n v="25"/>
    <x v="1"/>
  </r>
  <r>
    <d v="2026-05-28T00:00:00"/>
    <s v="Child"/>
    <x v="36"/>
    <n v="249"/>
    <n v="63"/>
    <n v="2"/>
    <n v="6"/>
    <n v="320"/>
    <x v="8"/>
    <n v="8"/>
    <x v="1"/>
  </r>
  <r>
    <d v="2026-05-28T00:00:00"/>
    <s v="Child"/>
    <x v="42"/>
    <n v="209"/>
    <n v="77"/>
    <n v="35"/>
    <n v="39"/>
    <n v="360"/>
    <x v="8"/>
    <n v="74"/>
    <x v="1"/>
  </r>
  <r>
    <d v="2026-06-25T00:00:00"/>
    <s v="Child"/>
    <x v="39"/>
    <n v="3043"/>
    <n v="1510"/>
    <n v="552"/>
    <n v="373"/>
    <n v="5478"/>
    <x v="9"/>
    <n v="925"/>
    <x v="1"/>
  </r>
  <r>
    <d v="2026-06-25T00:00:00"/>
    <s v="Child"/>
    <x v="40"/>
    <n v="138"/>
    <n v="112"/>
    <n v="55"/>
    <n v="29"/>
    <n v="333"/>
    <x v="9"/>
    <n v="84"/>
    <x v="1"/>
  </r>
  <r>
    <d v="2026-06-25T00:00:00"/>
    <s v="Child"/>
    <x v="41"/>
    <n v="335"/>
    <n v="153"/>
    <n v="43"/>
    <n v="139"/>
    <n v="671"/>
    <x v="9"/>
    <n v="182"/>
    <x v="1"/>
  </r>
  <r>
    <d v="2026-06-25T00:00:00"/>
    <s v="Child"/>
    <x v="27"/>
    <n v="46"/>
    <n v="21"/>
    <n v="5"/>
    <n v="9"/>
    <n v="81"/>
    <x v="9"/>
    <n v="14"/>
    <x v="1"/>
  </r>
  <r>
    <d v="2026-06-25T00:00:00"/>
    <s v="Child"/>
    <x v="38"/>
    <n v="40"/>
    <n v="25"/>
    <n v="16"/>
    <n v="10"/>
    <n v="91"/>
    <x v="9"/>
    <n v="26"/>
    <x v="1"/>
  </r>
  <r>
    <d v="2026-06-25T00:00:00"/>
    <s v="Child"/>
    <x v="36"/>
    <n v="265"/>
    <n v="64"/>
    <n v="3"/>
    <n v="6"/>
    <n v="338"/>
    <x v="9"/>
    <n v="9"/>
    <x v="1"/>
  </r>
  <r>
    <d v="2026-06-25T00:00:00"/>
    <s v="Child"/>
    <x v="42"/>
    <n v="221"/>
    <n v="56"/>
    <n v="47"/>
    <n v="40"/>
    <n v="363"/>
    <x v="9"/>
    <n v="87"/>
    <x v="1"/>
  </r>
  <r>
    <d v="2026-07-30T00:00:00"/>
    <s v="Child"/>
    <x v="39"/>
    <n v="3052"/>
    <n v="1350"/>
    <n v="606"/>
    <n v="332"/>
    <n v="5340"/>
    <x v="10"/>
    <n v="938"/>
    <x v="1"/>
  </r>
  <r>
    <d v="2026-07-30T00:00:00"/>
    <s v="Child"/>
    <x v="40"/>
    <n v="144"/>
    <n v="79"/>
    <n v="44"/>
    <n v="29"/>
    <n v="296"/>
    <x v="10"/>
    <n v="73"/>
    <x v="1"/>
  </r>
  <r>
    <d v="2026-07-30T00:00:00"/>
    <s v="Child"/>
    <x v="41"/>
    <n v="330"/>
    <n v="149"/>
    <n v="51"/>
    <n v="114"/>
    <n v="644"/>
    <x v="10"/>
    <n v="165"/>
    <x v="1"/>
  </r>
  <r>
    <d v="2026-07-30T00:00:00"/>
    <s v="Child"/>
    <x v="27"/>
    <n v="35"/>
    <n v="12"/>
    <n v="2"/>
    <n v="6"/>
    <n v="55"/>
    <x v="10"/>
    <n v="8"/>
    <x v="1"/>
  </r>
  <r>
    <d v="2026-07-30T00:00:00"/>
    <s v="Child"/>
    <x v="38"/>
    <n v="38"/>
    <n v="21"/>
    <n v="14"/>
    <n v="12"/>
    <n v="84"/>
    <x v="10"/>
    <n v="26"/>
    <x v="1"/>
  </r>
  <r>
    <d v="2026-07-30T00:00:00"/>
    <s v="Child"/>
    <x v="35"/>
    <n v="143"/>
    <n v="26"/>
    <n v="5"/>
    <n v="5"/>
    <n v="178"/>
    <x v="10"/>
    <n v="10"/>
    <x v="1"/>
  </r>
  <r>
    <d v="2026-07-30T00:00:00"/>
    <s v="Child"/>
    <x v="42"/>
    <n v="219"/>
    <n v="54"/>
    <n v="49"/>
    <n v="38"/>
    <n v="360"/>
    <x v="10"/>
    <n v="87"/>
    <x v="1"/>
  </r>
  <r>
    <d v="2026-08-27T00:00:00"/>
    <s v="Child"/>
    <x v="39"/>
    <n v="2945"/>
    <n v="1283"/>
    <n v="509"/>
    <n v="307"/>
    <n v="5044"/>
    <x v="11"/>
    <n v="816"/>
    <x v="1"/>
  </r>
  <r>
    <d v="2026-08-27T00:00:00"/>
    <s v="Child"/>
    <x v="40"/>
    <n v="133"/>
    <n v="84"/>
    <n v="37"/>
    <n v="28"/>
    <n v="282"/>
    <x v="11"/>
    <n v="65"/>
    <x v="1"/>
  </r>
  <r>
    <d v="2026-08-27T00:00:00"/>
    <s v="Child"/>
    <x v="41"/>
    <n v="298"/>
    <n v="166"/>
    <n v="51"/>
    <n v="106"/>
    <n v="621"/>
    <x v="11"/>
    <n v="157"/>
    <x v="1"/>
  </r>
  <r>
    <d v="2026-08-27T00:00:00"/>
    <s v="Child"/>
    <x v="38"/>
    <n v="37"/>
    <n v="19"/>
    <n v="12"/>
    <n v="11"/>
    <n v="79"/>
    <x v="11"/>
    <n v="23"/>
    <x v="1"/>
  </r>
  <r>
    <d v="2026-08-27T00:00:00"/>
    <s v="Child"/>
    <x v="35"/>
    <n v="114"/>
    <n v="27"/>
    <n v="7"/>
    <n v="4"/>
    <n v="152"/>
    <x v="11"/>
    <n v="11"/>
    <x v="1"/>
  </r>
  <r>
    <d v="2026-08-27T00:00:00"/>
    <s v="Child"/>
    <x v="42"/>
    <n v="186"/>
    <n v="68"/>
    <n v="47"/>
    <n v="36"/>
    <n v="337"/>
    <x v="11"/>
    <n v="83"/>
    <x v="1"/>
  </r>
  <r>
    <d v="2023-01-26T00:00:00"/>
    <s v="Child"/>
    <x v="39"/>
    <n v="19761"/>
    <n v="10806"/>
    <n v="5108"/>
    <n v="8239"/>
    <n v="43914"/>
    <x v="36"/>
    <n v="13347"/>
    <x v="0"/>
  </r>
  <r>
    <d v="2023-01-26T00:00:00"/>
    <s v="Child"/>
    <x v="40"/>
    <n v="2850"/>
    <n v="1493"/>
    <n v="490"/>
    <n v="620"/>
    <n v="5453"/>
    <x v="36"/>
    <n v="1110"/>
    <x v="0"/>
  </r>
  <r>
    <d v="2023-01-26T00:00:00"/>
    <s v="Child"/>
    <x v="3"/>
    <n v="134"/>
    <n v="22"/>
    <n v="8"/>
    <n v="9"/>
    <n v="172"/>
    <x v="36"/>
    <n v="17"/>
    <x v="0"/>
  </r>
  <r>
    <d v="2023-01-26T00:00:00"/>
    <s v="Child"/>
    <x v="41"/>
    <n v="2852"/>
    <n v="1478"/>
    <n v="773"/>
    <n v="1035"/>
    <n v="6137"/>
    <x v="36"/>
    <n v="1808"/>
    <x v="0"/>
  </r>
  <r>
    <d v="2023-01-26T00:00:00"/>
    <s v="Child"/>
    <x v="32"/>
    <n v="857"/>
    <n v="295"/>
    <n v="175"/>
    <n v="532"/>
    <n v="1859"/>
    <x v="36"/>
    <n v="707"/>
    <x v="0"/>
  </r>
  <r>
    <d v="2023-01-26T00:00:00"/>
    <s v="Child"/>
    <x v="22"/>
    <n v="644"/>
    <n v="216"/>
    <n v="108"/>
    <n v="189"/>
    <n v="1157"/>
    <x v="36"/>
    <n v="297"/>
    <x v="0"/>
  </r>
  <r>
    <d v="2023-01-26T00:00:00"/>
    <s v="Child"/>
    <x v="2"/>
    <n v="288"/>
    <n v="56"/>
    <n v="45"/>
    <n v="19"/>
    <n v="407"/>
    <x v="36"/>
    <n v="64"/>
    <x v="0"/>
  </r>
  <r>
    <d v="2023-01-26T00:00:00"/>
    <s v="Child"/>
    <x v="26"/>
    <n v="701"/>
    <n v="315"/>
    <n v="158"/>
    <n v="142"/>
    <n v="1315"/>
    <x v="36"/>
    <n v="300"/>
    <x v="0"/>
  </r>
  <r>
    <d v="2023-01-26T00:00:00"/>
    <s v="Child"/>
    <x v="20"/>
    <n v="643"/>
    <n v="311"/>
    <n v="113"/>
    <n v="13"/>
    <n v="1079"/>
    <x v="36"/>
    <n v="126"/>
    <x v="0"/>
  </r>
  <r>
    <d v="2023-01-26T00:00:00"/>
    <s v="Child"/>
    <x v="18"/>
    <n v="731"/>
    <n v="439"/>
    <n v="223"/>
    <n v="80"/>
    <n v="1473"/>
    <x v="36"/>
    <n v="303"/>
    <x v="0"/>
  </r>
  <r>
    <d v="2023-01-26T00:00:00"/>
    <s v="Child"/>
    <x v="27"/>
    <n v="1949"/>
    <n v="1267"/>
    <n v="419"/>
    <n v="102"/>
    <n v="3736"/>
    <x v="36"/>
    <n v="521"/>
    <x v="0"/>
  </r>
  <r>
    <d v="2023-01-26T00:00:00"/>
    <s v="Child"/>
    <x v="21"/>
    <n v="490"/>
    <n v="28"/>
    <n v="18"/>
    <n v="35"/>
    <n v="571"/>
    <x v="36"/>
    <n v="53"/>
    <x v="0"/>
  </r>
  <r>
    <d v="2023-01-26T00:00:00"/>
    <s v="Child"/>
    <x v="38"/>
    <n v="285"/>
    <n v="116"/>
    <n v="81"/>
    <n v="140"/>
    <n v="622"/>
    <x v="36"/>
    <n v="221"/>
    <x v="0"/>
  </r>
  <r>
    <d v="2023-01-26T00:00:00"/>
    <s v="Child"/>
    <x v="35"/>
    <n v="1114"/>
    <n v="593"/>
    <n v="126"/>
    <n v="117"/>
    <n v="1949"/>
    <x v="36"/>
    <n v="243"/>
    <x v="0"/>
  </r>
  <r>
    <d v="2023-01-26T00:00:00"/>
    <s v="Child"/>
    <x v="36"/>
    <n v="1403"/>
    <n v="570"/>
    <n v="158"/>
    <n v="214"/>
    <n v="2344"/>
    <x v="36"/>
    <n v="372"/>
    <x v="0"/>
  </r>
  <r>
    <d v="2023-01-26T00:00:00"/>
    <s v="Child"/>
    <x v="19"/>
    <n v="532"/>
    <n v="231"/>
    <n v="93"/>
    <n v="163"/>
    <n v="1020"/>
    <x v="36"/>
    <n v="256"/>
    <x v="0"/>
  </r>
  <r>
    <d v="2023-01-26T00:00:00"/>
    <s v="Child"/>
    <x v="34"/>
    <n v="2167"/>
    <n v="847"/>
    <n v="378"/>
    <n v="669"/>
    <n v="4060"/>
    <x v="36"/>
    <n v="1047"/>
    <x v="0"/>
  </r>
  <r>
    <d v="2023-01-26T00:00:00"/>
    <s v="Child"/>
    <x v="42"/>
    <n v="1675"/>
    <n v="684"/>
    <n v="340"/>
    <n v="415"/>
    <n v="3113"/>
    <x v="36"/>
    <n v="755"/>
    <x v="0"/>
  </r>
  <r>
    <d v="2023-02-23T00:00:00"/>
    <s v="Child"/>
    <x v="39"/>
    <n v="20076"/>
    <n v="10894"/>
    <n v="5289"/>
    <n v="7349"/>
    <n v="43607"/>
    <x v="37"/>
    <n v="12638"/>
    <x v="0"/>
  </r>
  <r>
    <d v="2023-02-23T00:00:00"/>
    <s v="Child"/>
    <x v="40"/>
    <n v="2944"/>
    <n v="1378"/>
    <n v="536"/>
    <n v="611"/>
    <n v="5470"/>
    <x v="37"/>
    <n v="1147"/>
    <x v="0"/>
  </r>
  <r>
    <d v="2023-02-23T00:00:00"/>
    <s v="Child"/>
    <x v="3"/>
    <n v="133"/>
    <n v="22"/>
    <n v="7"/>
    <n v="10"/>
    <n v="172"/>
    <x v="37"/>
    <n v="17"/>
    <x v="0"/>
  </r>
  <r>
    <d v="2023-02-23T00:00:00"/>
    <s v="Child"/>
    <x v="41"/>
    <n v="2965"/>
    <n v="1492"/>
    <n v="814"/>
    <n v="1096"/>
    <n v="6367"/>
    <x v="37"/>
    <n v="1910"/>
    <x v="0"/>
  </r>
  <r>
    <d v="2023-02-23T00:00:00"/>
    <s v="Child"/>
    <x v="32"/>
    <n v="1000"/>
    <n v="283"/>
    <n v="200"/>
    <n v="383"/>
    <n v="1865"/>
    <x v="37"/>
    <n v="583"/>
    <x v="0"/>
  </r>
  <r>
    <d v="2023-02-23T00:00:00"/>
    <s v="Child"/>
    <x v="22"/>
    <n v="684"/>
    <n v="224"/>
    <n v="103"/>
    <n v="192"/>
    <n v="1202"/>
    <x v="37"/>
    <n v="295"/>
    <x v="0"/>
  </r>
  <r>
    <d v="2023-02-23T00:00:00"/>
    <s v="Child"/>
    <x v="2"/>
    <n v="294"/>
    <n v="61"/>
    <n v="37"/>
    <n v="15"/>
    <n v="406"/>
    <x v="37"/>
    <n v="52"/>
    <x v="0"/>
  </r>
  <r>
    <d v="2023-02-23T00:00:00"/>
    <s v="Child"/>
    <x v="26"/>
    <n v="796"/>
    <n v="304"/>
    <n v="175"/>
    <n v="160"/>
    <n v="1434"/>
    <x v="37"/>
    <n v="335"/>
    <x v="0"/>
  </r>
  <r>
    <d v="2023-02-23T00:00:00"/>
    <s v="Child"/>
    <x v="20"/>
    <n v="675"/>
    <n v="303"/>
    <n v="102"/>
    <n v="15"/>
    <n v="1093"/>
    <x v="37"/>
    <n v="117"/>
    <x v="0"/>
  </r>
  <r>
    <d v="2023-02-23T00:00:00"/>
    <s v="Child"/>
    <x v="18"/>
    <n v="843"/>
    <n v="433"/>
    <n v="196"/>
    <n v="86"/>
    <n v="1558"/>
    <x v="37"/>
    <n v="282"/>
    <x v="0"/>
  </r>
  <r>
    <d v="2023-02-23T00:00:00"/>
    <s v="Child"/>
    <x v="27"/>
    <n v="1975"/>
    <n v="1288"/>
    <n v="381"/>
    <n v="121"/>
    <n v="3765"/>
    <x v="37"/>
    <n v="502"/>
    <x v="0"/>
  </r>
  <r>
    <d v="2023-02-23T00:00:00"/>
    <s v="Child"/>
    <x v="21"/>
    <n v="498"/>
    <n v="32"/>
    <n v="22"/>
    <n v="33"/>
    <n v="584"/>
    <x v="37"/>
    <n v="55"/>
    <x v="0"/>
  </r>
  <r>
    <d v="2023-02-23T00:00:00"/>
    <s v="Child"/>
    <x v="38"/>
    <n v="267"/>
    <n v="121"/>
    <n v="81"/>
    <n v="131"/>
    <n v="600"/>
    <x v="37"/>
    <n v="212"/>
    <x v="0"/>
  </r>
  <r>
    <d v="2023-02-23T00:00:00"/>
    <s v="Child"/>
    <x v="35"/>
    <n v="1191"/>
    <n v="536"/>
    <n v="113"/>
    <n v="113"/>
    <n v="1954"/>
    <x v="37"/>
    <n v="226"/>
    <x v="0"/>
  </r>
  <r>
    <d v="2023-02-23T00:00:00"/>
    <s v="Child"/>
    <x v="36"/>
    <n v="1464"/>
    <n v="533"/>
    <n v="203"/>
    <n v="219"/>
    <n v="2418"/>
    <x v="37"/>
    <n v="422"/>
    <x v="0"/>
  </r>
  <r>
    <d v="2023-02-23T00:00:00"/>
    <s v="Child"/>
    <x v="19"/>
    <n v="588"/>
    <n v="228"/>
    <n v="86"/>
    <n v="171"/>
    <n v="1071"/>
    <x v="37"/>
    <n v="257"/>
    <x v="0"/>
  </r>
  <r>
    <d v="2023-02-23T00:00:00"/>
    <s v="Child"/>
    <x v="34"/>
    <n v="2397"/>
    <n v="824"/>
    <n v="378"/>
    <n v="497"/>
    <n v="4096"/>
    <x v="37"/>
    <n v="875"/>
    <x v="0"/>
  </r>
  <r>
    <d v="2023-02-23T00:00:00"/>
    <s v="Child"/>
    <x v="42"/>
    <n v="1831"/>
    <n v="657"/>
    <n v="359"/>
    <n v="337"/>
    <n v="3183"/>
    <x v="37"/>
    <n v="696"/>
    <x v="0"/>
  </r>
  <r>
    <d v="2023-03-30T00:00:00"/>
    <s v="Child"/>
    <x v="39"/>
    <n v="20753"/>
    <n v="11026"/>
    <n v="5409"/>
    <n v="6452"/>
    <n v="43641"/>
    <x v="38"/>
    <n v="11861"/>
    <x v="0"/>
  </r>
  <r>
    <d v="2023-03-30T00:00:00"/>
    <s v="Child"/>
    <x v="40"/>
    <n v="3053"/>
    <n v="1358"/>
    <n v="466"/>
    <n v="607"/>
    <n v="5485"/>
    <x v="38"/>
    <n v="1073"/>
    <x v="0"/>
  </r>
  <r>
    <d v="2023-03-30T00:00:00"/>
    <s v="Child"/>
    <x v="3"/>
    <n v="120"/>
    <n v="28"/>
    <n v="4"/>
    <n v="14"/>
    <n v="166"/>
    <x v="38"/>
    <n v="18"/>
    <x v="0"/>
  </r>
  <r>
    <d v="2023-03-30T00:00:00"/>
    <s v="Child"/>
    <x v="41"/>
    <n v="2896"/>
    <n v="1552"/>
    <n v="816"/>
    <n v="1163"/>
    <n v="6426"/>
    <x v="38"/>
    <n v="1979"/>
    <x v="0"/>
  </r>
  <r>
    <d v="2023-03-30T00:00:00"/>
    <s v="Child"/>
    <x v="32"/>
    <n v="1129"/>
    <n v="274"/>
    <n v="192"/>
    <n v="366"/>
    <n v="1962"/>
    <x v="38"/>
    <n v="558"/>
    <x v="0"/>
  </r>
  <r>
    <d v="2023-03-30T00:00:00"/>
    <s v="Child"/>
    <x v="22"/>
    <n v="709"/>
    <n v="226"/>
    <n v="117"/>
    <n v="171"/>
    <n v="1222"/>
    <x v="38"/>
    <n v="288"/>
    <x v="0"/>
  </r>
  <r>
    <d v="2023-03-30T00:00:00"/>
    <s v="Child"/>
    <x v="2"/>
    <n v="295"/>
    <n v="68"/>
    <n v="23"/>
    <n v="11"/>
    <n v="396"/>
    <x v="38"/>
    <n v="34"/>
    <x v="0"/>
  </r>
  <r>
    <d v="2023-03-30T00:00:00"/>
    <s v="Child"/>
    <x v="26"/>
    <n v="834"/>
    <n v="295"/>
    <n v="198"/>
    <n v="131"/>
    <n v="1458"/>
    <x v="38"/>
    <n v="329"/>
    <x v="0"/>
  </r>
  <r>
    <d v="2023-03-30T00:00:00"/>
    <s v="Child"/>
    <x v="20"/>
    <n v="660"/>
    <n v="298"/>
    <n v="121"/>
    <n v="18"/>
    <n v="1097"/>
    <x v="38"/>
    <n v="139"/>
    <x v="0"/>
  </r>
  <r>
    <d v="2023-03-30T00:00:00"/>
    <s v="Child"/>
    <x v="18"/>
    <n v="931"/>
    <n v="482"/>
    <n v="140"/>
    <n v="92"/>
    <n v="1645"/>
    <x v="38"/>
    <n v="232"/>
    <x v="0"/>
  </r>
  <r>
    <d v="2023-03-30T00:00:00"/>
    <s v="Child"/>
    <x v="29"/>
    <n v="258"/>
    <n v="79"/>
    <n v="8"/>
    <n v="5"/>
    <n v="350"/>
    <x v="38"/>
    <n v="13"/>
    <x v="0"/>
  </r>
  <r>
    <d v="2023-03-30T00:00:00"/>
    <s v="Child"/>
    <x v="27"/>
    <n v="2163"/>
    <n v="1370"/>
    <n v="394"/>
    <n v="109"/>
    <n v="4037"/>
    <x v="38"/>
    <n v="503"/>
    <x v="0"/>
  </r>
  <r>
    <d v="2023-03-30T00:00:00"/>
    <s v="Child"/>
    <x v="21"/>
    <n v="503"/>
    <n v="26"/>
    <n v="9"/>
    <n v="39"/>
    <n v="578"/>
    <x v="38"/>
    <n v="48"/>
    <x v="0"/>
  </r>
  <r>
    <d v="2023-03-30T00:00:00"/>
    <s v="Child"/>
    <x v="38"/>
    <n v="315"/>
    <n v="117"/>
    <n v="66"/>
    <n v="43"/>
    <n v="541"/>
    <x v="38"/>
    <n v="109"/>
    <x v="0"/>
  </r>
  <r>
    <d v="2023-03-30T00:00:00"/>
    <s v="Child"/>
    <x v="35"/>
    <n v="1297"/>
    <n v="546"/>
    <n v="113"/>
    <n v="123"/>
    <n v="2079"/>
    <x v="38"/>
    <n v="236"/>
    <x v="0"/>
  </r>
  <r>
    <d v="2023-03-30T00:00:00"/>
    <s v="Child"/>
    <x v="36"/>
    <n v="1595"/>
    <n v="531"/>
    <n v="223"/>
    <n v="223"/>
    <n v="2571"/>
    <x v="38"/>
    <n v="446"/>
    <x v="0"/>
  </r>
  <r>
    <d v="2023-03-30T00:00:00"/>
    <s v="Child"/>
    <x v="19"/>
    <n v="641"/>
    <n v="248"/>
    <n v="92"/>
    <n v="150"/>
    <n v="1131"/>
    <x v="38"/>
    <n v="242"/>
    <x v="0"/>
  </r>
  <r>
    <d v="2023-03-30T00:00:00"/>
    <s v="Child"/>
    <x v="34"/>
    <n v="2396"/>
    <n v="853"/>
    <n v="361"/>
    <n v="320"/>
    <n v="3930"/>
    <x v="38"/>
    <n v="681"/>
    <x v="0"/>
  </r>
  <r>
    <d v="2023-03-30T00:00:00"/>
    <s v="Child"/>
    <x v="42"/>
    <n v="2050"/>
    <n v="645"/>
    <n v="350"/>
    <n v="248"/>
    <n v="3292"/>
    <x v="38"/>
    <n v="598"/>
    <x v="0"/>
  </r>
  <r>
    <d v="2023-04-27T00:00:00"/>
    <s v="Child"/>
    <x v="39"/>
    <n v="20442"/>
    <n v="10825"/>
    <n v="5466"/>
    <n v="6368"/>
    <n v="43101"/>
    <x v="39"/>
    <n v="11834"/>
    <x v="0"/>
  </r>
  <r>
    <d v="2023-04-27T00:00:00"/>
    <s v="Child"/>
    <x v="40"/>
    <n v="3015"/>
    <n v="1353"/>
    <n v="490"/>
    <n v="618"/>
    <n v="5475"/>
    <x v="39"/>
    <n v="1108"/>
    <x v="0"/>
  </r>
  <r>
    <d v="2023-04-27T00:00:00"/>
    <s v="Child"/>
    <x v="3"/>
    <n v="119"/>
    <n v="27"/>
    <n v="4"/>
    <n v="11"/>
    <n v="160"/>
    <x v="39"/>
    <n v="15"/>
    <x v="0"/>
  </r>
  <r>
    <d v="2023-04-27T00:00:00"/>
    <s v="Child"/>
    <x v="41"/>
    <n v="3004"/>
    <n v="1599"/>
    <n v="818"/>
    <n v="1162"/>
    <n v="6584"/>
    <x v="39"/>
    <n v="1980"/>
    <x v="0"/>
  </r>
  <r>
    <d v="2023-04-27T00:00:00"/>
    <s v="Child"/>
    <x v="32"/>
    <n v="1164"/>
    <n v="277"/>
    <n v="204"/>
    <n v="372"/>
    <n v="2016"/>
    <x v="39"/>
    <n v="576"/>
    <x v="0"/>
  </r>
  <r>
    <d v="2023-04-27T00:00:00"/>
    <s v="Child"/>
    <x v="22"/>
    <n v="759"/>
    <n v="220"/>
    <n v="103"/>
    <n v="174"/>
    <n v="1254"/>
    <x v="39"/>
    <n v="277"/>
    <x v="0"/>
  </r>
  <r>
    <d v="2023-04-27T00:00:00"/>
    <s v="Child"/>
    <x v="2"/>
    <n v="278"/>
    <n v="73"/>
    <n v="18"/>
    <n v="4"/>
    <n v="373"/>
    <x v="39"/>
    <n v="22"/>
    <x v="0"/>
  </r>
  <r>
    <d v="2023-04-27T00:00:00"/>
    <s v="Child"/>
    <x v="26"/>
    <n v="886"/>
    <n v="319"/>
    <n v="192"/>
    <n v="131"/>
    <n v="1528"/>
    <x v="39"/>
    <n v="323"/>
    <x v="0"/>
  </r>
  <r>
    <d v="2023-04-27T00:00:00"/>
    <s v="Child"/>
    <x v="20"/>
    <n v="654"/>
    <n v="306"/>
    <n v="118"/>
    <n v="18"/>
    <n v="1096"/>
    <x v="39"/>
    <n v="136"/>
    <x v="0"/>
  </r>
  <r>
    <d v="2023-04-27T00:00:00"/>
    <s v="Child"/>
    <x v="18"/>
    <n v="1011"/>
    <n v="474"/>
    <n v="128"/>
    <n v="88"/>
    <n v="1701"/>
    <x v="39"/>
    <n v="216"/>
    <x v="0"/>
  </r>
  <r>
    <d v="2023-04-27T00:00:00"/>
    <s v="Child"/>
    <x v="29"/>
    <n v="217"/>
    <n v="100"/>
    <n v="13"/>
    <n v="7"/>
    <n v="337"/>
    <x v="39"/>
    <n v="20"/>
    <x v="0"/>
  </r>
  <r>
    <d v="2023-04-27T00:00:00"/>
    <s v="Child"/>
    <x v="27"/>
    <n v="2254"/>
    <n v="1385"/>
    <n v="484"/>
    <n v="104"/>
    <n v="4226"/>
    <x v="39"/>
    <n v="588"/>
    <x v="0"/>
  </r>
  <r>
    <d v="2023-04-27T00:00:00"/>
    <s v="Child"/>
    <x v="21"/>
    <n v="468"/>
    <n v="22"/>
    <n v="10"/>
    <n v="34"/>
    <n v="534"/>
    <x v="39"/>
    <n v="44"/>
    <x v="0"/>
  </r>
  <r>
    <d v="2023-04-27T00:00:00"/>
    <s v="Child"/>
    <x v="38"/>
    <n v="324"/>
    <n v="129"/>
    <n v="56"/>
    <n v="44"/>
    <n v="553"/>
    <x v="39"/>
    <n v="100"/>
    <x v="0"/>
  </r>
  <r>
    <d v="2023-04-27T00:00:00"/>
    <s v="Child"/>
    <x v="35"/>
    <n v="1298"/>
    <n v="558"/>
    <n v="126"/>
    <n v="126"/>
    <n v="2107"/>
    <x v="39"/>
    <n v="252"/>
    <x v="0"/>
  </r>
  <r>
    <d v="2023-04-27T00:00:00"/>
    <s v="Child"/>
    <x v="36"/>
    <n v="1674"/>
    <n v="542"/>
    <n v="214"/>
    <n v="229"/>
    <n v="2659"/>
    <x v="39"/>
    <n v="443"/>
    <x v="0"/>
  </r>
  <r>
    <d v="2023-04-27T00:00:00"/>
    <s v="Child"/>
    <x v="19"/>
    <n v="656"/>
    <n v="220"/>
    <n v="96"/>
    <n v="139"/>
    <n v="1110"/>
    <x v="39"/>
    <n v="235"/>
    <x v="0"/>
  </r>
  <r>
    <d v="2023-04-27T00:00:00"/>
    <s v="Child"/>
    <x v="34"/>
    <n v="2481"/>
    <n v="876"/>
    <n v="370"/>
    <n v="281"/>
    <n v="4008"/>
    <x v="39"/>
    <n v="651"/>
    <x v="0"/>
  </r>
  <r>
    <d v="2023-04-27T00:00:00"/>
    <s v="Child"/>
    <x v="42"/>
    <n v="2026"/>
    <n v="683"/>
    <n v="329"/>
    <n v="251"/>
    <n v="3289"/>
    <x v="39"/>
    <n v="580"/>
    <x v="0"/>
  </r>
  <r>
    <d v="2023-05-25T00:00:00"/>
    <s v="Child"/>
    <x v="39"/>
    <n v="21230"/>
    <n v="10013"/>
    <n v="5569"/>
    <n v="6471"/>
    <n v="43282"/>
    <x v="40"/>
    <n v="12040"/>
    <x v="0"/>
  </r>
  <r>
    <d v="2023-05-25T00:00:00"/>
    <s v="Child"/>
    <x v="40"/>
    <n v="3094"/>
    <n v="1400"/>
    <n v="471"/>
    <n v="597"/>
    <n v="5562"/>
    <x v="40"/>
    <n v="1068"/>
    <x v="0"/>
  </r>
  <r>
    <d v="2023-05-25T00:00:00"/>
    <s v="Child"/>
    <x v="3"/>
    <n v="127"/>
    <n v="20"/>
    <n v="6"/>
    <n v="12"/>
    <n v="165"/>
    <x v="40"/>
    <n v="18"/>
    <x v="0"/>
  </r>
  <r>
    <d v="2023-05-25T00:00:00"/>
    <s v="Child"/>
    <x v="41"/>
    <n v="3177"/>
    <n v="1637"/>
    <n v="833"/>
    <n v="1096"/>
    <n v="6743"/>
    <x v="40"/>
    <n v="1929"/>
    <x v="0"/>
  </r>
  <r>
    <d v="2023-05-25T00:00:00"/>
    <s v="Child"/>
    <x v="32"/>
    <n v="1045"/>
    <n v="285"/>
    <n v="198"/>
    <n v="370"/>
    <n v="1898"/>
    <x v="40"/>
    <n v="568"/>
    <x v="0"/>
  </r>
  <r>
    <d v="2023-05-25T00:00:00"/>
    <s v="Child"/>
    <x v="22"/>
    <n v="797"/>
    <n v="230"/>
    <n v="115"/>
    <n v="164"/>
    <n v="1305"/>
    <x v="40"/>
    <n v="279"/>
    <x v="0"/>
  </r>
  <r>
    <d v="2023-05-25T00:00:00"/>
    <s v="Child"/>
    <x v="2"/>
    <n v="280"/>
    <n v="73"/>
    <n v="6"/>
    <n v="4"/>
    <n v="363"/>
    <x v="40"/>
    <n v="10"/>
    <x v="0"/>
  </r>
  <r>
    <d v="2023-05-25T00:00:00"/>
    <s v="Child"/>
    <x v="26"/>
    <n v="893"/>
    <n v="300"/>
    <n v="189"/>
    <n v="129"/>
    <n v="1512"/>
    <x v="40"/>
    <n v="318"/>
    <x v="0"/>
  </r>
  <r>
    <d v="2023-05-25T00:00:00"/>
    <s v="Child"/>
    <x v="20"/>
    <n v="680"/>
    <n v="329"/>
    <n v="123"/>
    <n v="19"/>
    <n v="1150"/>
    <x v="40"/>
    <n v="142"/>
    <x v="0"/>
  </r>
  <r>
    <d v="2023-05-25T00:00:00"/>
    <s v="Child"/>
    <x v="18"/>
    <n v="1015"/>
    <n v="432"/>
    <n v="137"/>
    <n v="82"/>
    <n v="1666"/>
    <x v="40"/>
    <n v="219"/>
    <x v="0"/>
  </r>
  <r>
    <d v="2023-05-25T00:00:00"/>
    <s v="Child"/>
    <x v="29"/>
    <n v="261"/>
    <n v="104"/>
    <n v="14"/>
    <n v="7"/>
    <n v="386"/>
    <x v="40"/>
    <n v="21"/>
    <x v="0"/>
  </r>
  <r>
    <d v="2023-05-25T00:00:00"/>
    <s v="Child"/>
    <x v="27"/>
    <n v="2295"/>
    <n v="1375"/>
    <n v="516"/>
    <n v="66"/>
    <n v="4252"/>
    <x v="40"/>
    <n v="582"/>
    <x v="0"/>
  </r>
  <r>
    <d v="2023-05-25T00:00:00"/>
    <s v="Child"/>
    <x v="21"/>
    <n v="490"/>
    <n v="20"/>
    <n v="15"/>
    <n v="42"/>
    <n v="567"/>
    <x v="40"/>
    <n v="57"/>
    <x v="0"/>
  </r>
  <r>
    <d v="2023-05-25T00:00:00"/>
    <s v="Child"/>
    <x v="38"/>
    <n v="357"/>
    <n v="115"/>
    <n v="54"/>
    <n v="52"/>
    <n v="578"/>
    <x v="40"/>
    <n v="106"/>
    <x v="0"/>
  </r>
  <r>
    <d v="2023-05-25T00:00:00"/>
    <s v="Child"/>
    <x v="35"/>
    <n v="1339"/>
    <n v="534"/>
    <n v="171"/>
    <n v="130"/>
    <n v="2174"/>
    <x v="40"/>
    <n v="301"/>
    <x v="0"/>
  </r>
  <r>
    <d v="2023-05-25T00:00:00"/>
    <s v="Child"/>
    <x v="36"/>
    <n v="1704"/>
    <n v="551"/>
    <n v="228"/>
    <n v="236"/>
    <n v="2718"/>
    <x v="40"/>
    <n v="464"/>
    <x v="0"/>
  </r>
  <r>
    <d v="2023-05-25T00:00:00"/>
    <s v="Child"/>
    <x v="19"/>
    <n v="675"/>
    <n v="207"/>
    <n v="100"/>
    <n v="133"/>
    <n v="1115"/>
    <x v="40"/>
    <n v="233"/>
    <x v="0"/>
  </r>
  <r>
    <d v="2023-05-25T00:00:00"/>
    <s v="Child"/>
    <x v="34"/>
    <n v="2597"/>
    <n v="855"/>
    <n v="416"/>
    <n v="275"/>
    <n v="4143"/>
    <x v="40"/>
    <n v="691"/>
    <x v="0"/>
  </r>
  <r>
    <d v="2023-05-25T00:00:00"/>
    <s v="Child"/>
    <x v="42"/>
    <n v="2127"/>
    <n v="657"/>
    <n v="255"/>
    <n v="250"/>
    <n v="3289"/>
    <x v="40"/>
    <n v="505"/>
    <x v="0"/>
  </r>
  <r>
    <d v="2023-06-29T00:00:00"/>
    <s v="Child"/>
    <x v="39"/>
    <n v="21266"/>
    <n v="10028"/>
    <n v="5223"/>
    <n v="6115"/>
    <n v="42632"/>
    <x v="30"/>
    <n v="11338"/>
    <x v="0"/>
  </r>
  <r>
    <d v="2023-06-29T00:00:00"/>
    <s v="Child"/>
    <x v="40"/>
    <n v="3038"/>
    <n v="1404"/>
    <n v="472"/>
    <n v="576"/>
    <n v="5491"/>
    <x v="30"/>
    <n v="1048"/>
    <x v="0"/>
  </r>
  <r>
    <d v="2023-06-29T00:00:00"/>
    <s v="Child"/>
    <x v="3"/>
    <n v="118"/>
    <n v="19"/>
    <n v="4"/>
    <n v="12"/>
    <n v="153"/>
    <x v="30"/>
    <n v="16"/>
    <x v="0"/>
  </r>
  <r>
    <d v="2023-06-29T00:00:00"/>
    <s v="Child"/>
    <x v="41"/>
    <n v="3186"/>
    <n v="1651"/>
    <n v="842"/>
    <n v="1052"/>
    <n v="6730"/>
    <x v="30"/>
    <n v="1894"/>
    <x v="0"/>
  </r>
  <r>
    <d v="2023-06-29T00:00:00"/>
    <s v="Child"/>
    <x v="32"/>
    <n v="1069"/>
    <n v="299"/>
    <n v="198"/>
    <n v="349"/>
    <n v="1916"/>
    <x v="30"/>
    <n v="547"/>
    <x v="0"/>
  </r>
  <r>
    <d v="2023-06-29T00:00:00"/>
    <s v="Child"/>
    <x v="22"/>
    <n v="861"/>
    <n v="235"/>
    <n v="121"/>
    <n v="159"/>
    <n v="1376"/>
    <x v="30"/>
    <n v="280"/>
    <x v="0"/>
  </r>
  <r>
    <d v="2023-06-29T00:00:00"/>
    <s v="Child"/>
    <x v="2"/>
    <n v="278"/>
    <n v="73"/>
    <n v="5"/>
    <n v="4"/>
    <n v="360"/>
    <x v="30"/>
    <n v="9"/>
    <x v="0"/>
  </r>
  <r>
    <d v="2023-06-29T00:00:00"/>
    <s v="Child"/>
    <x v="26"/>
    <n v="883"/>
    <n v="248"/>
    <n v="187"/>
    <n v="127"/>
    <n v="1445"/>
    <x v="30"/>
    <n v="314"/>
    <x v="0"/>
  </r>
  <r>
    <d v="2023-06-29T00:00:00"/>
    <s v="Child"/>
    <x v="20"/>
    <n v="641"/>
    <n v="307"/>
    <n v="106"/>
    <n v="32"/>
    <n v="1086"/>
    <x v="30"/>
    <n v="138"/>
    <x v="0"/>
  </r>
  <r>
    <d v="2023-06-29T00:00:00"/>
    <s v="Child"/>
    <x v="18"/>
    <n v="1001"/>
    <n v="403"/>
    <n v="95"/>
    <n v="49"/>
    <n v="1548"/>
    <x v="30"/>
    <n v="144"/>
    <x v="0"/>
  </r>
  <r>
    <d v="2023-06-29T00:00:00"/>
    <s v="Child"/>
    <x v="27"/>
    <n v="2247"/>
    <n v="1098"/>
    <n v="522"/>
    <n v="28"/>
    <n v="3895"/>
    <x v="30"/>
    <n v="550"/>
    <x v="0"/>
  </r>
  <r>
    <d v="2023-06-29T00:00:00"/>
    <s v="Child"/>
    <x v="21"/>
    <n v="465"/>
    <n v="18"/>
    <n v="14"/>
    <n v="31"/>
    <n v="528"/>
    <x v="30"/>
    <n v="45"/>
    <x v="0"/>
  </r>
  <r>
    <d v="2023-06-29T00:00:00"/>
    <s v="Child"/>
    <x v="38"/>
    <n v="365"/>
    <n v="115"/>
    <n v="65"/>
    <n v="32"/>
    <n v="577"/>
    <x v="30"/>
    <n v="97"/>
    <x v="0"/>
  </r>
  <r>
    <d v="2023-06-29T00:00:00"/>
    <s v="Child"/>
    <x v="35"/>
    <n v="1442"/>
    <n v="460"/>
    <n v="168"/>
    <n v="141"/>
    <n v="2211"/>
    <x v="30"/>
    <n v="309"/>
    <x v="0"/>
  </r>
  <r>
    <d v="2023-06-29T00:00:00"/>
    <s v="Child"/>
    <x v="36"/>
    <n v="1808"/>
    <n v="531"/>
    <n v="239"/>
    <n v="240"/>
    <n v="2818"/>
    <x v="30"/>
    <n v="479"/>
    <x v="0"/>
  </r>
  <r>
    <d v="2023-06-29T00:00:00"/>
    <s v="Child"/>
    <x v="19"/>
    <n v="712"/>
    <n v="211"/>
    <n v="102"/>
    <n v="97"/>
    <n v="1122"/>
    <x v="30"/>
    <n v="199"/>
    <x v="0"/>
  </r>
  <r>
    <d v="2023-06-29T00:00:00"/>
    <s v="Child"/>
    <x v="34"/>
    <n v="2651"/>
    <n v="813"/>
    <n v="355"/>
    <n v="178"/>
    <n v="3997"/>
    <x v="30"/>
    <n v="533"/>
    <x v="0"/>
  </r>
  <r>
    <d v="2023-06-29T00:00:00"/>
    <s v="Child"/>
    <x v="42"/>
    <n v="2210"/>
    <n v="661"/>
    <n v="232"/>
    <n v="236"/>
    <n v="3338"/>
    <x v="30"/>
    <n v="468"/>
    <x v="0"/>
  </r>
  <r>
    <d v="2023-07-27T00:00:00"/>
    <s v="Child"/>
    <x v="39"/>
    <n v="21211"/>
    <n v="10250"/>
    <n v="5472"/>
    <n v="5676"/>
    <n v="42609"/>
    <x v="31"/>
    <n v="11148"/>
    <x v="0"/>
  </r>
  <r>
    <d v="2023-07-27T00:00:00"/>
    <s v="Child"/>
    <x v="40"/>
    <n v="3018"/>
    <n v="1411"/>
    <n v="516"/>
    <n v="579"/>
    <n v="5524"/>
    <x v="31"/>
    <n v="1095"/>
    <x v="0"/>
  </r>
  <r>
    <d v="2023-07-27T00:00:00"/>
    <s v="Child"/>
    <x v="3"/>
    <n v="125"/>
    <n v="17"/>
    <n v="8"/>
    <n v="11"/>
    <n v="161"/>
    <x v="31"/>
    <n v="19"/>
    <x v="0"/>
  </r>
  <r>
    <d v="2023-07-27T00:00:00"/>
    <s v="Child"/>
    <x v="41"/>
    <n v="3124"/>
    <n v="1572"/>
    <n v="827"/>
    <n v="1025"/>
    <n v="6548"/>
    <x v="31"/>
    <n v="1852"/>
    <x v="0"/>
  </r>
  <r>
    <d v="2023-07-27T00:00:00"/>
    <s v="Child"/>
    <x v="32"/>
    <n v="1037"/>
    <n v="309"/>
    <n v="199"/>
    <n v="315"/>
    <n v="1860"/>
    <x v="31"/>
    <n v="514"/>
    <x v="0"/>
  </r>
  <r>
    <d v="2023-07-27T00:00:00"/>
    <s v="Child"/>
    <x v="22"/>
    <n v="848"/>
    <n v="224"/>
    <n v="121"/>
    <n v="116"/>
    <n v="1309"/>
    <x v="31"/>
    <n v="237"/>
    <x v="0"/>
  </r>
  <r>
    <d v="2023-07-27T00:00:00"/>
    <s v="Child"/>
    <x v="2"/>
    <n v="307"/>
    <n v="76"/>
    <n v="6"/>
    <n v="4"/>
    <n v="393"/>
    <x v="31"/>
    <n v="10"/>
    <x v="0"/>
  </r>
  <r>
    <d v="2023-07-27T00:00:00"/>
    <s v="Child"/>
    <x v="26"/>
    <n v="865"/>
    <n v="248"/>
    <n v="177"/>
    <n v="123"/>
    <n v="1413"/>
    <x v="31"/>
    <n v="300"/>
    <x v="0"/>
  </r>
  <r>
    <d v="2023-07-27T00:00:00"/>
    <s v="Child"/>
    <x v="20"/>
    <n v="627"/>
    <n v="303"/>
    <n v="119"/>
    <n v="33"/>
    <n v="1083"/>
    <x v="31"/>
    <n v="152"/>
    <x v="0"/>
  </r>
  <r>
    <d v="2023-07-27T00:00:00"/>
    <s v="Child"/>
    <x v="18"/>
    <n v="1081"/>
    <n v="412"/>
    <n v="90"/>
    <n v="14"/>
    <n v="1597"/>
    <x v="31"/>
    <n v="104"/>
    <x v="0"/>
  </r>
  <r>
    <d v="2023-07-27T00:00:00"/>
    <s v="Child"/>
    <x v="29"/>
    <n v="265"/>
    <n v="114"/>
    <n v="38"/>
    <n v="8"/>
    <n v="425"/>
    <x v="31"/>
    <n v="46"/>
    <x v="0"/>
  </r>
  <r>
    <d v="2023-07-27T00:00:00"/>
    <s v="Child"/>
    <x v="27"/>
    <n v="2223"/>
    <n v="1164"/>
    <n v="571"/>
    <n v="22"/>
    <n v="3979"/>
    <x v="31"/>
    <n v="593"/>
    <x v="0"/>
  </r>
  <r>
    <d v="2023-07-27T00:00:00"/>
    <s v="Child"/>
    <x v="21"/>
    <n v="445"/>
    <n v="18"/>
    <n v="15"/>
    <n v="25"/>
    <n v="502"/>
    <x v="31"/>
    <n v="40"/>
    <x v="0"/>
  </r>
  <r>
    <d v="2023-07-27T00:00:00"/>
    <s v="Child"/>
    <x v="38"/>
    <n v="369"/>
    <n v="125"/>
    <n v="60"/>
    <n v="34"/>
    <n v="588"/>
    <x v="31"/>
    <n v="94"/>
    <x v="0"/>
  </r>
  <r>
    <d v="2023-07-27T00:00:00"/>
    <s v="Child"/>
    <x v="35"/>
    <n v="1411"/>
    <n v="436"/>
    <n v="157"/>
    <n v="152"/>
    <n v="2156"/>
    <x v="31"/>
    <n v="309"/>
    <x v="0"/>
  </r>
  <r>
    <d v="2023-07-27T00:00:00"/>
    <s v="Child"/>
    <x v="36"/>
    <n v="1790"/>
    <n v="526"/>
    <n v="268"/>
    <n v="222"/>
    <n v="2806"/>
    <x v="31"/>
    <n v="490"/>
    <x v="0"/>
  </r>
  <r>
    <d v="2023-07-27T00:00:00"/>
    <s v="Child"/>
    <x v="19"/>
    <n v="702"/>
    <n v="221"/>
    <n v="113"/>
    <n v="88"/>
    <n v="1124"/>
    <x v="31"/>
    <n v="201"/>
    <x v="0"/>
  </r>
  <r>
    <d v="2023-07-27T00:00:00"/>
    <s v="Child"/>
    <x v="34"/>
    <n v="2692"/>
    <n v="796"/>
    <n v="387"/>
    <n v="171"/>
    <n v="4046"/>
    <x v="31"/>
    <n v="558"/>
    <x v="0"/>
  </r>
  <r>
    <d v="2023-07-27T00:00:00"/>
    <s v="Child"/>
    <x v="42"/>
    <n v="2223"/>
    <n v="726"/>
    <n v="242"/>
    <n v="238"/>
    <n v="3428"/>
    <x v="31"/>
    <n v="480"/>
    <x v="0"/>
  </r>
  <r>
    <d v="2023-08-31T00:00:00"/>
    <s v="Child"/>
    <x v="39"/>
    <n v="20369"/>
    <n v="10790"/>
    <n v="5461"/>
    <n v="5397"/>
    <n v="42017"/>
    <x v="32"/>
    <n v="10858"/>
    <x v="0"/>
  </r>
  <r>
    <d v="2023-08-31T00:00:00"/>
    <s v="Child"/>
    <x v="40"/>
    <n v="2898"/>
    <n v="1508"/>
    <n v="446"/>
    <n v="622"/>
    <n v="5473"/>
    <x v="32"/>
    <n v="1068"/>
    <x v="0"/>
  </r>
  <r>
    <d v="2023-08-31T00:00:00"/>
    <s v="Child"/>
    <x v="3"/>
    <n v="139"/>
    <n v="12"/>
    <n v="4"/>
    <n v="6"/>
    <n v="161"/>
    <x v="32"/>
    <n v="10"/>
    <x v="0"/>
  </r>
  <r>
    <d v="2023-08-31T00:00:00"/>
    <s v="Child"/>
    <x v="41"/>
    <n v="3155"/>
    <n v="1614"/>
    <n v="611"/>
    <n v="1034"/>
    <n v="6415"/>
    <x v="32"/>
    <n v="1645"/>
    <x v="0"/>
  </r>
  <r>
    <d v="2023-08-31T00:00:00"/>
    <s v="Child"/>
    <x v="32"/>
    <n v="962"/>
    <n v="366"/>
    <n v="204"/>
    <n v="320"/>
    <n v="1852"/>
    <x v="32"/>
    <n v="524"/>
    <x v="0"/>
  </r>
  <r>
    <d v="2023-08-31T00:00:00"/>
    <s v="Child"/>
    <x v="22"/>
    <n v="779"/>
    <n v="197"/>
    <n v="82"/>
    <n v="108"/>
    <n v="1167"/>
    <x v="32"/>
    <n v="190"/>
    <x v="0"/>
  </r>
  <r>
    <d v="2023-08-31T00:00:00"/>
    <s v="Child"/>
    <x v="26"/>
    <n v="778"/>
    <n v="292"/>
    <n v="168"/>
    <n v="136"/>
    <n v="1374"/>
    <x v="32"/>
    <n v="304"/>
    <x v="0"/>
  </r>
  <r>
    <d v="2023-08-31T00:00:00"/>
    <s v="Child"/>
    <x v="20"/>
    <n v="619"/>
    <n v="348"/>
    <n v="124"/>
    <n v="34"/>
    <n v="1126"/>
    <x v="32"/>
    <n v="158"/>
    <x v="0"/>
  </r>
  <r>
    <d v="2023-08-31T00:00:00"/>
    <s v="Child"/>
    <x v="29"/>
    <n v="209"/>
    <n v="121"/>
    <n v="51"/>
    <n v="15"/>
    <n v="396"/>
    <x v="32"/>
    <n v="66"/>
    <x v="0"/>
  </r>
  <r>
    <d v="2023-08-31T00:00:00"/>
    <s v="Child"/>
    <x v="27"/>
    <n v="2227"/>
    <n v="1312"/>
    <n v="595"/>
    <n v="22"/>
    <n v="4157"/>
    <x v="32"/>
    <n v="617"/>
    <x v="0"/>
  </r>
  <r>
    <d v="2023-08-31T00:00:00"/>
    <s v="Child"/>
    <x v="21"/>
    <n v="386"/>
    <n v="27"/>
    <n v="12"/>
    <n v="23"/>
    <n v="448"/>
    <x v="32"/>
    <n v="35"/>
    <x v="0"/>
  </r>
  <r>
    <d v="2023-08-31T00:00:00"/>
    <s v="Child"/>
    <x v="38"/>
    <n v="349"/>
    <n v="127"/>
    <n v="71"/>
    <n v="35"/>
    <n v="582"/>
    <x v="32"/>
    <n v="106"/>
    <x v="0"/>
  </r>
  <r>
    <d v="2023-08-31T00:00:00"/>
    <s v="Child"/>
    <x v="35"/>
    <n v="1314"/>
    <n v="407"/>
    <n v="133"/>
    <n v="151"/>
    <n v="2005"/>
    <x v="32"/>
    <n v="284"/>
    <x v="0"/>
  </r>
  <r>
    <d v="2023-08-31T00:00:00"/>
    <s v="Child"/>
    <x v="36"/>
    <n v="1590"/>
    <n v="603"/>
    <n v="246"/>
    <n v="249"/>
    <n v="2688"/>
    <x v="32"/>
    <n v="495"/>
    <x v="0"/>
  </r>
  <r>
    <d v="2023-08-31T00:00:00"/>
    <s v="Child"/>
    <x v="19"/>
    <n v="650"/>
    <n v="257"/>
    <n v="106"/>
    <n v="78"/>
    <n v="1092"/>
    <x v="32"/>
    <n v="184"/>
    <x v="0"/>
  </r>
  <r>
    <d v="2023-08-31T00:00:00"/>
    <s v="Child"/>
    <x v="34"/>
    <n v="2735"/>
    <n v="882"/>
    <n v="405"/>
    <n v="148"/>
    <n v="4170"/>
    <x v="32"/>
    <n v="553"/>
    <x v="0"/>
  </r>
  <r>
    <d v="2023-08-31T00:00:00"/>
    <s v="Child"/>
    <x v="42"/>
    <n v="2069"/>
    <n v="874"/>
    <n v="230"/>
    <n v="237"/>
    <n v="3410"/>
    <x v="32"/>
    <n v="467"/>
    <x v="0"/>
  </r>
  <r>
    <d v="2023-09-28T00:00:00"/>
    <s v="Child"/>
    <x v="39"/>
    <n v="19902"/>
    <n v="10893"/>
    <n v="5517"/>
    <n v="5316"/>
    <n v="41628"/>
    <x v="33"/>
    <n v="10833"/>
    <x v="0"/>
  </r>
  <r>
    <d v="2023-09-28T00:00:00"/>
    <s v="Child"/>
    <x v="40"/>
    <n v="2871"/>
    <n v="1548"/>
    <n v="437"/>
    <n v="636"/>
    <n v="5492"/>
    <x v="33"/>
    <n v="1073"/>
    <x v="0"/>
  </r>
  <r>
    <d v="2023-09-28T00:00:00"/>
    <s v="Child"/>
    <x v="41"/>
    <n v="3123"/>
    <n v="1488"/>
    <n v="629"/>
    <n v="1027"/>
    <n v="6268"/>
    <x v="33"/>
    <n v="1656"/>
    <x v="0"/>
  </r>
  <r>
    <d v="2023-09-28T00:00:00"/>
    <s v="Child"/>
    <x v="32"/>
    <n v="956"/>
    <n v="385"/>
    <n v="192"/>
    <n v="292"/>
    <n v="1825"/>
    <x v="33"/>
    <n v="484"/>
    <x v="0"/>
  </r>
  <r>
    <d v="2023-09-28T00:00:00"/>
    <s v="Child"/>
    <x v="22"/>
    <n v="738"/>
    <n v="208"/>
    <n v="82"/>
    <n v="112"/>
    <n v="1141"/>
    <x v="33"/>
    <n v="194"/>
    <x v="0"/>
  </r>
  <r>
    <d v="2023-09-28T00:00:00"/>
    <s v="Child"/>
    <x v="26"/>
    <n v="780"/>
    <n v="337"/>
    <n v="148"/>
    <n v="148"/>
    <n v="1413"/>
    <x v="33"/>
    <n v="296"/>
    <x v="0"/>
  </r>
  <r>
    <d v="2023-09-28T00:00:00"/>
    <s v="Child"/>
    <x v="20"/>
    <n v="670"/>
    <n v="366"/>
    <n v="118"/>
    <n v="31"/>
    <n v="1185"/>
    <x v="33"/>
    <n v="149"/>
    <x v="0"/>
  </r>
  <r>
    <d v="2023-09-28T00:00:00"/>
    <s v="Child"/>
    <x v="29"/>
    <n v="159"/>
    <n v="118"/>
    <n v="52"/>
    <n v="17"/>
    <n v="346"/>
    <x v="33"/>
    <n v="69"/>
    <x v="0"/>
  </r>
  <r>
    <d v="2023-09-28T00:00:00"/>
    <s v="Child"/>
    <x v="27"/>
    <n v="2051"/>
    <n v="1227"/>
    <n v="596"/>
    <n v="20"/>
    <n v="3894"/>
    <x v="33"/>
    <n v="616"/>
    <x v="0"/>
  </r>
  <r>
    <d v="2023-09-28T00:00:00"/>
    <s v="Child"/>
    <x v="21"/>
    <n v="327"/>
    <n v="36"/>
    <n v="10"/>
    <n v="23"/>
    <n v="396"/>
    <x v="33"/>
    <n v="33"/>
    <x v="0"/>
  </r>
  <r>
    <d v="2023-09-28T00:00:00"/>
    <s v="Child"/>
    <x v="38"/>
    <n v="349"/>
    <n v="155"/>
    <n v="65"/>
    <n v="37"/>
    <n v="606"/>
    <x v="33"/>
    <n v="102"/>
    <x v="0"/>
  </r>
  <r>
    <d v="2023-09-28T00:00:00"/>
    <s v="Child"/>
    <x v="35"/>
    <n v="1275"/>
    <n v="358"/>
    <n v="136"/>
    <n v="145"/>
    <n v="1913"/>
    <x v="33"/>
    <n v="281"/>
    <x v="0"/>
  </r>
  <r>
    <d v="2023-09-28T00:00:00"/>
    <s v="Child"/>
    <x v="36"/>
    <n v="1527"/>
    <n v="667"/>
    <n v="244"/>
    <n v="252"/>
    <n v="2689"/>
    <x v="33"/>
    <n v="496"/>
    <x v="0"/>
  </r>
  <r>
    <d v="2023-09-28T00:00:00"/>
    <s v="Child"/>
    <x v="19"/>
    <n v="641"/>
    <n v="264"/>
    <n v="93"/>
    <n v="65"/>
    <n v="1063"/>
    <x v="33"/>
    <n v="158"/>
    <x v="0"/>
  </r>
  <r>
    <d v="2023-09-28T00:00:00"/>
    <s v="Child"/>
    <x v="34"/>
    <n v="2647"/>
    <n v="978"/>
    <n v="363"/>
    <n v="134"/>
    <n v="4122"/>
    <x v="33"/>
    <n v="497"/>
    <x v="0"/>
  </r>
  <r>
    <d v="2023-09-28T00:00:00"/>
    <s v="Child"/>
    <x v="42"/>
    <n v="1988"/>
    <n v="965"/>
    <n v="221"/>
    <n v="259"/>
    <n v="3433"/>
    <x v="33"/>
    <n v="480"/>
    <x v="0"/>
  </r>
  <r>
    <d v="2023-10-26T00:00:00"/>
    <s v="Child"/>
    <x v="39"/>
    <n v="19664"/>
    <n v="10526"/>
    <n v="5425"/>
    <n v="5070"/>
    <n v="40685"/>
    <x v="41"/>
    <n v="10495"/>
    <x v="0"/>
  </r>
  <r>
    <d v="2023-10-26T00:00:00"/>
    <s v="Child"/>
    <x v="40"/>
    <n v="2905"/>
    <n v="1473"/>
    <n v="397"/>
    <n v="603"/>
    <n v="5379"/>
    <x v="41"/>
    <n v="1000"/>
    <x v="0"/>
  </r>
  <r>
    <d v="2023-10-26T00:00:00"/>
    <s v="Child"/>
    <x v="41"/>
    <n v="2974"/>
    <n v="1425"/>
    <n v="610"/>
    <n v="1005"/>
    <n v="6014"/>
    <x v="41"/>
    <n v="1615"/>
    <x v="0"/>
  </r>
  <r>
    <d v="2023-10-26T00:00:00"/>
    <s v="Child"/>
    <x v="32"/>
    <n v="952"/>
    <n v="406"/>
    <n v="195"/>
    <n v="302"/>
    <n v="1854"/>
    <x v="41"/>
    <n v="497"/>
    <x v="0"/>
  </r>
  <r>
    <d v="2023-10-26T00:00:00"/>
    <s v="Child"/>
    <x v="22"/>
    <n v="737"/>
    <n v="174"/>
    <n v="68"/>
    <n v="104"/>
    <n v="1083"/>
    <x v="41"/>
    <n v="172"/>
    <x v="0"/>
  </r>
  <r>
    <d v="2023-10-26T00:00:00"/>
    <s v="Child"/>
    <x v="26"/>
    <n v="811"/>
    <n v="316"/>
    <n v="162"/>
    <n v="130"/>
    <n v="1419"/>
    <x v="41"/>
    <n v="292"/>
    <x v="0"/>
  </r>
  <r>
    <d v="2023-10-26T00:00:00"/>
    <s v="Child"/>
    <x v="20"/>
    <n v="661"/>
    <n v="383"/>
    <n v="115"/>
    <n v="36"/>
    <n v="1195"/>
    <x v="41"/>
    <n v="151"/>
    <x v="0"/>
  </r>
  <r>
    <d v="2023-10-26T00:00:00"/>
    <s v="Child"/>
    <x v="29"/>
    <n v="172"/>
    <n v="129"/>
    <n v="51"/>
    <n v="22"/>
    <n v="374"/>
    <x v="41"/>
    <n v="73"/>
    <x v="0"/>
  </r>
  <r>
    <d v="2023-10-26T00:00:00"/>
    <s v="Child"/>
    <x v="27"/>
    <n v="2108"/>
    <n v="1276"/>
    <n v="617"/>
    <n v="28"/>
    <n v="4030"/>
    <x v="41"/>
    <n v="645"/>
    <x v="0"/>
  </r>
  <r>
    <d v="2023-10-26T00:00:00"/>
    <s v="Child"/>
    <x v="21"/>
    <n v="273"/>
    <n v="37"/>
    <n v="11"/>
    <n v="26"/>
    <n v="347"/>
    <x v="41"/>
    <n v="37"/>
    <x v="0"/>
  </r>
  <r>
    <d v="2023-10-26T00:00:00"/>
    <s v="Child"/>
    <x v="38"/>
    <n v="330"/>
    <n v="170"/>
    <n v="71"/>
    <n v="39"/>
    <n v="610"/>
    <x v="41"/>
    <n v="110"/>
    <x v="0"/>
  </r>
  <r>
    <d v="2023-10-26T00:00:00"/>
    <s v="Child"/>
    <x v="35"/>
    <n v="1068"/>
    <n v="218"/>
    <n v="120"/>
    <n v="135"/>
    <n v="1542"/>
    <x v="41"/>
    <n v="255"/>
    <x v="0"/>
  </r>
  <r>
    <d v="2023-10-26T00:00:00"/>
    <s v="Child"/>
    <x v="36"/>
    <n v="1496"/>
    <n v="747"/>
    <n v="230"/>
    <n v="266"/>
    <n v="2739"/>
    <x v="41"/>
    <n v="496"/>
    <x v="0"/>
  </r>
  <r>
    <d v="2023-10-26T00:00:00"/>
    <s v="Child"/>
    <x v="19"/>
    <n v="687"/>
    <n v="240"/>
    <n v="73"/>
    <n v="38"/>
    <n v="1038"/>
    <x v="41"/>
    <n v="111"/>
    <x v="0"/>
  </r>
  <r>
    <d v="2023-10-26T00:00:00"/>
    <s v="Child"/>
    <x v="34"/>
    <n v="2496"/>
    <n v="1005"/>
    <n v="311"/>
    <n v="107"/>
    <n v="3919"/>
    <x v="41"/>
    <n v="418"/>
    <x v="0"/>
  </r>
  <r>
    <d v="2023-10-26T00:00:00"/>
    <s v="Child"/>
    <x v="42"/>
    <n v="2017"/>
    <n v="907"/>
    <n v="209"/>
    <n v="283"/>
    <n v="3415"/>
    <x v="41"/>
    <n v="492"/>
    <x v="0"/>
  </r>
  <r>
    <d v="2023-11-30T00:00:00"/>
    <s v="Child"/>
    <x v="39"/>
    <n v="19050"/>
    <n v="10784"/>
    <n v="5052"/>
    <n v="4719"/>
    <n v="39606"/>
    <x v="42"/>
    <n v="9771"/>
    <x v="0"/>
  </r>
  <r>
    <d v="2023-11-30T00:00:00"/>
    <s v="Child"/>
    <x v="40"/>
    <n v="2939"/>
    <n v="1525"/>
    <n v="402"/>
    <n v="540"/>
    <n v="5406"/>
    <x v="42"/>
    <n v="942"/>
    <x v="0"/>
  </r>
  <r>
    <d v="2023-11-30T00:00:00"/>
    <s v="Child"/>
    <x v="41"/>
    <n v="3075"/>
    <n v="1418"/>
    <n v="594"/>
    <n v="1013"/>
    <n v="6100"/>
    <x v="42"/>
    <n v="1607"/>
    <x v="0"/>
  </r>
  <r>
    <d v="2023-11-30T00:00:00"/>
    <s v="Child"/>
    <x v="32"/>
    <n v="964"/>
    <n v="398"/>
    <n v="200"/>
    <n v="312"/>
    <n v="1874"/>
    <x v="42"/>
    <n v="512"/>
    <x v="0"/>
  </r>
  <r>
    <d v="2023-11-30T00:00:00"/>
    <s v="Child"/>
    <x v="22"/>
    <n v="720"/>
    <n v="134"/>
    <n v="66"/>
    <n v="75"/>
    <n v="994"/>
    <x v="42"/>
    <n v="141"/>
    <x v="0"/>
  </r>
  <r>
    <d v="2023-11-30T00:00:00"/>
    <s v="Child"/>
    <x v="26"/>
    <n v="818"/>
    <n v="349"/>
    <n v="157"/>
    <n v="127"/>
    <n v="1451"/>
    <x v="42"/>
    <n v="284"/>
    <x v="0"/>
  </r>
  <r>
    <d v="2023-11-30T00:00:00"/>
    <s v="Child"/>
    <x v="20"/>
    <n v="625"/>
    <n v="420"/>
    <n v="99"/>
    <n v="32"/>
    <n v="1175"/>
    <x v="42"/>
    <n v="131"/>
    <x v="0"/>
  </r>
  <r>
    <d v="2023-11-30T00:00:00"/>
    <s v="Child"/>
    <x v="29"/>
    <n v="172"/>
    <n v="167"/>
    <n v="59"/>
    <n v="39"/>
    <n v="437"/>
    <x v="42"/>
    <n v="98"/>
    <x v="0"/>
  </r>
  <r>
    <d v="2023-11-30T00:00:00"/>
    <s v="Child"/>
    <x v="27"/>
    <n v="2067"/>
    <n v="1122"/>
    <n v="343"/>
    <n v="33"/>
    <n v="3564"/>
    <x v="42"/>
    <n v="376"/>
    <x v="0"/>
  </r>
  <r>
    <d v="2023-11-30T00:00:00"/>
    <s v="Child"/>
    <x v="21"/>
    <n v="269"/>
    <n v="38"/>
    <n v="7"/>
    <n v="25"/>
    <n v="339"/>
    <x v="42"/>
    <n v="32"/>
    <x v="0"/>
  </r>
  <r>
    <d v="2023-11-30T00:00:00"/>
    <s v="Child"/>
    <x v="38"/>
    <n v="320"/>
    <n v="179"/>
    <n v="77"/>
    <n v="49"/>
    <n v="625"/>
    <x v="42"/>
    <n v="126"/>
    <x v="0"/>
  </r>
  <r>
    <d v="2023-11-30T00:00:00"/>
    <s v="Child"/>
    <x v="35"/>
    <n v="1095"/>
    <n v="145"/>
    <n v="94"/>
    <n v="104"/>
    <n v="1439"/>
    <x v="42"/>
    <n v="198"/>
    <x v="0"/>
  </r>
  <r>
    <d v="2023-11-30T00:00:00"/>
    <s v="Child"/>
    <x v="36"/>
    <n v="1426"/>
    <n v="831"/>
    <n v="228"/>
    <n v="273"/>
    <n v="2757"/>
    <x v="42"/>
    <n v="501"/>
    <x v="0"/>
  </r>
  <r>
    <d v="2023-11-30T00:00:00"/>
    <s v="Child"/>
    <x v="19"/>
    <n v="684"/>
    <n v="263"/>
    <n v="32"/>
    <n v="18"/>
    <n v="996"/>
    <x v="42"/>
    <n v="50"/>
    <x v="0"/>
  </r>
  <r>
    <d v="2023-11-30T00:00:00"/>
    <s v="Child"/>
    <x v="34"/>
    <n v="2486"/>
    <n v="1024"/>
    <n v="230"/>
    <n v="104"/>
    <n v="3844"/>
    <x v="42"/>
    <n v="334"/>
    <x v="0"/>
  </r>
  <r>
    <d v="2023-11-30T00:00:00"/>
    <s v="Child"/>
    <x v="42"/>
    <n v="1944"/>
    <n v="998"/>
    <n v="206"/>
    <n v="288"/>
    <n v="3436"/>
    <x v="42"/>
    <n v="494"/>
    <x v="0"/>
  </r>
  <r>
    <d v="2023-12-28T00:00:00"/>
    <s v="Child"/>
    <x v="39"/>
    <n v="18397"/>
    <n v="11167"/>
    <n v="5184"/>
    <n v="4411"/>
    <n v="39158"/>
    <x v="43"/>
    <n v="9595"/>
    <x v="0"/>
  </r>
  <r>
    <d v="2023-12-28T00:00:00"/>
    <s v="Child"/>
    <x v="40"/>
    <n v="2998"/>
    <n v="1554"/>
    <n v="403"/>
    <n v="431"/>
    <n v="5385"/>
    <x v="43"/>
    <n v="834"/>
    <x v="0"/>
  </r>
  <r>
    <d v="2023-12-28T00:00:00"/>
    <s v="Child"/>
    <x v="41"/>
    <n v="2872"/>
    <n v="1354"/>
    <n v="494"/>
    <n v="1000"/>
    <n v="5720"/>
    <x v="43"/>
    <n v="1494"/>
    <x v="0"/>
  </r>
  <r>
    <d v="2023-12-28T00:00:00"/>
    <s v="Child"/>
    <x v="32"/>
    <n v="971"/>
    <n v="416"/>
    <n v="204"/>
    <n v="262"/>
    <n v="1853"/>
    <x v="43"/>
    <n v="466"/>
    <x v="0"/>
  </r>
  <r>
    <d v="2023-12-28T00:00:00"/>
    <s v="Child"/>
    <x v="22"/>
    <n v="670"/>
    <n v="138"/>
    <n v="60"/>
    <n v="43"/>
    <n v="911"/>
    <x v="43"/>
    <n v="103"/>
    <x v="0"/>
  </r>
  <r>
    <d v="2023-12-28T00:00:00"/>
    <s v="Child"/>
    <x v="26"/>
    <n v="823"/>
    <n v="289"/>
    <n v="138"/>
    <n v="76"/>
    <n v="1325"/>
    <x v="43"/>
    <n v="214"/>
    <x v="0"/>
  </r>
  <r>
    <d v="2023-12-28T00:00:00"/>
    <s v="Child"/>
    <x v="20"/>
    <n v="589"/>
    <n v="394"/>
    <n v="106"/>
    <n v="35"/>
    <n v="1124"/>
    <x v="43"/>
    <n v="141"/>
    <x v="0"/>
  </r>
  <r>
    <d v="2023-12-28T00:00:00"/>
    <s v="Child"/>
    <x v="29"/>
    <n v="162"/>
    <n v="150"/>
    <n v="65"/>
    <n v="35"/>
    <n v="412"/>
    <x v="43"/>
    <n v="100"/>
    <x v="0"/>
  </r>
  <r>
    <d v="2023-12-28T00:00:00"/>
    <s v="Child"/>
    <x v="21"/>
    <n v="267"/>
    <n v="43"/>
    <n v="5"/>
    <n v="6"/>
    <n v="321"/>
    <x v="43"/>
    <n v="11"/>
    <x v="0"/>
  </r>
  <r>
    <d v="2023-12-28T00:00:00"/>
    <s v="Child"/>
    <x v="38"/>
    <n v="297"/>
    <n v="185"/>
    <n v="77"/>
    <n v="49"/>
    <n v="608"/>
    <x v="43"/>
    <n v="126"/>
    <x v="0"/>
  </r>
  <r>
    <d v="2023-12-28T00:00:00"/>
    <s v="Child"/>
    <x v="35"/>
    <n v="1009"/>
    <n v="141"/>
    <n v="73"/>
    <n v="85"/>
    <n v="1308"/>
    <x v="43"/>
    <n v="158"/>
    <x v="0"/>
  </r>
  <r>
    <d v="2023-12-28T00:00:00"/>
    <s v="Child"/>
    <x v="36"/>
    <n v="1428"/>
    <n v="879"/>
    <n v="207"/>
    <n v="274"/>
    <n v="2787"/>
    <x v="43"/>
    <n v="481"/>
    <x v="0"/>
  </r>
  <r>
    <d v="2023-12-28T00:00:00"/>
    <s v="Child"/>
    <x v="34"/>
    <n v="2371"/>
    <n v="878"/>
    <n v="202"/>
    <n v="99"/>
    <n v="3550"/>
    <x v="43"/>
    <n v="301"/>
    <x v="0"/>
  </r>
  <r>
    <d v="2023-12-28T00:00:00"/>
    <s v="Child"/>
    <x v="42"/>
    <n v="1896"/>
    <n v="1082"/>
    <n v="211"/>
    <n v="284"/>
    <n v="3474"/>
    <x v="43"/>
    <n v="495"/>
    <x v="0"/>
  </r>
  <r>
    <d v="2024-01-25T00:00:00"/>
    <s v="Child"/>
    <x v="39"/>
    <n v="18698"/>
    <n v="11351"/>
    <n v="5272"/>
    <n v="4580"/>
    <n v="39901"/>
    <x v="12"/>
    <n v="9852"/>
    <x v="0"/>
  </r>
  <r>
    <d v="2024-01-25T00:00:00"/>
    <s v="Child"/>
    <x v="40"/>
    <n v="2996"/>
    <n v="1597"/>
    <n v="412"/>
    <n v="406"/>
    <n v="5411"/>
    <x v="12"/>
    <n v="818"/>
    <x v="0"/>
  </r>
  <r>
    <d v="2024-01-25T00:00:00"/>
    <s v="Child"/>
    <x v="41"/>
    <n v="2889"/>
    <n v="1347"/>
    <n v="498"/>
    <n v="1006"/>
    <n v="5739"/>
    <x v="12"/>
    <n v="1504"/>
    <x v="0"/>
  </r>
  <r>
    <d v="2024-01-25T00:00:00"/>
    <s v="Child"/>
    <x v="32"/>
    <n v="999"/>
    <n v="432"/>
    <n v="212"/>
    <n v="276"/>
    <n v="1919"/>
    <x v="12"/>
    <n v="488"/>
    <x v="0"/>
  </r>
  <r>
    <d v="2024-01-25T00:00:00"/>
    <s v="Child"/>
    <x v="4"/>
    <n v="211"/>
    <n v="188"/>
    <n v="69"/>
    <n v="1"/>
    <n v="470"/>
    <x v="12"/>
    <n v="70"/>
    <x v="0"/>
  </r>
  <r>
    <d v="2024-01-25T00:00:00"/>
    <s v="Child"/>
    <x v="22"/>
    <n v="692"/>
    <n v="141"/>
    <n v="58"/>
    <n v="47"/>
    <n v="939"/>
    <x v="12"/>
    <n v="105"/>
    <x v="0"/>
  </r>
  <r>
    <d v="2024-01-25T00:00:00"/>
    <s v="Child"/>
    <x v="26"/>
    <n v="892"/>
    <n v="295"/>
    <n v="125"/>
    <n v="102"/>
    <n v="1413"/>
    <x v="12"/>
    <n v="227"/>
    <x v="0"/>
  </r>
  <r>
    <d v="2024-01-25T00:00:00"/>
    <s v="Child"/>
    <x v="20"/>
    <n v="617"/>
    <n v="402"/>
    <n v="123"/>
    <n v="42"/>
    <n v="1185"/>
    <x v="12"/>
    <n v="165"/>
    <x v="0"/>
  </r>
  <r>
    <d v="2024-01-25T00:00:00"/>
    <s v="Child"/>
    <x v="29"/>
    <n v="106"/>
    <n v="102"/>
    <n v="49"/>
    <n v="27"/>
    <n v="284"/>
    <x v="12"/>
    <n v="76"/>
    <x v="0"/>
  </r>
  <r>
    <d v="2024-01-25T00:00:00"/>
    <s v="Child"/>
    <x v="27"/>
    <n v="2203"/>
    <n v="1223"/>
    <n v="96"/>
    <n v="7"/>
    <n v="3529"/>
    <x v="12"/>
    <n v="103"/>
    <x v="0"/>
  </r>
  <r>
    <d v="2024-01-25T00:00:00"/>
    <s v="Child"/>
    <x v="21"/>
    <n v="301"/>
    <n v="45"/>
    <n v="9"/>
    <n v="5"/>
    <n v="360"/>
    <x v="12"/>
    <n v="14"/>
    <x v="0"/>
  </r>
  <r>
    <d v="2024-01-25T00:00:00"/>
    <s v="Child"/>
    <x v="38"/>
    <n v="299"/>
    <n v="208"/>
    <n v="77"/>
    <n v="52"/>
    <n v="636"/>
    <x v="12"/>
    <n v="129"/>
    <x v="0"/>
  </r>
  <r>
    <d v="2024-01-25T00:00:00"/>
    <s v="Child"/>
    <x v="35"/>
    <n v="1070"/>
    <n v="139"/>
    <n v="76"/>
    <n v="78"/>
    <n v="1363"/>
    <x v="12"/>
    <n v="154"/>
    <x v="0"/>
  </r>
  <r>
    <d v="2024-01-25T00:00:00"/>
    <s v="Child"/>
    <x v="36"/>
    <n v="1412"/>
    <n v="914"/>
    <n v="189"/>
    <n v="274"/>
    <n v="2789"/>
    <x v="12"/>
    <n v="463"/>
    <x v="0"/>
  </r>
  <r>
    <d v="2024-01-25T00:00:00"/>
    <s v="Child"/>
    <x v="34"/>
    <n v="2489"/>
    <n v="899"/>
    <n v="202"/>
    <n v="111"/>
    <n v="3701"/>
    <x v="12"/>
    <n v="313"/>
    <x v="0"/>
  </r>
  <r>
    <d v="2024-01-25T00:00:00"/>
    <s v="Child"/>
    <x v="42"/>
    <n v="1875"/>
    <n v="1171"/>
    <n v="222"/>
    <n v="305"/>
    <n v="3573"/>
    <x v="12"/>
    <n v="527"/>
    <x v="0"/>
  </r>
  <r>
    <d v="2024-02-29T00:00:00"/>
    <s v="Child"/>
    <x v="39"/>
    <n v="19057"/>
    <n v="11063"/>
    <n v="5687"/>
    <n v="4650"/>
    <n v="40457"/>
    <x v="13"/>
    <n v="10337"/>
    <x v="0"/>
  </r>
  <r>
    <d v="2024-02-29T00:00:00"/>
    <s v="Child"/>
    <x v="40"/>
    <n v="3228"/>
    <n v="1612"/>
    <n v="477"/>
    <n v="383"/>
    <n v="5701"/>
    <x v="13"/>
    <n v="860"/>
    <x v="0"/>
  </r>
  <r>
    <d v="2024-02-29T00:00:00"/>
    <s v="Child"/>
    <x v="41"/>
    <n v="3039"/>
    <n v="1255"/>
    <n v="482"/>
    <n v="935"/>
    <n v="5711"/>
    <x v="13"/>
    <n v="1417"/>
    <x v="0"/>
  </r>
  <r>
    <d v="2024-02-29T00:00:00"/>
    <s v="Child"/>
    <x v="32"/>
    <n v="1084"/>
    <n v="380"/>
    <n v="243"/>
    <n v="283"/>
    <n v="1990"/>
    <x v="13"/>
    <n v="526"/>
    <x v="0"/>
  </r>
  <r>
    <d v="2024-02-29T00:00:00"/>
    <s v="Child"/>
    <x v="4"/>
    <n v="229"/>
    <n v="170"/>
    <n v="97"/>
    <n v="4"/>
    <n v="500"/>
    <x v="13"/>
    <n v="101"/>
    <x v="0"/>
  </r>
  <r>
    <d v="2024-02-29T00:00:00"/>
    <s v="Child"/>
    <x v="22"/>
    <n v="705"/>
    <n v="106"/>
    <n v="59"/>
    <n v="42"/>
    <n v="912"/>
    <x v="13"/>
    <n v="101"/>
    <x v="0"/>
  </r>
  <r>
    <d v="2024-02-29T00:00:00"/>
    <s v="Child"/>
    <x v="26"/>
    <n v="949"/>
    <n v="276"/>
    <n v="142"/>
    <n v="99"/>
    <n v="1466"/>
    <x v="13"/>
    <n v="241"/>
    <x v="0"/>
  </r>
  <r>
    <d v="2024-02-29T00:00:00"/>
    <s v="Child"/>
    <x v="20"/>
    <n v="656"/>
    <n v="374"/>
    <n v="152"/>
    <n v="43"/>
    <n v="1224"/>
    <x v="13"/>
    <n v="195"/>
    <x v="0"/>
  </r>
  <r>
    <d v="2024-02-29T00:00:00"/>
    <s v="Child"/>
    <x v="29"/>
    <n v="118"/>
    <n v="66"/>
    <n v="48"/>
    <n v="25"/>
    <n v="257"/>
    <x v="13"/>
    <n v="73"/>
    <x v="0"/>
  </r>
  <r>
    <d v="2024-02-29T00:00:00"/>
    <s v="Child"/>
    <x v="27"/>
    <n v="2331"/>
    <n v="1255"/>
    <n v="182"/>
    <n v="9"/>
    <n v="3777"/>
    <x v="13"/>
    <n v="191"/>
    <x v="0"/>
  </r>
  <r>
    <d v="2024-02-29T00:00:00"/>
    <s v="Child"/>
    <x v="21"/>
    <n v="324"/>
    <n v="42"/>
    <n v="8"/>
    <n v="1"/>
    <n v="376"/>
    <x v="13"/>
    <n v="9"/>
    <x v="0"/>
  </r>
  <r>
    <d v="2024-02-29T00:00:00"/>
    <s v="Child"/>
    <x v="38"/>
    <n v="301"/>
    <n v="201"/>
    <n v="80"/>
    <n v="66"/>
    <n v="648"/>
    <x v="13"/>
    <n v="146"/>
    <x v="0"/>
  </r>
  <r>
    <d v="2024-02-29T00:00:00"/>
    <s v="Child"/>
    <x v="35"/>
    <n v="1121"/>
    <n v="121"/>
    <n v="67"/>
    <n v="76"/>
    <n v="1385"/>
    <x v="13"/>
    <n v="143"/>
    <x v="0"/>
  </r>
  <r>
    <d v="2024-02-29T00:00:00"/>
    <s v="Child"/>
    <x v="36"/>
    <n v="1507"/>
    <n v="869"/>
    <n v="206"/>
    <n v="294"/>
    <n v="2875"/>
    <x v="13"/>
    <n v="500"/>
    <x v="0"/>
  </r>
  <r>
    <d v="2024-02-29T00:00:00"/>
    <s v="Child"/>
    <x v="34"/>
    <n v="2603"/>
    <n v="898"/>
    <n v="207"/>
    <n v="130"/>
    <n v="3838"/>
    <x v="13"/>
    <n v="337"/>
    <x v="0"/>
  </r>
  <r>
    <d v="2024-02-29T00:00:00"/>
    <s v="Child"/>
    <x v="42"/>
    <n v="1992"/>
    <n v="1080"/>
    <n v="280"/>
    <n v="308"/>
    <n v="3659"/>
    <x v="13"/>
    <n v="588"/>
    <x v="0"/>
  </r>
  <r>
    <d v="2024-03-28T00:00:00"/>
    <s v="Child"/>
    <x v="39"/>
    <n v="19127"/>
    <n v="10898"/>
    <n v="6119"/>
    <n v="4750"/>
    <n v="40893"/>
    <x v="14"/>
    <n v="10869"/>
    <x v="0"/>
  </r>
  <r>
    <d v="2024-03-28T00:00:00"/>
    <s v="Child"/>
    <x v="40"/>
    <n v="3378"/>
    <n v="1565"/>
    <n v="532"/>
    <n v="368"/>
    <n v="5843"/>
    <x v="14"/>
    <n v="900"/>
    <x v="0"/>
  </r>
  <r>
    <d v="2024-03-28T00:00:00"/>
    <s v="Child"/>
    <x v="41"/>
    <n v="3106"/>
    <n v="1202"/>
    <n v="465"/>
    <n v="896"/>
    <n v="5670"/>
    <x v="14"/>
    <n v="1361"/>
    <x v="0"/>
  </r>
  <r>
    <d v="2024-03-28T00:00:00"/>
    <s v="Child"/>
    <x v="32"/>
    <n v="1106"/>
    <n v="373"/>
    <n v="267"/>
    <n v="267"/>
    <n v="2013"/>
    <x v="14"/>
    <n v="534"/>
    <x v="0"/>
  </r>
  <r>
    <d v="2024-03-28T00:00:00"/>
    <s v="Child"/>
    <x v="4"/>
    <n v="233"/>
    <n v="171"/>
    <n v="112"/>
    <n v="5"/>
    <n v="521"/>
    <x v="14"/>
    <n v="117"/>
    <x v="0"/>
  </r>
  <r>
    <d v="2024-03-28T00:00:00"/>
    <s v="Child"/>
    <x v="22"/>
    <n v="626"/>
    <n v="100"/>
    <n v="54"/>
    <n v="36"/>
    <n v="817"/>
    <x v="14"/>
    <n v="90"/>
    <x v="0"/>
  </r>
  <r>
    <d v="2024-03-28T00:00:00"/>
    <s v="Child"/>
    <x v="26"/>
    <n v="915"/>
    <n v="318"/>
    <n v="150"/>
    <n v="94"/>
    <n v="1476"/>
    <x v="14"/>
    <n v="244"/>
    <x v="0"/>
  </r>
  <r>
    <d v="2024-03-28T00:00:00"/>
    <s v="Child"/>
    <x v="20"/>
    <n v="720"/>
    <n v="350"/>
    <n v="178"/>
    <n v="50"/>
    <n v="1298"/>
    <x v="14"/>
    <n v="228"/>
    <x v="0"/>
  </r>
  <r>
    <d v="2024-03-28T00:00:00"/>
    <s v="Child"/>
    <x v="29"/>
    <n v="96"/>
    <n v="54"/>
    <n v="46"/>
    <n v="26"/>
    <n v="222"/>
    <x v="14"/>
    <n v="72"/>
    <x v="0"/>
  </r>
  <r>
    <d v="2024-03-28T00:00:00"/>
    <s v="Child"/>
    <x v="27"/>
    <n v="2220"/>
    <n v="1294"/>
    <n v="188"/>
    <n v="21"/>
    <n v="3722"/>
    <x v="14"/>
    <n v="209"/>
    <x v="0"/>
  </r>
  <r>
    <d v="2024-03-28T00:00:00"/>
    <s v="Child"/>
    <x v="38"/>
    <n v="311"/>
    <n v="189"/>
    <n v="106"/>
    <n v="64"/>
    <n v="670"/>
    <x v="14"/>
    <n v="170"/>
    <x v="0"/>
  </r>
  <r>
    <d v="2024-03-28T00:00:00"/>
    <s v="Child"/>
    <x v="35"/>
    <n v="1234"/>
    <n v="146"/>
    <n v="50"/>
    <n v="95"/>
    <n v="1525"/>
    <x v="14"/>
    <n v="145"/>
    <x v="0"/>
  </r>
  <r>
    <d v="2024-03-28T00:00:00"/>
    <s v="Child"/>
    <x v="36"/>
    <n v="1589"/>
    <n v="823"/>
    <n v="261"/>
    <n v="289"/>
    <n v="2962"/>
    <x v="14"/>
    <n v="550"/>
    <x v="0"/>
  </r>
  <r>
    <d v="2024-03-28T00:00:00"/>
    <s v="Child"/>
    <x v="19"/>
    <n v="742"/>
    <n v="229"/>
    <n v="55"/>
    <n v="7"/>
    <n v="1033"/>
    <x v="14"/>
    <n v="62"/>
    <x v="0"/>
  </r>
  <r>
    <d v="2024-03-28T00:00:00"/>
    <s v="Child"/>
    <x v="34"/>
    <n v="2715"/>
    <n v="906"/>
    <n v="258"/>
    <n v="138"/>
    <n v="4017"/>
    <x v="14"/>
    <n v="396"/>
    <x v="0"/>
  </r>
  <r>
    <d v="2024-03-28T00:00:00"/>
    <s v="Child"/>
    <x v="42"/>
    <n v="2099"/>
    <n v="1062"/>
    <n v="347"/>
    <n v="306"/>
    <n v="3814"/>
    <x v="14"/>
    <n v="653"/>
    <x v="0"/>
  </r>
  <r>
    <d v="2024-03-28T00:00:00"/>
    <s v="Child"/>
    <x v="24"/>
    <n v="628"/>
    <n v="312"/>
    <n v="86"/>
    <n v="1"/>
    <n v="1027"/>
    <x v="14"/>
    <n v="87"/>
    <x v="0"/>
  </r>
  <r>
    <d v="2024-04-25T00:00:00"/>
    <s v="Child"/>
    <x v="16"/>
    <n v="856"/>
    <n v="323"/>
    <n v="4"/>
    <n v="4"/>
    <n v="1188"/>
    <x v="15"/>
    <n v="8"/>
    <x v="0"/>
  </r>
  <r>
    <d v="2024-04-25T00:00:00"/>
    <s v="Child"/>
    <x v="39"/>
    <n v="19092"/>
    <n v="11016"/>
    <n v="6122"/>
    <n v="4957"/>
    <n v="41187"/>
    <x v="15"/>
    <n v="11079"/>
    <x v="0"/>
  </r>
  <r>
    <d v="2024-04-25T00:00:00"/>
    <s v="Child"/>
    <x v="40"/>
    <n v="3420"/>
    <n v="1620"/>
    <n v="565"/>
    <n v="356"/>
    <n v="5960"/>
    <x v="15"/>
    <n v="921"/>
    <x v="0"/>
  </r>
  <r>
    <d v="2024-04-25T00:00:00"/>
    <s v="Child"/>
    <x v="41"/>
    <n v="3091"/>
    <n v="1151"/>
    <n v="503"/>
    <n v="899"/>
    <n v="5644"/>
    <x v="15"/>
    <n v="1402"/>
    <x v="0"/>
  </r>
  <r>
    <d v="2024-04-25T00:00:00"/>
    <s v="Child"/>
    <x v="32"/>
    <n v="1108"/>
    <n v="354"/>
    <n v="274"/>
    <n v="188"/>
    <n v="1924"/>
    <x v="15"/>
    <n v="462"/>
    <x v="0"/>
  </r>
  <r>
    <d v="2024-04-25T00:00:00"/>
    <s v="Child"/>
    <x v="4"/>
    <n v="238"/>
    <n v="152"/>
    <n v="130"/>
    <n v="20"/>
    <n v="540"/>
    <x v="15"/>
    <n v="150"/>
    <x v="0"/>
  </r>
  <r>
    <d v="2024-04-25T00:00:00"/>
    <s v="Child"/>
    <x v="22"/>
    <n v="595"/>
    <n v="111"/>
    <n v="25"/>
    <n v="29"/>
    <n v="761"/>
    <x v="15"/>
    <n v="54"/>
    <x v="0"/>
  </r>
  <r>
    <d v="2024-04-25T00:00:00"/>
    <s v="Child"/>
    <x v="26"/>
    <n v="936"/>
    <n v="349"/>
    <n v="135"/>
    <n v="76"/>
    <n v="1496"/>
    <x v="15"/>
    <n v="211"/>
    <x v="0"/>
  </r>
  <r>
    <d v="2024-04-25T00:00:00"/>
    <s v="Child"/>
    <x v="20"/>
    <n v="693"/>
    <n v="334"/>
    <n v="191"/>
    <n v="54"/>
    <n v="1272"/>
    <x v="15"/>
    <n v="245"/>
    <x v="0"/>
  </r>
  <r>
    <d v="2024-04-25T00:00:00"/>
    <s v="Child"/>
    <x v="29"/>
    <n v="91"/>
    <n v="50"/>
    <n v="43"/>
    <n v="25"/>
    <n v="209"/>
    <x v="15"/>
    <n v="68"/>
    <x v="0"/>
  </r>
  <r>
    <d v="2024-04-25T00:00:00"/>
    <s v="Child"/>
    <x v="27"/>
    <n v="2178"/>
    <n v="1184"/>
    <n v="222"/>
    <n v="28"/>
    <n v="3613"/>
    <x v="15"/>
    <n v="250"/>
    <x v="0"/>
  </r>
  <r>
    <d v="2024-04-25T00:00:00"/>
    <s v="Child"/>
    <x v="38"/>
    <n v="299"/>
    <n v="202"/>
    <n v="114"/>
    <n v="70"/>
    <n v="685"/>
    <x v="15"/>
    <n v="184"/>
    <x v="0"/>
  </r>
  <r>
    <d v="2024-04-25T00:00:00"/>
    <s v="Child"/>
    <x v="35"/>
    <n v="1270"/>
    <n v="148"/>
    <n v="36"/>
    <n v="79"/>
    <n v="1533"/>
    <x v="15"/>
    <n v="115"/>
    <x v="0"/>
  </r>
  <r>
    <d v="2024-04-25T00:00:00"/>
    <s v="Child"/>
    <x v="36"/>
    <n v="1568"/>
    <n v="784"/>
    <n v="315"/>
    <n v="284"/>
    <n v="2951"/>
    <x v="15"/>
    <n v="599"/>
    <x v="0"/>
  </r>
  <r>
    <d v="2024-04-25T00:00:00"/>
    <s v="Child"/>
    <x v="19"/>
    <n v="714"/>
    <n v="268"/>
    <n v="53"/>
    <n v="12"/>
    <n v="1048"/>
    <x v="15"/>
    <n v="65"/>
    <x v="0"/>
  </r>
  <r>
    <d v="2024-04-25T00:00:00"/>
    <s v="Child"/>
    <x v="34"/>
    <n v="2805"/>
    <n v="788"/>
    <n v="248"/>
    <n v="134"/>
    <n v="3975"/>
    <x v="15"/>
    <n v="382"/>
    <x v="0"/>
  </r>
  <r>
    <d v="2024-04-25T00:00:00"/>
    <s v="Child"/>
    <x v="42"/>
    <n v="2127"/>
    <n v="1068"/>
    <n v="373"/>
    <n v="290"/>
    <n v="3857"/>
    <x v="15"/>
    <n v="663"/>
    <x v="0"/>
  </r>
  <r>
    <d v="2024-05-30T00:00:00"/>
    <s v="Child"/>
    <x v="39"/>
    <n v="19830"/>
    <n v="10292"/>
    <n v="6538"/>
    <n v="5002"/>
    <n v="41662"/>
    <x v="0"/>
    <n v="11540"/>
    <x v="0"/>
  </r>
  <r>
    <d v="2024-05-30T00:00:00"/>
    <s v="Child"/>
    <x v="40"/>
    <n v="3555"/>
    <n v="1583"/>
    <n v="612"/>
    <n v="370"/>
    <n v="6120"/>
    <x v="0"/>
    <n v="982"/>
    <x v="0"/>
  </r>
  <r>
    <d v="2024-05-30T00:00:00"/>
    <s v="Child"/>
    <x v="41"/>
    <n v="3142"/>
    <n v="1108"/>
    <n v="510"/>
    <n v="778"/>
    <n v="5538"/>
    <x v="0"/>
    <n v="1288"/>
    <x v="0"/>
  </r>
  <r>
    <d v="2024-05-30T00:00:00"/>
    <s v="Child"/>
    <x v="32"/>
    <n v="1149"/>
    <n v="335"/>
    <n v="268"/>
    <n v="135"/>
    <n v="1887"/>
    <x v="0"/>
    <n v="403"/>
    <x v="0"/>
  </r>
  <r>
    <d v="2024-05-30T00:00:00"/>
    <s v="Child"/>
    <x v="4"/>
    <n v="235"/>
    <n v="134"/>
    <n v="154"/>
    <n v="26"/>
    <n v="548"/>
    <x v="0"/>
    <n v="180"/>
    <x v="0"/>
  </r>
  <r>
    <d v="2024-05-30T00:00:00"/>
    <s v="Child"/>
    <x v="22"/>
    <n v="583"/>
    <n v="84"/>
    <n v="24"/>
    <n v="24"/>
    <n v="716"/>
    <x v="0"/>
    <n v="48"/>
    <x v="0"/>
  </r>
  <r>
    <d v="2024-05-30T00:00:00"/>
    <s v="Child"/>
    <x v="26"/>
    <n v="869"/>
    <n v="369"/>
    <n v="109"/>
    <n v="10"/>
    <n v="1357"/>
    <x v="0"/>
    <n v="119"/>
    <x v="0"/>
  </r>
  <r>
    <d v="2024-05-30T00:00:00"/>
    <s v="Child"/>
    <x v="20"/>
    <n v="766"/>
    <n v="337"/>
    <n v="205"/>
    <n v="58"/>
    <n v="1365"/>
    <x v="0"/>
    <n v="263"/>
    <x v="0"/>
  </r>
  <r>
    <d v="2024-05-30T00:00:00"/>
    <s v="Child"/>
    <x v="29"/>
    <n v="140"/>
    <n v="46"/>
    <n v="42"/>
    <n v="25"/>
    <n v="253"/>
    <x v="0"/>
    <n v="67"/>
    <x v="0"/>
  </r>
  <r>
    <d v="2024-05-30T00:00:00"/>
    <s v="Child"/>
    <x v="27"/>
    <n v="2213"/>
    <n v="1166"/>
    <n v="269"/>
    <n v="29"/>
    <n v="3677"/>
    <x v="0"/>
    <n v="298"/>
    <x v="0"/>
  </r>
  <r>
    <d v="2024-05-30T00:00:00"/>
    <s v="Child"/>
    <x v="38"/>
    <n v="306"/>
    <n v="166"/>
    <n v="131"/>
    <n v="68"/>
    <n v="671"/>
    <x v="0"/>
    <n v="199"/>
    <x v="0"/>
  </r>
  <r>
    <d v="2024-05-30T00:00:00"/>
    <s v="Child"/>
    <x v="35"/>
    <n v="1361"/>
    <n v="140"/>
    <n v="37"/>
    <n v="73"/>
    <n v="1611"/>
    <x v="0"/>
    <n v="110"/>
    <x v="0"/>
  </r>
  <r>
    <d v="2024-05-30T00:00:00"/>
    <s v="Child"/>
    <x v="36"/>
    <n v="1596"/>
    <n v="738"/>
    <n v="372"/>
    <n v="288"/>
    <n v="2993"/>
    <x v="0"/>
    <n v="660"/>
    <x v="0"/>
  </r>
  <r>
    <d v="2024-05-30T00:00:00"/>
    <s v="Child"/>
    <x v="5"/>
    <n v="479"/>
    <n v="15"/>
    <n v="15"/>
    <n v="7"/>
    <n v="516"/>
    <x v="0"/>
    <n v="22"/>
    <x v="0"/>
  </r>
  <r>
    <d v="2024-05-30T00:00:00"/>
    <s v="Child"/>
    <x v="19"/>
    <n v="731"/>
    <n v="307"/>
    <n v="60"/>
    <n v="13"/>
    <n v="1111"/>
    <x v="0"/>
    <n v="73"/>
    <x v="0"/>
  </r>
  <r>
    <d v="2024-05-30T00:00:00"/>
    <s v="Child"/>
    <x v="34"/>
    <n v="2757"/>
    <n v="783"/>
    <n v="283"/>
    <n v="140"/>
    <n v="3963"/>
    <x v="0"/>
    <n v="423"/>
    <x v="0"/>
  </r>
  <r>
    <d v="2024-05-30T00:00:00"/>
    <s v="Child"/>
    <x v="42"/>
    <n v="2163"/>
    <n v="1007"/>
    <n v="436"/>
    <n v="309"/>
    <n v="3915"/>
    <x v="0"/>
    <n v="745"/>
    <x v="0"/>
  </r>
  <r>
    <d v="2024-06-27T00:00:00"/>
    <s v="Child"/>
    <x v="39"/>
    <n v="19992"/>
    <n v="9565"/>
    <n v="6420"/>
    <n v="5069"/>
    <n v="41046"/>
    <x v="1"/>
    <n v="11489"/>
    <x v="0"/>
  </r>
  <r>
    <d v="2024-06-27T00:00:00"/>
    <s v="Child"/>
    <x v="40"/>
    <n v="3503"/>
    <n v="1550"/>
    <n v="629"/>
    <n v="354"/>
    <n v="6037"/>
    <x v="1"/>
    <n v="983"/>
    <x v="0"/>
  </r>
  <r>
    <d v="2024-06-27T00:00:00"/>
    <s v="Child"/>
    <x v="41"/>
    <n v="3151"/>
    <n v="1047"/>
    <n v="511"/>
    <n v="802"/>
    <n v="5511"/>
    <x v="1"/>
    <n v="1313"/>
    <x v="0"/>
  </r>
  <r>
    <d v="2024-06-27T00:00:00"/>
    <s v="Child"/>
    <x v="32"/>
    <n v="1159"/>
    <n v="341"/>
    <n v="269"/>
    <n v="158"/>
    <n v="1926"/>
    <x v="1"/>
    <n v="427"/>
    <x v="0"/>
  </r>
  <r>
    <d v="2024-06-27T00:00:00"/>
    <s v="Child"/>
    <x v="4"/>
    <n v="216"/>
    <n v="146"/>
    <n v="163"/>
    <n v="32"/>
    <n v="557"/>
    <x v="1"/>
    <n v="195"/>
    <x v="0"/>
  </r>
  <r>
    <d v="2024-06-27T00:00:00"/>
    <s v="Child"/>
    <x v="22"/>
    <n v="652"/>
    <n v="88"/>
    <n v="12"/>
    <n v="29"/>
    <n v="780"/>
    <x v="1"/>
    <n v="41"/>
    <x v="0"/>
  </r>
  <r>
    <d v="2024-06-27T00:00:00"/>
    <s v="Child"/>
    <x v="26"/>
    <n v="894"/>
    <n v="302"/>
    <n v="96"/>
    <n v="5"/>
    <n v="1297"/>
    <x v="1"/>
    <n v="101"/>
    <x v="0"/>
  </r>
  <r>
    <d v="2024-06-27T00:00:00"/>
    <s v="Child"/>
    <x v="20"/>
    <n v="755"/>
    <n v="347"/>
    <n v="206"/>
    <n v="56"/>
    <n v="1365"/>
    <x v="1"/>
    <n v="262"/>
    <x v="0"/>
  </r>
  <r>
    <d v="2024-06-27T00:00:00"/>
    <s v="Child"/>
    <x v="29"/>
    <n v="133"/>
    <n v="49"/>
    <n v="39"/>
    <n v="20"/>
    <n v="241"/>
    <x v="1"/>
    <n v="59"/>
    <x v="0"/>
  </r>
  <r>
    <d v="2024-06-27T00:00:00"/>
    <s v="Child"/>
    <x v="27"/>
    <n v="2230"/>
    <n v="1249"/>
    <n v="260"/>
    <n v="21"/>
    <n v="3760"/>
    <x v="1"/>
    <n v="281"/>
    <x v="0"/>
  </r>
  <r>
    <d v="2024-06-27T00:00:00"/>
    <s v="Child"/>
    <x v="38"/>
    <n v="288"/>
    <n v="148"/>
    <n v="120"/>
    <n v="63"/>
    <n v="619"/>
    <x v="1"/>
    <n v="183"/>
    <x v="0"/>
  </r>
  <r>
    <d v="2024-06-27T00:00:00"/>
    <s v="Child"/>
    <x v="35"/>
    <n v="1356"/>
    <n v="152"/>
    <n v="40"/>
    <n v="81"/>
    <n v="1629"/>
    <x v="1"/>
    <n v="121"/>
    <x v="0"/>
  </r>
  <r>
    <d v="2024-06-27T00:00:00"/>
    <s v="Child"/>
    <x v="36"/>
    <n v="1582"/>
    <n v="704"/>
    <n v="389"/>
    <n v="278"/>
    <n v="2953"/>
    <x v="1"/>
    <n v="667"/>
    <x v="0"/>
  </r>
  <r>
    <d v="2024-06-27T00:00:00"/>
    <s v="Child"/>
    <x v="5"/>
    <n v="463"/>
    <n v="11"/>
    <n v="15"/>
    <n v="7"/>
    <n v="495"/>
    <x v="1"/>
    <n v="22"/>
    <x v="0"/>
  </r>
  <r>
    <d v="2024-06-27T00:00:00"/>
    <s v="Child"/>
    <x v="19"/>
    <n v="759"/>
    <n v="323"/>
    <n v="68"/>
    <n v="14"/>
    <n v="1164"/>
    <x v="1"/>
    <n v="82"/>
    <x v="0"/>
  </r>
  <r>
    <d v="2024-06-27T00:00:00"/>
    <s v="Child"/>
    <x v="34"/>
    <n v="2875"/>
    <n v="817"/>
    <n v="293"/>
    <n v="127"/>
    <n v="4111"/>
    <x v="1"/>
    <n v="420"/>
    <x v="0"/>
  </r>
  <r>
    <d v="2024-06-27T00:00:00"/>
    <s v="Child"/>
    <x v="42"/>
    <n v="2170"/>
    <n v="1011"/>
    <n v="470"/>
    <n v="329"/>
    <n v="3980"/>
    <x v="1"/>
    <n v="799"/>
    <x v="0"/>
  </r>
  <r>
    <d v="2024-07-25T00:00:00"/>
    <s v="Child"/>
    <x v="23"/>
    <n v="41"/>
    <n v="9"/>
    <n v="1"/>
    <n v="1"/>
    <n v="52"/>
    <x v="16"/>
    <n v="2"/>
    <x v="0"/>
  </r>
  <r>
    <d v="2024-07-25T00:00:00"/>
    <s v="Child"/>
    <x v="39"/>
    <n v="19937"/>
    <n v="9448"/>
    <n v="6569"/>
    <n v="4837"/>
    <n v="40791"/>
    <x v="16"/>
    <n v="11406"/>
    <x v="0"/>
  </r>
  <r>
    <d v="2024-07-25T00:00:00"/>
    <s v="Child"/>
    <x v="40"/>
    <n v="3623"/>
    <n v="1563"/>
    <n v="647"/>
    <n v="362"/>
    <n v="6195"/>
    <x v="16"/>
    <n v="1009"/>
    <x v="0"/>
  </r>
  <r>
    <d v="2024-07-25T00:00:00"/>
    <s v="Child"/>
    <x v="41"/>
    <n v="3116"/>
    <n v="876"/>
    <n v="475"/>
    <n v="762"/>
    <n v="5230"/>
    <x v="16"/>
    <n v="1237"/>
    <x v="0"/>
  </r>
  <r>
    <d v="2024-07-25T00:00:00"/>
    <s v="Child"/>
    <x v="32"/>
    <n v="1163"/>
    <n v="330"/>
    <n v="279"/>
    <n v="152"/>
    <n v="1924"/>
    <x v="16"/>
    <n v="431"/>
    <x v="0"/>
  </r>
  <r>
    <d v="2024-07-25T00:00:00"/>
    <s v="Child"/>
    <x v="4"/>
    <n v="199"/>
    <n v="143"/>
    <n v="163"/>
    <n v="42"/>
    <n v="547"/>
    <x v="16"/>
    <n v="205"/>
    <x v="0"/>
  </r>
  <r>
    <d v="2024-07-25T00:00:00"/>
    <s v="Child"/>
    <x v="22"/>
    <n v="660"/>
    <n v="82"/>
    <n v="8"/>
    <n v="30"/>
    <n v="779"/>
    <x v="16"/>
    <n v="38"/>
    <x v="0"/>
  </r>
  <r>
    <d v="2024-07-25T00:00:00"/>
    <s v="Child"/>
    <x v="26"/>
    <n v="871"/>
    <n v="318"/>
    <n v="91"/>
    <n v="5"/>
    <n v="1285"/>
    <x v="16"/>
    <n v="96"/>
    <x v="0"/>
  </r>
  <r>
    <d v="2024-07-25T00:00:00"/>
    <s v="Child"/>
    <x v="20"/>
    <n v="746"/>
    <n v="355"/>
    <n v="201"/>
    <n v="50"/>
    <n v="1353"/>
    <x v="16"/>
    <n v="251"/>
    <x v="0"/>
  </r>
  <r>
    <d v="2024-07-25T00:00:00"/>
    <s v="Child"/>
    <x v="29"/>
    <n v="128"/>
    <n v="45"/>
    <n v="32"/>
    <n v="17"/>
    <n v="222"/>
    <x v="16"/>
    <n v="49"/>
    <x v="0"/>
  </r>
  <r>
    <d v="2024-07-25T00:00:00"/>
    <s v="Child"/>
    <x v="27"/>
    <n v="2145"/>
    <n v="1266"/>
    <n v="304"/>
    <n v="12"/>
    <n v="3727"/>
    <x v="16"/>
    <n v="316"/>
    <x v="0"/>
  </r>
  <r>
    <d v="2024-07-25T00:00:00"/>
    <s v="Child"/>
    <x v="7"/>
    <n v="144"/>
    <n v="36"/>
    <n v="12"/>
    <n v="8"/>
    <n v="200"/>
    <x v="16"/>
    <n v="20"/>
    <x v="0"/>
  </r>
  <r>
    <d v="2024-07-25T00:00:00"/>
    <s v="Child"/>
    <x v="38"/>
    <n v="305"/>
    <n v="146"/>
    <n v="121"/>
    <n v="48"/>
    <n v="620"/>
    <x v="16"/>
    <n v="169"/>
    <x v="0"/>
  </r>
  <r>
    <d v="2024-07-25T00:00:00"/>
    <s v="Child"/>
    <x v="35"/>
    <n v="1404"/>
    <n v="163"/>
    <n v="47"/>
    <n v="85"/>
    <n v="1700"/>
    <x v="16"/>
    <n v="132"/>
    <x v="0"/>
  </r>
  <r>
    <d v="2024-07-25T00:00:00"/>
    <s v="Child"/>
    <x v="36"/>
    <n v="1576"/>
    <n v="663"/>
    <n v="394"/>
    <n v="305"/>
    <n v="2938"/>
    <x v="16"/>
    <n v="699"/>
    <x v="0"/>
  </r>
  <r>
    <d v="2024-07-25T00:00:00"/>
    <s v="Child"/>
    <x v="5"/>
    <n v="478"/>
    <n v="13"/>
    <n v="17"/>
    <n v="7"/>
    <n v="515"/>
    <x v="16"/>
    <n v="24"/>
    <x v="0"/>
  </r>
  <r>
    <d v="2024-07-25T00:00:00"/>
    <s v="Child"/>
    <x v="19"/>
    <n v="758"/>
    <n v="309"/>
    <n v="75"/>
    <n v="16"/>
    <n v="1158"/>
    <x v="16"/>
    <n v="91"/>
    <x v="0"/>
  </r>
  <r>
    <d v="2024-07-25T00:00:00"/>
    <s v="Child"/>
    <x v="34"/>
    <n v="2754"/>
    <n v="845"/>
    <n v="309"/>
    <n v="103"/>
    <n v="4010"/>
    <x v="16"/>
    <n v="412"/>
    <x v="0"/>
  </r>
  <r>
    <d v="2024-07-25T00:00:00"/>
    <s v="Child"/>
    <x v="42"/>
    <n v="2146"/>
    <n v="1032"/>
    <n v="504"/>
    <n v="315"/>
    <n v="3997"/>
    <x v="16"/>
    <n v="819"/>
    <x v="0"/>
  </r>
  <r>
    <d v="2024-08-29T00:00:00"/>
    <s v="Child"/>
    <x v="39"/>
    <n v="19697"/>
    <n v="9992"/>
    <n v="6319"/>
    <n v="4821"/>
    <n v="40829"/>
    <x v="2"/>
    <n v="11140"/>
    <x v="0"/>
  </r>
  <r>
    <d v="2024-08-29T00:00:00"/>
    <s v="Child"/>
    <x v="40"/>
    <n v="3415"/>
    <n v="1645"/>
    <n v="593"/>
    <n v="390"/>
    <n v="6043"/>
    <x v="2"/>
    <n v="983"/>
    <x v="0"/>
  </r>
  <r>
    <d v="2024-08-29T00:00:00"/>
    <s v="Child"/>
    <x v="3"/>
    <n v="205"/>
    <n v="16"/>
    <n v="3"/>
    <n v="3"/>
    <n v="227"/>
    <x v="2"/>
    <n v="6"/>
    <x v="0"/>
  </r>
  <r>
    <d v="2024-08-29T00:00:00"/>
    <s v="Child"/>
    <x v="41"/>
    <n v="3040"/>
    <n v="916"/>
    <n v="476"/>
    <n v="742"/>
    <n v="5174"/>
    <x v="2"/>
    <n v="1218"/>
    <x v="0"/>
  </r>
  <r>
    <d v="2024-08-29T00:00:00"/>
    <s v="Child"/>
    <x v="32"/>
    <n v="1090"/>
    <n v="340"/>
    <n v="253"/>
    <n v="141"/>
    <n v="1824"/>
    <x v="2"/>
    <n v="394"/>
    <x v="0"/>
  </r>
  <r>
    <d v="2024-08-29T00:00:00"/>
    <s v="Child"/>
    <x v="4"/>
    <n v="165"/>
    <n v="151"/>
    <n v="147"/>
    <n v="66"/>
    <n v="528"/>
    <x v="2"/>
    <n v="213"/>
    <x v="0"/>
  </r>
  <r>
    <d v="2024-08-29T00:00:00"/>
    <s v="Child"/>
    <x v="22"/>
    <n v="578"/>
    <n v="90"/>
    <n v="12"/>
    <n v="31"/>
    <n v="711"/>
    <x v="2"/>
    <n v="43"/>
    <x v="0"/>
  </r>
  <r>
    <d v="2024-08-29T00:00:00"/>
    <s v="Child"/>
    <x v="26"/>
    <n v="847"/>
    <n v="324"/>
    <n v="83"/>
    <n v="9"/>
    <n v="1263"/>
    <x v="2"/>
    <n v="92"/>
    <x v="0"/>
  </r>
  <r>
    <d v="2024-08-29T00:00:00"/>
    <s v="Child"/>
    <x v="20"/>
    <n v="818"/>
    <n v="427"/>
    <n v="199"/>
    <n v="56"/>
    <n v="1500"/>
    <x v="2"/>
    <n v="255"/>
    <x v="0"/>
  </r>
  <r>
    <d v="2024-08-29T00:00:00"/>
    <s v="Child"/>
    <x v="29"/>
    <n v="124"/>
    <n v="40"/>
    <n v="19"/>
    <n v="18"/>
    <n v="201"/>
    <x v="2"/>
    <n v="37"/>
    <x v="0"/>
  </r>
  <r>
    <d v="2024-08-29T00:00:00"/>
    <s v="Child"/>
    <x v="27"/>
    <n v="2007"/>
    <n v="1274"/>
    <n v="344"/>
    <n v="13"/>
    <n v="3639"/>
    <x v="2"/>
    <n v="357"/>
    <x v="0"/>
  </r>
  <r>
    <d v="2024-08-29T00:00:00"/>
    <s v="Child"/>
    <x v="7"/>
    <n v="154"/>
    <n v="43"/>
    <n v="11"/>
    <n v="10"/>
    <n v="219"/>
    <x v="2"/>
    <n v="21"/>
    <x v="0"/>
  </r>
  <r>
    <d v="2024-08-29T00:00:00"/>
    <s v="Child"/>
    <x v="38"/>
    <n v="301"/>
    <n v="145"/>
    <n v="129"/>
    <n v="45"/>
    <n v="620"/>
    <x v="2"/>
    <n v="174"/>
    <x v="0"/>
  </r>
  <r>
    <d v="2024-08-29T00:00:00"/>
    <s v="Child"/>
    <x v="35"/>
    <n v="1359"/>
    <n v="175"/>
    <n v="48"/>
    <n v="87"/>
    <n v="1669"/>
    <x v="2"/>
    <n v="135"/>
    <x v="0"/>
  </r>
  <r>
    <d v="2024-08-29T00:00:00"/>
    <s v="Child"/>
    <x v="36"/>
    <n v="1568"/>
    <n v="697"/>
    <n v="365"/>
    <n v="313"/>
    <n v="2942"/>
    <x v="2"/>
    <n v="678"/>
    <x v="0"/>
  </r>
  <r>
    <d v="2024-08-29T00:00:00"/>
    <s v="Child"/>
    <x v="5"/>
    <n v="438"/>
    <n v="14"/>
    <n v="14"/>
    <n v="9"/>
    <n v="475"/>
    <x v="2"/>
    <n v="23"/>
    <x v="0"/>
  </r>
  <r>
    <d v="2024-08-29T00:00:00"/>
    <s v="Child"/>
    <x v="19"/>
    <n v="707"/>
    <n v="359"/>
    <n v="74"/>
    <n v="24"/>
    <n v="1163"/>
    <x v="2"/>
    <n v="98"/>
    <x v="0"/>
  </r>
  <r>
    <d v="2024-08-29T00:00:00"/>
    <s v="Child"/>
    <x v="34"/>
    <n v="2728"/>
    <n v="993"/>
    <n v="313"/>
    <n v="77"/>
    <n v="4112"/>
    <x v="2"/>
    <n v="390"/>
    <x v="0"/>
  </r>
  <r>
    <d v="2024-08-29T00:00:00"/>
    <s v="Child"/>
    <x v="42"/>
    <n v="2099"/>
    <n v="1070"/>
    <n v="482"/>
    <n v="342"/>
    <n v="3994"/>
    <x v="2"/>
    <n v="824"/>
    <x v="0"/>
  </r>
  <r>
    <d v="2024-09-26T00:00:00"/>
    <s v="Child"/>
    <x v="23"/>
    <n v="49"/>
    <n v="15"/>
    <n v="0"/>
    <n v="1"/>
    <n v="65"/>
    <x v="17"/>
    <n v="1"/>
    <x v="0"/>
  </r>
  <r>
    <d v="2024-09-26T00:00:00"/>
    <s v="Child"/>
    <x v="39"/>
    <n v="19220"/>
    <n v="10126"/>
    <n v="6254"/>
    <n v="4704"/>
    <n v="40304"/>
    <x v="17"/>
    <n v="10958"/>
    <x v="0"/>
  </r>
  <r>
    <d v="2024-09-26T00:00:00"/>
    <s v="Child"/>
    <x v="40"/>
    <n v="3226"/>
    <n v="1680"/>
    <n v="546"/>
    <n v="432"/>
    <n v="5884"/>
    <x v="17"/>
    <n v="978"/>
    <x v="0"/>
  </r>
  <r>
    <d v="2024-09-26T00:00:00"/>
    <s v="Child"/>
    <x v="3"/>
    <n v="188"/>
    <n v="16"/>
    <n v="3"/>
    <n v="3"/>
    <n v="210"/>
    <x v="17"/>
    <n v="6"/>
    <x v="0"/>
  </r>
  <r>
    <d v="2024-09-26T00:00:00"/>
    <s v="Child"/>
    <x v="41"/>
    <n v="2927"/>
    <n v="848"/>
    <n v="491"/>
    <n v="714"/>
    <n v="4980"/>
    <x v="17"/>
    <n v="1205"/>
    <x v="0"/>
  </r>
  <r>
    <d v="2024-09-26T00:00:00"/>
    <s v="Child"/>
    <x v="32"/>
    <n v="1046"/>
    <n v="386"/>
    <n v="185"/>
    <n v="86"/>
    <n v="1703"/>
    <x v="17"/>
    <n v="271"/>
    <x v="0"/>
  </r>
  <r>
    <d v="2024-09-26T00:00:00"/>
    <s v="Child"/>
    <x v="4"/>
    <n v="132"/>
    <n v="167"/>
    <n v="144"/>
    <n v="83"/>
    <n v="526"/>
    <x v="17"/>
    <n v="227"/>
    <x v="0"/>
  </r>
  <r>
    <d v="2024-09-26T00:00:00"/>
    <s v="Child"/>
    <x v="22"/>
    <n v="582"/>
    <n v="85"/>
    <n v="14"/>
    <n v="49"/>
    <n v="731"/>
    <x v="17"/>
    <n v="63"/>
    <x v="0"/>
  </r>
  <r>
    <d v="2024-09-26T00:00:00"/>
    <s v="Child"/>
    <x v="26"/>
    <n v="814"/>
    <n v="329"/>
    <n v="99"/>
    <n v="10"/>
    <n v="1251"/>
    <x v="17"/>
    <n v="109"/>
    <x v="0"/>
  </r>
  <r>
    <d v="2024-09-26T00:00:00"/>
    <s v="Child"/>
    <x v="20"/>
    <n v="786"/>
    <n v="416"/>
    <n v="174"/>
    <n v="34"/>
    <n v="1410"/>
    <x v="17"/>
    <n v="208"/>
    <x v="0"/>
  </r>
  <r>
    <d v="2024-09-26T00:00:00"/>
    <s v="Child"/>
    <x v="29"/>
    <n v="120"/>
    <n v="42"/>
    <n v="14"/>
    <n v="15"/>
    <n v="191"/>
    <x v="17"/>
    <n v="29"/>
    <x v="0"/>
  </r>
  <r>
    <d v="2024-09-26T00:00:00"/>
    <s v="Child"/>
    <x v="27"/>
    <n v="1945"/>
    <n v="1237"/>
    <n v="399"/>
    <n v="4"/>
    <n v="3585"/>
    <x v="17"/>
    <n v="403"/>
    <x v="0"/>
  </r>
  <r>
    <d v="2024-09-26T00:00:00"/>
    <s v="Child"/>
    <x v="7"/>
    <n v="135"/>
    <n v="55"/>
    <n v="16"/>
    <n v="9"/>
    <n v="215"/>
    <x v="17"/>
    <n v="25"/>
    <x v="0"/>
  </r>
  <r>
    <d v="2024-09-26T00:00:00"/>
    <s v="Child"/>
    <x v="38"/>
    <n v="265"/>
    <n v="143"/>
    <n v="117"/>
    <n v="61"/>
    <n v="586"/>
    <x v="17"/>
    <n v="178"/>
    <x v="0"/>
  </r>
  <r>
    <d v="2024-09-26T00:00:00"/>
    <s v="Child"/>
    <x v="35"/>
    <n v="1276"/>
    <n v="180"/>
    <n v="57"/>
    <n v="92"/>
    <n v="1605"/>
    <x v="17"/>
    <n v="149"/>
    <x v="0"/>
  </r>
  <r>
    <d v="2024-09-26T00:00:00"/>
    <s v="Child"/>
    <x v="36"/>
    <n v="1596"/>
    <n v="723"/>
    <n v="324"/>
    <n v="308"/>
    <n v="2950"/>
    <x v="17"/>
    <n v="632"/>
    <x v="0"/>
  </r>
  <r>
    <d v="2024-09-26T00:00:00"/>
    <s v="Child"/>
    <x v="5"/>
    <n v="421"/>
    <n v="13"/>
    <n v="14"/>
    <n v="12"/>
    <n v="460"/>
    <x v="17"/>
    <n v="26"/>
    <x v="0"/>
  </r>
  <r>
    <d v="2024-09-26T00:00:00"/>
    <s v="Child"/>
    <x v="19"/>
    <n v="709"/>
    <n v="389"/>
    <n v="75"/>
    <n v="30"/>
    <n v="1203"/>
    <x v="17"/>
    <n v="105"/>
    <x v="0"/>
  </r>
  <r>
    <d v="2024-09-26T00:00:00"/>
    <s v="Child"/>
    <x v="34"/>
    <n v="2612"/>
    <n v="1137"/>
    <n v="312"/>
    <n v="88"/>
    <n v="4149"/>
    <x v="17"/>
    <n v="400"/>
    <x v="0"/>
  </r>
  <r>
    <d v="2024-09-26T00:00:00"/>
    <s v="Child"/>
    <x v="42"/>
    <n v="2038"/>
    <n v="1062"/>
    <n v="451"/>
    <n v="345"/>
    <n v="3895"/>
    <x v="17"/>
    <n v="796"/>
    <x v="0"/>
  </r>
  <r>
    <d v="2024-10-31T00:00:00"/>
    <s v="Child"/>
    <x v="39"/>
    <n v="18802"/>
    <n v="10130"/>
    <n v="5642"/>
    <n v="4535"/>
    <n v="39109"/>
    <x v="34"/>
    <n v="10177"/>
    <x v="0"/>
  </r>
  <r>
    <d v="2024-10-31T00:00:00"/>
    <s v="Child"/>
    <x v="40"/>
    <n v="3250"/>
    <n v="1584"/>
    <n v="492"/>
    <n v="440"/>
    <n v="5766"/>
    <x v="34"/>
    <n v="932"/>
    <x v="0"/>
  </r>
  <r>
    <d v="2024-10-31T00:00:00"/>
    <s v="Child"/>
    <x v="41"/>
    <n v="2851"/>
    <n v="788"/>
    <n v="468"/>
    <n v="709"/>
    <n v="4817"/>
    <x v="34"/>
    <n v="1177"/>
    <x v="0"/>
  </r>
  <r>
    <d v="2024-10-31T00:00:00"/>
    <s v="Child"/>
    <x v="32"/>
    <n v="1019"/>
    <n v="357"/>
    <n v="184"/>
    <n v="88"/>
    <n v="1648"/>
    <x v="34"/>
    <n v="272"/>
    <x v="0"/>
  </r>
  <r>
    <d v="2024-10-31T00:00:00"/>
    <s v="Child"/>
    <x v="4"/>
    <n v="131"/>
    <n v="165"/>
    <n v="127"/>
    <n v="120"/>
    <n v="542"/>
    <x v="34"/>
    <n v="247"/>
    <x v="0"/>
  </r>
  <r>
    <d v="2024-10-31T00:00:00"/>
    <s v="Child"/>
    <x v="22"/>
    <n v="619"/>
    <n v="86"/>
    <n v="23"/>
    <n v="47"/>
    <n v="776"/>
    <x v="34"/>
    <n v="70"/>
    <x v="0"/>
  </r>
  <r>
    <d v="2024-10-31T00:00:00"/>
    <s v="Child"/>
    <x v="26"/>
    <n v="766"/>
    <n v="306"/>
    <n v="79"/>
    <n v="12"/>
    <n v="1163"/>
    <x v="34"/>
    <n v="91"/>
    <x v="0"/>
  </r>
  <r>
    <d v="2024-10-31T00:00:00"/>
    <s v="Child"/>
    <x v="20"/>
    <n v="813"/>
    <n v="464"/>
    <n v="175"/>
    <n v="39"/>
    <n v="1491"/>
    <x v="34"/>
    <n v="214"/>
    <x v="0"/>
  </r>
  <r>
    <d v="2024-10-31T00:00:00"/>
    <s v="Child"/>
    <x v="29"/>
    <n v="136"/>
    <n v="43"/>
    <n v="13"/>
    <n v="15"/>
    <n v="207"/>
    <x v="34"/>
    <n v="28"/>
    <x v="0"/>
  </r>
  <r>
    <d v="2024-10-31T00:00:00"/>
    <s v="Child"/>
    <x v="27"/>
    <n v="1885"/>
    <n v="1194"/>
    <n v="393"/>
    <n v="4"/>
    <n v="3475"/>
    <x v="34"/>
    <n v="397"/>
    <x v="0"/>
  </r>
  <r>
    <d v="2024-10-31T00:00:00"/>
    <s v="Child"/>
    <x v="21"/>
    <n v="426"/>
    <n v="16"/>
    <n v="3"/>
    <n v="1"/>
    <n v="446"/>
    <x v="34"/>
    <n v="4"/>
    <x v="0"/>
  </r>
  <r>
    <d v="2024-10-31T00:00:00"/>
    <s v="Child"/>
    <x v="7"/>
    <n v="121"/>
    <n v="72"/>
    <n v="18"/>
    <n v="13"/>
    <n v="224"/>
    <x v="34"/>
    <n v="31"/>
    <x v="0"/>
  </r>
  <r>
    <d v="2024-10-31T00:00:00"/>
    <s v="Child"/>
    <x v="38"/>
    <n v="251"/>
    <n v="166"/>
    <n v="120"/>
    <n v="64"/>
    <n v="601"/>
    <x v="34"/>
    <n v="184"/>
    <x v="0"/>
  </r>
  <r>
    <d v="2024-10-31T00:00:00"/>
    <s v="Child"/>
    <x v="35"/>
    <n v="1181"/>
    <n v="199"/>
    <n v="68"/>
    <n v="90"/>
    <n v="1537"/>
    <x v="34"/>
    <n v="158"/>
    <x v="0"/>
  </r>
  <r>
    <d v="2024-10-31T00:00:00"/>
    <s v="Child"/>
    <x v="36"/>
    <n v="1665"/>
    <n v="711"/>
    <n v="287"/>
    <n v="331"/>
    <n v="2994"/>
    <x v="34"/>
    <n v="618"/>
    <x v="0"/>
  </r>
  <r>
    <d v="2024-10-31T00:00:00"/>
    <s v="Child"/>
    <x v="5"/>
    <n v="353"/>
    <n v="22"/>
    <n v="11"/>
    <n v="11"/>
    <n v="397"/>
    <x v="34"/>
    <n v="22"/>
    <x v="0"/>
  </r>
  <r>
    <d v="2024-10-31T00:00:00"/>
    <s v="Child"/>
    <x v="19"/>
    <n v="690"/>
    <n v="427"/>
    <n v="77"/>
    <n v="38"/>
    <n v="1232"/>
    <x v="34"/>
    <n v="115"/>
    <x v="0"/>
  </r>
  <r>
    <d v="2024-10-31T00:00:00"/>
    <s v="Child"/>
    <x v="34"/>
    <n v="2533"/>
    <n v="1213"/>
    <n v="293"/>
    <n v="129"/>
    <n v="4168"/>
    <x v="34"/>
    <n v="422"/>
    <x v="0"/>
  </r>
  <r>
    <d v="2024-10-31T00:00:00"/>
    <s v="Child"/>
    <x v="42"/>
    <n v="1992"/>
    <n v="1096"/>
    <n v="439"/>
    <n v="348"/>
    <n v="3875"/>
    <x v="34"/>
    <n v="787"/>
    <x v="0"/>
  </r>
  <r>
    <d v="2024-11-28T00:00:00"/>
    <s v="Child"/>
    <x v="39"/>
    <n v="18332"/>
    <n v="9895"/>
    <n v="5092"/>
    <n v="4006"/>
    <n v="37325"/>
    <x v="3"/>
    <n v="9098"/>
    <x v="0"/>
  </r>
  <r>
    <d v="2024-11-28T00:00:00"/>
    <s v="Child"/>
    <x v="40"/>
    <n v="3008"/>
    <n v="1314"/>
    <n v="254"/>
    <n v="131"/>
    <n v="4707"/>
    <x v="3"/>
    <n v="385"/>
    <x v="0"/>
  </r>
  <r>
    <d v="2024-11-28T00:00:00"/>
    <s v="Child"/>
    <x v="41"/>
    <n v="2753"/>
    <n v="804"/>
    <n v="477"/>
    <n v="708"/>
    <n v="4742"/>
    <x v="3"/>
    <n v="1185"/>
    <x v="0"/>
  </r>
  <r>
    <d v="2024-11-28T00:00:00"/>
    <s v="Child"/>
    <x v="32"/>
    <n v="1001"/>
    <n v="353"/>
    <n v="171"/>
    <n v="85"/>
    <n v="1610"/>
    <x v="3"/>
    <n v="256"/>
    <x v="0"/>
  </r>
  <r>
    <d v="2024-11-28T00:00:00"/>
    <s v="Child"/>
    <x v="4"/>
    <n v="137"/>
    <n v="167"/>
    <n v="110"/>
    <n v="143"/>
    <n v="556"/>
    <x v="3"/>
    <n v="253"/>
    <x v="0"/>
  </r>
  <r>
    <d v="2024-11-28T00:00:00"/>
    <s v="Child"/>
    <x v="22"/>
    <n v="635"/>
    <n v="102"/>
    <n v="19"/>
    <n v="50"/>
    <n v="806"/>
    <x v="3"/>
    <n v="69"/>
    <x v="0"/>
  </r>
  <r>
    <d v="2024-11-28T00:00:00"/>
    <s v="Child"/>
    <x v="26"/>
    <n v="725"/>
    <n v="279"/>
    <n v="88"/>
    <n v="7"/>
    <n v="1098"/>
    <x v="3"/>
    <n v="95"/>
    <x v="0"/>
  </r>
  <r>
    <d v="2024-11-28T00:00:00"/>
    <s v="Child"/>
    <x v="20"/>
    <n v="794"/>
    <n v="479"/>
    <n v="182"/>
    <n v="36"/>
    <n v="1490"/>
    <x v="3"/>
    <n v="218"/>
    <x v="0"/>
  </r>
  <r>
    <d v="2024-11-28T00:00:00"/>
    <s v="Child"/>
    <x v="29"/>
    <n v="101"/>
    <n v="46"/>
    <n v="16"/>
    <n v="17"/>
    <n v="180"/>
    <x v="3"/>
    <n v="33"/>
    <x v="0"/>
  </r>
  <r>
    <d v="2024-11-28T00:00:00"/>
    <s v="Child"/>
    <x v="27"/>
    <n v="1955"/>
    <n v="1205"/>
    <n v="412"/>
    <n v="7"/>
    <n v="3579"/>
    <x v="3"/>
    <n v="419"/>
    <x v="0"/>
  </r>
  <r>
    <d v="2024-11-28T00:00:00"/>
    <s v="Child"/>
    <x v="7"/>
    <n v="120"/>
    <n v="89"/>
    <n v="15"/>
    <n v="12"/>
    <n v="235"/>
    <x v="3"/>
    <n v="27"/>
    <x v="0"/>
  </r>
  <r>
    <d v="2024-11-28T00:00:00"/>
    <s v="Child"/>
    <x v="38"/>
    <n v="211"/>
    <n v="173"/>
    <n v="111"/>
    <n v="73"/>
    <n v="568"/>
    <x v="3"/>
    <n v="184"/>
    <x v="0"/>
  </r>
  <r>
    <d v="2024-11-28T00:00:00"/>
    <s v="Child"/>
    <x v="35"/>
    <n v="1094"/>
    <n v="201"/>
    <n v="70"/>
    <n v="96"/>
    <n v="1462"/>
    <x v="3"/>
    <n v="166"/>
    <x v="0"/>
  </r>
  <r>
    <d v="2024-11-28T00:00:00"/>
    <s v="Child"/>
    <x v="36"/>
    <n v="1609"/>
    <n v="1001"/>
    <n v="442"/>
    <n v="617"/>
    <n v="3669"/>
    <x v="3"/>
    <n v="1059"/>
    <x v="0"/>
  </r>
  <r>
    <d v="2024-11-28T00:00:00"/>
    <s v="Child"/>
    <x v="5"/>
    <n v="358"/>
    <n v="19"/>
    <n v="10"/>
    <n v="5"/>
    <n v="392"/>
    <x v="3"/>
    <n v="15"/>
    <x v="0"/>
  </r>
  <r>
    <d v="2024-11-28T00:00:00"/>
    <s v="Child"/>
    <x v="19"/>
    <n v="682"/>
    <n v="453"/>
    <n v="79"/>
    <n v="44"/>
    <n v="1258"/>
    <x v="3"/>
    <n v="123"/>
    <x v="0"/>
  </r>
  <r>
    <d v="2024-11-28T00:00:00"/>
    <s v="Child"/>
    <x v="34"/>
    <n v="2610"/>
    <n v="1170"/>
    <n v="304"/>
    <n v="149"/>
    <n v="4232"/>
    <x v="3"/>
    <n v="453"/>
    <x v="0"/>
  </r>
  <r>
    <d v="2024-11-28T00:00:00"/>
    <s v="Child"/>
    <x v="42"/>
    <n v="1863"/>
    <n v="1079"/>
    <n v="403"/>
    <n v="354"/>
    <n v="3698"/>
    <x v="3"/>
    <n v="757"/>
    <x v="0"/>
  </r>
  <r>
    <d v="2024-12-19T00:00:00"/>
    <s v="Child"/>
    <x v="16"/>
    <n v="488"/>
    <n v="172"/>
    <n v="3"/>
    <n v="3"/>
    <n v="665"/>
    <x v="4"/>
    <n v="6"/>
    <x v="0"/>
  </r>
  <r>
    <d v="2024-12-19T00:00:00"/>
    <s v="Child"/>
    <x v="39"/>
    <n v="18313"/>
    <n v="9612"/>
    <n v="4647"/>
    <n v="3449"/>
    <n v="36021"/>
    <x v="4"/>
    <n v="8096"/>
    <x v="0"/>
  </r>
  <r>
    <d v="2024-12-19T00:00:00"/>
    <s v="Child"/>
    <x v="40"/>
    <n v="2921"/>
    <n v="1187"/>
    <n v="169"/>
    <n v="121"/>
    <n v="4398"/>
    <x v="4"/>
    <n v="290"/>
    <x v="0"/>
  </r>
  <r>
    <d v="2024-12-19T00:00:00"/>
    <s v="Child"/>
    <x v="3"/>
    <n v="196"/>
    <n v="24"/>
    <n v="3"/>
    <n v="3"/>
    <n v="225"/>
    <x v="4"/>
    <n v="6"/>
    <x v="0"/>
  </r>
  <r>
    <d v="2024-12-19T00:00:00"/>
    <s v="Child"/>
    <x v="41"/>
    <n v="2683"/>
    <n v="696"/>
    <n v="453"/>
    <n v="678"/>
    <n v="4510"/>
    <x v="4"/>
    <n v="1131"/>
    <x v="0"/>
  </r>
  <r>
    <d v="2024-12-19T00:00:00"/>
    <s v="Child"/>
    <x v="32"/>
    <n v="991"/>
    <n v="333"/>
    <n v="165"/>
    <n v="71"/>
    <n v="1560"/>
    <x v="4"/>
    <n v="236"/>
    <x v="0"/>
  </r>
  <r>
    <d v="2024-12-19T00:00:00"/>
    <s v="Child"/>
    <x v="4"/>
    <n v="116"/>
    <n v="150"/>
    <n v="124"/>
    <n v="154"/>
    <n v="545"/>
    <x v="4"/>
    <n v="278"/>
    <x v="0"/>
  </r>
  <r>
    <d v="2024-12-19T00:00:00"/>
    <s v="Child"/>
    <x v="22"/>
    <n v="664"/>
    <n v="109"/>
    <n v="19"/>
    <n v="31"/>
    <n v="824"/>
    <x v="4"/>
    <n v="50"/>
    <x v="0"/>
  </r>
  <r>
    <d v="2024-12-19T00:00:00"/>
    <s v="Child"/>
    <x v="20"/>
    <n v="896"/>
    <n v="488"/>
    <n v="190"/>
    <n v="38"/>
    <n v="1612"/>
    <x v="4"/>
    <n v="228"/>
    <x v="0"/>
  </r>
  <r>
    <d v="2024-12-19T00:00:00"/>
    <s v="Child"/>
    <x v="29"/>
    <n v="119"/>
    <n v="44"/>
    <n v="18"/>
    <n v="12"/>
    <n v="193"/>
    <x v="4"/>
    <n v="30"/>
    <x v="0"/>
  </r>
  <r>
    <d v="2024-12-19T00:00:00"/>
    <s v="Child"/>
    <x v="7"/>
    <n v="154"/>
    <n v="77"/>
    <n v="25"/>
    <n v="11"/>
    <n v="267"/>
    <x v="4"/>
    <n v="36"/>
    <x v="0"/>
  </r>
  <r>
    <d v="2024-12-19T00:00:00"/>
    <s v="Child"/>
    <x v="38"/>
    <n v="207"/>
    <n v="174"/>
    <n v="112"/>
    <n v="75"/>
    <n v="568"/>
    <x v="4"/>
    <n v="187"/>
    <x v="0"/>
  </r>
  <r>
    <d v="2024-12-19T00:00:00"/>
    <s v="Child"/>
    <x v="35"/>
    <n v="1012"/>
    <n v="217"/>
    <n v="73"/>
    <n v="102"/>
    <n v="1404"/>
    <x v="4"/>
    <n v="175"/>
    <x v="0"/>
  </r>
  <r>
    <d v="2024-12-19T00:00:00"/>
    <s v="Child"/>
    <x v="36"/>
    <n v="1597"/>
    <n v="947"/>
    <n v="449"/>
    <n v="563"/>
    <n v="3556"/>
    <x v="4"/>
    <n v="1012"/>
    <x v="0"/>
  </r>
  <r>
    <d v="2024-12-19T00:00:00"/>
    <s v="Child"/>
    <x v="5"/>
    <n v="358"/>
    <n v="21"/>
    <n v="4"/>
    <n v="6"/>
    <n v="389"/>
    <x v="4"/>
    <n v="10"/>
    <x v="0"/>
  </r>
  <r>
    <d v="2024-12-19T00:00:00"/>
    <s v="Child"/>
    <x v="19"/>
    <n v="666"/>
    <n v="455"/>
    <n v="84"/>
    <n v="52"/>
    <n v="1257"/>
    <x v="4"/>
    <n v="136"/>
    <x v="0"/>
  </r>
  <r>
    <d v="2024-12-19T00:00:00"/>
    <s v="Child"/>
    <x v="34"/>
    <n v="2610"/>
    <n v="1183"/>
    <n v="308"/>
    <n v="169"/>
    <n v="4270"/>
    <x v="4"/>
    <n v="477"/>
    <x v="0"/>
  </r>
  <r>
    <d v="2024-12-19T00:00:00"/>
    <s v="Child"/>
    <x v="42"/>
    <n v="1859"/>
    <n v="1028"/>
    <n v="398"/>
    <n v="340"/>
    <n v="3625"/>
    <x v="4"/>
    <n v="738"/>
    <x v="0"/>
  </r>
  <r>
    <d v="2025-01-30T00:00:00"/>
    <s v="Child"/>
    <x v="39"/>
    <n v="18285"/>
    <n v="10221"/>
    <n v="4514"/>
    <n v="3515"/>
    <n v="36535"/>
    <x v="18"/>
    <n v="8029"/>
    <x v="0"/>
  </r>
  <r>
    <d v="2025-01-30T00:00:00"/>
    <s v="Child"/>
    <x v="40"/>
    <n v="2752"/>
    <n v="1222"/>
    <n v="219"/>
    <n v="138"/>
    <n v="4331"/>
    <x v="18"/>
    <n v="357"/>
    <x v="0"/>
  </r>
  <r>
    <d v="2025-01-30T00:00:00"/>
    <s v="Child"/>
    <x v="3"/>
    <n v="186"/>
    <n v="23"/>
    <n v="5"/>
    <n v="3"/>
    <n v="216"/>
    <x v="18"/>
    <n v="8"/>
    <x v="0"/>
  </r>
  <r>
    <d v="2025-01-30T00:00:00"/>
    <s v="Child"/>
    <x v="41"/>
    <n v="2785"/>
    <n v="870"/>
    <n v="434"/>
    <n v="726"/>
    <n v="4816"/>
    <x v="18"/>
    <n v="1160"/>
    <x v="0"/>
  </r>
  <r>
    <d v="2025-01-30T00:00:00"/>
    <s v="Child"/>
    <x v="32"/>
    <n v="980"/>
    <n v="362"/>
    <n v="172"/>
    <n v="98"/>
    <n v="1612"/>
    <x v="18"/>
    <n v="270"/>
    <x v="0"/>
  </r>
  <r>
    <d v="2025-01-30T00:00:00"/>
    <s v="Child"/>
    <x v="4"/>
    <n v="115"/>
    <n v="136"/>
    <n v="126"/>
    <n v="182"/>
    <n v="559"/>
    <x v="18"/>
    <n v="308"/>
    <x v="0"/>
  </r>
  <r>
    <d v="2025-01-30T00:00:00"/>
    <s v="Child"/>
    <x v="22"/>
    <n v="680"/>
    <n v="143"/>
    <n v="20"/>
    <n v="33"/>
    <n v="876"/>
    <x v="18"/>
    <n v="53"/>
    <x v="0"/>
  </r>
  <r>
    <d v="2025-01-30T00:00:00"/>
    <s v="Child"/>
    <x v="20"/>
    <n v="864"/>
    <n v="514"/>
    <n v="212"/>
    <n v="49"/>
    <n v="1640"/>
    <x v="18"/>
    <n v="261"/>
    <x v="0"/>
  </r>
  <r>
    <d v="2025-01-30T00:00:00"/>
    <s v="Child"/>
    <x v="29"/>
    <n v="98"/>
    <n v="48"/>
    <n v="20"/>
    <n v="12"/>
    <n v="178"/>
    <x v="18"/>
    <n v="32"/>
    <x v="0"/>
  </r>
  <r>
    <d v="2025-01-30T00:00:00"/>
    <s v="Child"/>
    <x v="7"/>
    <n v="97"/>
    <n v="80"/>
    <n v="29"/>
    <n v="8"/>
    <n v="214"/>
    <x v="18"/>
    <n v="37"/>
    <x v="0"/>
  </r>
  <r>
    <d v="2025-01-30T00:00:00"/>
    <s v="Child"/>
    <x v="38"/>
    <n v="204"/>
    <n v="166"/>
    <n v="105"/>
    <n v="78"/>
    <n v="553"/>
    <x v="18"/>
    <n v="183"/>
    <x v="0"/>
  </r>
  <r>
    <d v="2025-01-30T00:00:00"/>
    <s v="Child"/>
    <x v="35"/>
    <n v="1037"/>
    <n v="253"/>
    <n v="73"/>
    <n v="110"/>
    <n v="1473"/>
    <x v="18"/>
    <n v="183"/>
    <x v="0"/>
  </r>
  <r>
    <d v="2025-01-30T00:00:00"/>
    <s v="Child"/>
    <x v="36"/>
    <n v="1575"/>
    <n v="952"/>
    <n v="442"/>
    <n v="511"/>
    <n v="3480"/>
    <x v="18"/>
    <n v="953"/>
    <x v="0"/>
  </r>
  <r>
    <d v="2025-01-30T00:00:00"/>
    <s v="Child"/>
    <x v="5"/>
    <n v="375"/>
    <n v="14"/>
    <n v="4"/>
    <n v="8"/>
    <n v="401"/>
    <x v="18"/>
    <n v="12"/>
    <x v="0"/>
  </r>
  <r>
    <d v="2025-01-30T00:00:00"/>
    <s v="Child"/>
    <x v="19"/>
    <n v="704"/>
    <n v="479"/>
    <n v="99"/>
    <n v="6"/>
    <n v="1288"/>
    <x v="18"/>
    <n v="105"/>
    <x v="0"/>
  </r>
  <r>
    <d v="2025-01-30T00:00:00"/>
    <s v="Child"/>
    <x v="34"/>
    <n v="2530"/>
    <n v="1132"/>
    <n v="334"/>
    <n v="195"/>
    <n v="4191"/>
    <x v="18"/>
    <n v="529"/>
    <x v="0"/>
  </r>
  <r>
    <d v="2025-01-30T00:00:00"/>
    <s v="Child"/>
    <x v="42"/>
    <n v="1855"/>
    <n v="1058"/>
    <n v="430"/>
    <n v="298"/>
    <n v="3640"/>
    <x v="18"/>
    <n v="728"/>
    <x v="0"/>
  </r>
  <r>
    <d v="2025-02-27T00:00:00"/>
    <s v="Child"/>
    <x v="39"/>
    <n v="18256"/>
    <n v="9740"/>
    <n v="4620"/>
    <n v="3496"/>
    <n v="36113"/>
    <x v="35"/>
    <n v="8116"/>
    <x v="0"/>
  </r>
  <r>
    <d v="2025-02-27T00:00:00"/>
    <s v="Child"/>
    <x v="40"/>
    <n v="2784"/>
    <n v="1130"/>
    <n v="285"/>
    <n v="141"/>
    <n v="4339"/>
    <x v="35"/>
    <n v="426"/>
    <x v="0"/>
  </r>
  <r>
    <d v="2025-02-27T00:00:00"/>
    <s v="Child"/>
    <x v="41"/>
    <n v="2848"/>
    <n v="834"/>
    <n v="441"/>
    <n v="751"/>
    <n v="4874"/>
    <x v="35"/>
    <n v="1192"/>
    <x v="0"/>
  </r>
  <r>
    <d v="2025-02-27T00:00:00"/>
    <s v="Child"/>
    <x v="32"/>
    <n v="1046"/>
    <n v="299"/>
    <n v="193"/>
    <n v="81"/>
    <n v="1620"/>
    <x v="35"/>
    <n v="274"/>
    <x v="0"/>
  </r>
  <r>
    <d v="2025-02-27T00:00:00"/>
    <s v="Child"/>
    <x v="4"/>
    <n v="120"/>
    <n v="115"/>
    <n v="130"/>
    <n v="190"/>
    <n v="555"/>
    <x v="35"/>
    <n v="320"/>
    <x v="0"/>
  </r>
  <r>
    <d v="2025-02-27T00:00:00"/>
    <s v="Child"/>
    <x v="22"/>
    <n v="702"/>
    <n v="149"/>
    <n v="27"/>
    <n v="33"/>
    <n v="910"/>
    <x v="35"/>
    <n v="60"/>
    <x v="0"/>
  </r>
  <r>
    <d v="2025-02-27T00:00:00"/>
    <s v="Child"/>
    <x v="26"/>
    <n v="764"/>
    <n v="265"/>
    <n v="69"/>
    <n v="1"/>
    <n v="1100"/>
    <x v="35"/>
    <n v="70"/>
    <x v="0"/>
  </r>
  <r>
    <d v="2025-02-27T00:00:00"/>
    <s v="Child"/>
    <x v="20"/>
    <n v="864"/>
    <n v="517"/>
    <n v="270"/>
    <n v="53"/>
    <n v="1704"/>
    <x v="35"/>
    <n v="323"/>
    <x v="0"/>
  </r>
  <r>
    <d v="2025-02-27T00:00:00"/>
    <s v="Child"/>
    <x v="29"/>
    <n v="114"/>
    <n v="54"/>
    <n v="16"/>
    <n v="13"/>
    <n v="197"/>
    <x v="35"/>
    <n v="29"/>
    <x v="0"/>
  </r>
  <r>
    <d v="2025-02-27T00:00:00"/>
    <s v="Child"/>
    <x v="11"/>
    <n v="16"/>
    <n v="1"/>
    <n v="1"/>
    <n v="1"/>
    <n v="19"/>
    <x v="35"/>
    <n v="2"/>
    <x v="0"/>
  </r>
  <r>
    <d v="2025-02-27T00:00:00"/>
    <s v="Child"/>
    <x v="27"/>
    <n v="1922"/>
    <n v="1223"/>
    <n v="625"/>
    <n v="5"/>
    <n v="3774"/>
    <x v="35"/>
    <n v="630"/>
    <x v="0"/>
  </r>
  <r>
    <d v="2025-02-27T00:00:00"/>
    <s v="Child"/>
    <x v="38"/>
    <n v="213"/>
    <n v="169"/>
    <n v="108"/>
    <n v="78"/>
    <n v="568"/>
    <x v="35"/>
    <n v="186"/>
    <x v="0"/>
  </r>
  <r>
    <d v="2025-02-27T00:00:00"/>
    <s v="Child"/>
    <x v="35"/>
    <n v="1169"/>
    <n v="259"/>
    <n v="80"/>
    <n v="111"/>
    <n v="1619"/>
    <x v="35"/>
    <n v="191"/>
    <x v="0"/>
  </r>
  <r>
    <d v="2025-02-27T00:00:00"/>
    <s v="Child"/>
    <x v="36"/>
    <n v="1647"/>
    <n v="910"/>
    <n v="487"/>
    <n v="538"/>
    <n v="3582"/>
    <x v="35"/>
    <n v="1025"/>
    <x v="0"/>
  </r>
  <r>
    <d v="2025-02-27T00:00:00"/>
    <s v="Child"/>
    <x v="5"/>
    <n v="430"/>
    <n v="14"/>
    <n v="4"/>
    <n v="10"/>
    <n v="458"/>
    <x v="35"/>
    <n v="14"/>
    <x v="0"/>
  </r>
  <r>
    <d v="2025-02-27T00:00:00"/>
    <s v="Child"/>
    <x v="8"/>
    <n v="332"/>
    <n v="46"/>
    <n v="15"/>
    <n v="1"/>
    <n v="395"/>
    <x v="35"/>
    <n v="16"/>
    <x v="0"/>
  </r>
  <r>
    <d v="2025-02-27T00:00:00"/>
    <s v="Child"/>
    <x v="19"/>
    <n v="712"/>
    <n v="455"/>
    <n v="116"/>
    <n v="7"/>
    <n v="1290"/>
    <x v="35"/>
    <n v="123"/>
    <x v="0"/>
  </r>
  <r>
    <d v="2025-02-27T00:00:00"/>
    <s v="Child"/>
    <x v="34"/>
    <n v="2474"/>
    <n v="1135"/>
    <n v="383"/>
    <n v="205"/>
    <n v="4197"/>
    <x v="35"/>
    <n v="588"/>
    <x v="0"/>
  </r>
  <r>
    <d v="2025-02-27T00:00:00"/>
    <s v="Child"/>
    <x v="42"/>
    <n v="1842"/>
    <n v="1041"/>
    <n v="489"/>
    <n v="321"/>
    <n v="3693"/>
    <x v="35"/>
    <n v="810"/>
    <x v="0"/>
  </r>
  <r>
    <d v="2025-03-27T00:00:00"/>
    <s v="Child"/>
    <x v="39"/>
    <n v="18585"/>
    <n v="9230"/>
    <n v="4344"/>
    <n v="3521"/>
    <n v="35680"/>
    <x v="19"/>
    <n v="7865"/>
    <x v="0"/>
  </r>
  <r>
    <d v="2025-03-27T00:00:00"/>
    <s v="Child"/>
    <x v="40"/>
    <n v="2912"/>
    <n v="1127"/>
    <n v="334"/>
    <n v="149"/>
    <n v="4522"/>
    <x v="19"/>
    <n v="483"/>
    <x v="0"/>
  </r>
  <r>
    <d v="2025-03-27T00:00:00"/>
    <s v="Child"/>
    <x v="41"/>
    <n v="2906"/>
    <n v="836"/>
    <n v="413"/>
    <n v="795"/>
    <n v="4950"/>
    <x v="19"/>
    <n v="1208"/>
    <x v="0"/>
  </r>
  <r>
    <d v="2025-03-27T00:00:00"/>
    <s v="Child"/>
    <x v="32"/>
    <n v="1114"/>
    <n v="270"/>
    <n v="205"/>
    <n v="70"/>
    <n v="1659"/>
    <x v="19"/>
    <n v="275"/>
    <x v="0"/>
  </r>
  <r>
    <d v="2025-03-27T00:00:00"/>
    <s v="Child"/>
    <x v="4"/>
    <n v="115"/>
    <n v="83"/>
    <n v="139"/>
    <n v="198"/>
    <n v="535"/>
    <x v="19"/>
    <n v="337"/>
    <x v="0"/>
  </r>
  <r>
    <d v="2025-03-27T00:00:00"/>
    <s v="Child"/>
    <x v="22"/>
    <n v="747"/>
    <n v="159"/>
    <n v="30"/>
    <n v="34"/>
    <n v="970"/>
    <x v="19"/>
    <n v="64"/>
    <x v="0"/>
  </r>
  <r>
    <d v="2025-03-27T00:00:00"/>
    <s v="Child"/>
    <x v="20"/>
    <n v="896"/>
    <n v="507"/>
    <n v="304"/>
    <n v="68"/>
    <n v="1775"/>
    <x v="19"/>
    <n v="372"/>
    <x v="0"/>
  </r>
  <r>
    <d v="2025-03-27T00:00:00"/>
    <s v="Child"/>
    <x v="29"/>
    <n v="114"/>
    <n v="46"/>
    <n v="18"/>
    <n v="11"/>
    <n v="189"/>
    <x v="19"/>
    <n v="29"/>
    <x v="0"/>
  </r>
  <r>
    <d v="2025-03-27T00:00:00"/>
    <s v="Child"/>
    <x v="11"/>
    <n v="16"/>
    <n v="3"/>
    <n v="0"/>
    <n v="1"/>
    <n v="20"/>
    <x v="19"/>
    <n v="1"/>
    <x v="0"/>
  </r>
  <r>
    <d v="2025-03-27T00:00:00"/>
    <s v="Child"/>
    <x v="27"/>
    <n v="1990"/>
    <n v="1265"/>
    <n v="628"/>
    <n v="45"/>
    <n v="3927"/>
    <x v="19"/>
    <n v="673"/>
    <x v="0"/>
  </r>
  <r>
    <d v="2025-03-27T00:00:00"/>
    <s v="Child"/>
    <x v="38"/>
    <n v="223"/>
    <n v="148"/>
    <n v="115"/>
    <n v="89"/>
    <n v="575"/>
    <x v="19"/>
    <n v="204"/>
    <x v="0"/>
  </r>
  <r>
    <d v="2025-03-27T00:00:00"/>
    <s v="Child"/>
    <x v="35"/>
    <n v="1143"/>
    <n v="237"/>
    <n v="78"/>
    <n v="124"/>
    <n v="1582"/>
    <x v="19"/>
    <n v="202"/>
    <x v="0"/>
  </r>
  <r>
    <d v="2025-03-27T00:00:00"/>
    <s v="Child"/>
    <x v="36"/>
    <n v="1715"/>
    <n v="866"/>
    <n v="480"/>
    <n v="507"/>
    <n v="3568"/>
    <x v="19"/>
    <n v="987"/>
    <x v="0"/>
  </r>
  <r>
    <d v="2025-03-27T00:00:00"/>
    <s v="Child"/>
    <x v="5"/>
    <n v="407"/>
    <n v="23"/>
    <n v="6"/>
    <n v="10"/>
    <n v="445"/>
    <x v="19"/>
    <n v="16"/>
    <x v="0"/>
  </r>
  <r>
    <d v="2025-03-27T00:00:00"/>
    <s v="Child"/>
    <x v="19"/>
    <n v="690"/>
    <n v="450"/>
    <n v="123"/>
    <n v="9"/>
    <n v="1272"/>
    <x v="19"/>
    <n v="132"/>
    <x v="0"/>
  </r>
  <r>
    <d v="2025-03-27T00:00:00"/>
    <s v="Child"/>
    <x v="34"/>
    <n v="2455"/>
    <n v="1152"/>
    <n v="440"/>
    <n v="218"/>
    <n v="4265"/>
    <x v="19"/>
    <n v="658"/>
    <x v="0"/>
  </r>
  <r>
    <d v="2025-03-27T00:00:00"/>
    <s v="Child"/>
    <x v="42"/>
    <n v="1877"/>
    <n v="1008"/>
    <n v="506"/>
    <n v="321"/>
    <n v="3712"/>
    <x v="19"/>
    <n v="827"/>
    <x v="0"/>
  </r>
  <r>
    <d v="2025-04-24T00:00:00"/>
    <s v="Child"/>
    <x v="39"/>
    <n v="18290"/>
    <n v="8966"/>
    <n v="4227"/>
    <n v="3408"/>
    <n v="34890"/>
    <x v="5"/>
    <n v="7635"/>
    <x v="0"/>
  </r>
  <r>
    <d v="2025-04-24T00:00:00"/>
    <s v="Child"/>
    <x v="40"/>
    <n v="3033"/>
    <n v="1099"/>
    <n v="354"/>
    <n v="141"/>
    <n v="4627"/>
    <x v="5"/>
    <n v="495"/>
    <x v="0"/>
  </r>
  <r>
    <d v="2025-04-24T00:00:00"/>
    <s v="Child"/>
    <x v="41"/>
    <n v="2853"/>
    <n v="814"/>
    <n v="369"/>
    <n v="712"/>
    <n v="4748"/>
    <x v="5"/>
    <n v="1081"/>
    <x v="0"/>
  </r>
  <r>
    <d v="2025-04-24T00:00:00"/>
    <s v="Child"/>
    <x v="32"/>
    <n v="1170"/>
    <n v="261"/>
    <n v="196"/>
    <n v="73"/>
    <n v="1700"/>
    <x v="5"/>
    <n v="269"/>
    <x v="0"/>
  </r>
  <r>
    <d v="2025-04-24T00:00:00"/>
    <s v="Child"/>
    <x v="4"/>
    <n v="131"/>
    <n v="73"/>
    <n v="135"/>
    <n v="203"/>
    <n v="541"/>
    <x v="5"/>
    <n v="338"/>
    <x v="0"/>
  </r>
  <r>
    <d v="2025-04-24T00:00:00"/>
    <s v="Child"/>
    <x v="22"/>
    <n v="748"/>
    <n v="178"/>
    <n v="26"/>
    <n v="38"/>
    <n v="990"/>
    <x v="5"/>
    <n v="64"/>
    <x v="0"/>
  </r>
  <r>
    <d v="2025-04-24T00:00:00"/>
    <s v="Child"/>
    <x v="20"/>
    <n v="844"/>
    <n v="491"/>
    <n v="307"/>
    <n v="65"/>
    <n v="1707"/>
    <x v="5"/>
    <n v="372"/>
    <x v="0"/>
  </r>
  <r>
    <d v="2025-04-24T00:00:00"/>
    <s v="Child"/>
    <x v="29"/>
    <n v="118"/>
    <n v="49"/>
    <n v="19"/>
    <n v="13"/>
    <n v="199"/>
    <x v="5"/>
    <n v="32"/>
    <x v="0"/>
  </r>
  <r>
    <d v="2025-04-24T00:00:00"/>
    <s v="Child"/>
    <x v="27"/>
    <n v="1887"/>
    <n v="1184"/>
    <n v="601"/>
    <n v="86"/>
    <n v="3757"/>
    <x v="5"/>
    <n v="687"/>
    <x v="0"/>
  </r>
  <r>
    <d v="2025-04-24T00:00:00"/>
    <s v="Child"/>
    <x v="38"/>
    <n v="265"/>
    <n v="162"/>
    <n v="122"/>
    <n v="86"/>
    <n v="635"/>
    <x v="5"/>
    <n v="208"/>
    <x v="0"/>
  </r>
  <r>
    <d v="2025-04-24T00:00:00"/>
    <s v="Child"/>
    <x v="35"/>
    <n v="1161"/>
    <n v="182"/>
    <n v="74"/>
    <n v="135"/>
    <n v="1552"/>
    <x v="5"/>
    <n v="209"/>
    <x v="0"/>
  </r>
  <r>
    <d v="2025-04-24T00:00:00"/>
    <s v="Child"/>
    <x v="36"/>
    <n v="1737"/>
    <n v="874"/>
    <n v="462"/>
    <n v="524"/>
    <n v="3596"/>
    <x v="5"/>
    <n v="986"/>
    <x v="0"/>
  </r>
  <r>
    <d v="2025-04-24T00:00:00"/>
    <s v="Child"/>
    <x v="5"/>
    <n v="411"/>
    <n v="21"/>
    <n v="11"/>
    <n v="11"/>
    <n v="453"/>
    <x v="5"/>
    <n v="22"/>
    <x v="0"/>
  </r>
  <r>
    <d v="2025-04-24T00:00:00"/>
    <s v="Child"/>
    <x v="8"/>
    <n v="316"/>
    <n v="51"/>
    <n v="22"/>
    <n v="1"/>
    <n v="390"/>
    <x v="5"/>
    <n v="23"/>
    <x v="0"/>
  </r>
  <r>
    <d v="2025-04-24T00:00:00"/>
    <s v="Child"/>
    <x v="34"/>
    <n v="2461"/>
    <n v="1113"/>
    <n v="492"/>
    <n v="237"/>
    <n v="4303"/>
    <x v="5"/>
    <n v="729"/>
    <x v="0"/>
  </r>
  <r>
    <d v="2025-04-24T00:00:00"/>
    <s v="Child"/>
    <x v="42"/>
    <n v="1924"/>
    <n v="1005"/>
    <n v="506"/>
    <n v="338"/>
    <n v="3773"/>
    <x v="5"/>
    <n v="844"/>
    <x v="0"/>
  </r>
  <r>
    <d v="2025-05-29T00:00:00"/>
    <s v="Child"/>
    <x v="39"/>
    <n v="18510"/>
    <n v="8365"/>
    <n v="4148"/>
    <n v="3303"/>
    <n v="34325"/>
    <x v="20"/>
    <n v="7451"/>
    <x v="0"/>
  </r>
  <r>
    <d v="2025-05-29T00:00:00"/>
    <s v="Child"/>
    <x v="40"/>
    <n v="3072"/>
    <n v="959"/>
    <n v="364"/>
    <n v="120"/>
    <n v="4514"/>
    <x v="20"/>
    <n v="484"/>
    <x v="0"/>
  </r>
  <r>
    <d v="2025-05-29T00:00:00"/>
    <s v="Child"/>
    <x v="41"/>
    <n v="2907"/>
    <n v="877"/>
    <n v="303"/>
    <n v="761"/>
    <n v="4848"/>
    <x v="20"/>
    <n v="1064"/>
    <x v="0"/>
  </r>
  <r>
    <d v="2025-05-29T00:00:00"/>
    <s v="Child"/>
    <x v="32"/>
    <n v="1235"/>
    <n v="238"/>
    <n v="191"/>
    <n v="68"/>
    <n v="1732"/>
    <x v="20"/>
    <n v="259"/>
    <x v="0"/>
  </r>
  <r>
    <d v="2025-05-29T00:00:00"/>
    <s v="Child"/>
    <x v="4"/>
    <n v="156"/>
    <n v="64"/>
    <n v="126"/>
    <n v="187"/>
    <n v="533"/>
    <x v="20"/>
    <n v="313"/>
    <x v="0"/>
  </r>
  <r>
    <d v="2025-05-29T00:00:00"/>
    <s v="Child"/>
    <x v="22"/>
    <n v="783"/>
    <n v="192"/>
    <n v="41"/>
    <n v="38"/>
    <n v="1054"/>
    <x v="20"/>
    <n v="79"/>
    <x v="0"/>
  </r>
  <r>
    <d v="2025-05-29T00:00:00"/>
    <s v="Child"/>
    <x v="20"/>
    <n v="862"/>
    <n v="475"/>
    <n v="321"/>
    <n v="65"/>
    <n v="1722"/>
    <x v="20"/>
    <n v="386"/>
    <x v="0"/>
  </r>
  <r>
    <d v="2025-05-29T00:00:00"/>
    <s v="Child"/>
    <x v="29"/>
    <n v="117"/>
    <n v="54"/>
    <n v="19"/>
    <n v="12"/>
    <n v="202"/>
    <x v="20"/>
    <n v="31"/>
    <x v="0"/>
  </r>
  <r>
    <d v="2025-05-29T00:00:00"/>
    <s v="Child"/>
    <x v="11"/>
    <n v="19"/>
    <n v="1"/>
    <n v="0"/>
    <n v="1"/>
    <n v="22"/>
    <x v="20"/>
    <n v="1"/>
    <x v="0"/>
  </r>
  <r>
    <d v="2025-05-29T00:00:00"/>
    <s v="Child"/>
    <x v="27"/>
    <n v="1952"/>
    <n v="1191"/>
    <n v="661"/>
    <n v="141"/>
    <n v="3945"/>
    <x v="20"/>
    <n v="802"/>
    <x v="0"/>
  </r>
  <r>
    <d v="2025-05-29T00:00:00"/>
    <s v="Child"/>
    <x v="38"/>
    <n v="293"/>
    <n v="139"/>
    <n v="133"/>
    <n v="92"/>
    <n v="657"/>
    <x v="20"/>
    <n v="225"/>
    <x v="0"/>
  </r>
  <r>
    <d v="2025-05-29T00:00:00"/>
    <s v="Child"/>
    <x v="35"/>
    <n v="1185"/>
    <n v="152"/>
    <n v="70"/>
    <n v="145"/>
    <n v="1552"/>
    <x v="20"/>
    <n v="215"/>
    <x v="0"/>
  </r>
  <r>
    <d v="2025-05-29T00:00:00"/>
    <s v="Child"/>
    <x v="36"/>
    <n v="1778"/>
    <n v="799"/>
    <n v="480"/>
    <n v="482"/>
    <n v="3539"/>
    <x v="20"/>
    <n v="962"/>
    <x v="0"/>
  </r>
  <r>
    <d v="2025-05-29T00:00:00"/>
    <s v="Child"/>
    <x v="5"/>
    <n v="409"/>
    <n v="15"/>
    <n v="9"/>
    <n v="12"/>
    <n v="445"/>
    <x v="20"/>
    <n v="21"/>
    <x v="0"/>
  </r>
  <r>
    <d v="2025-05-29T00:00:00"/>
    <s v="Child"/>
    <x v="34"/>
    <n v="2381"/>
    <n v="1080"/>
    <n v="489"/>
    <n v="237"/>
    <n v="4187"/>
    <x v="20"/>
    <n v="726"/>
    <x v="0"/>
  </r>
  <r>
    <d v="2025-05-29T00:00:00"/>
    <s v="Child"/>
    <x v="42"/>
    <n v="1985"/>
    <n v="1011"/>
    <n v="514"/>
    <n v="350"/>
    <n v="3860"/>
    <x v="20"/>
    <n v="864"/>
    <x v="0"/>
  </r>
  <r>
    <d v="2025-06-26T00:00:00"/>
    <s v="Child"/>
    <x v="16"/>
    <n v="475"/>
    <n v="209"/>
    <n v="53"/>
    <n v="3"/>
    <n v="740"/>
    <x v="21"/>
    <n v="56"/>
    <x v="0"/>
  </r>
  <r>
    <d v="2025-06-26T00:00:00"/>
    <s v="Child"/>
    <x v="39"/>
    <n v="18396"/>
    <n v="8177"/>
    <n v="4118"/>
    <n v="3366"/>
    <n v="34057"/>
    <x v="21"/>
    <n v="7484"/>
    <x v="0"/>
  </r>
  <r>
    <d v="2025-06-26T00:00:00"/>
    <s v="Child"/>
    <x v="40"/>
    <n v="3166"/>
    <n v="895"/>
    <n v="321"/>
    <n v="135"/>
    <n v="4516"/>
    <x v="21"/>
    <n v="456"/>
    <x v="0"/>
  </r>
  <r>
    <d v="2025-06-26T00:00:00"/>
    <s v="Child"/>
    <x v="13"/>
    <n v="19"/>
    <n v="37"/>
    <n v="7"/>
    <n v="1"/>
    <n v="64"/>
    <x v="21"/>
    <n v="8"/>
    <x v="0"/>
  </r>
  <r>
    <d v="2025-06-26T00:00:00"/>
    <s v="Child"/>
    <x v="41"/>
    <n v="2876"/>
    <n v="949"/>
    <n v="320"/>
    <n v="763"/>
    <n v="4907"/>
    <x v="21"/>
    <n v="1083"/>
    <x v="0"/>
  </r>
  <r>
    <d v="2025-06-26T00:00:00"/>
    <s v="Child"/>
    <x v="32"/>
    <n v="1218"/>
    <n v="240"/>
    <n v="187"/>
    <n v="57"/>
    <n v="1702"/>
    <x v="21"/>
    <n v="244"/>
    <x v="0"/>
  </r>
  <r>
    <d v="2025-06-26T00:00:00"/>
    <s v="Child"/>
    <x v="4"/>
    <n v="169"/>
    <n v="51"/>
    <n v="108"/>
    <n v="184"/>
    <n v="510"/>
    <x v="21"/>
    <n v="292"/>
    <x v="0"/>
  </r>
  <r>
    <d v="2025-06-26T00:00:00"/>
    <s v="Child"/>
    <x v="22"/>
    <n v="740"/>
    <n v="220"/>
    <n v="38"/>
    <n v="42"/>
    <n v="1039"/>
    <x v="21"/>
    <n v="80"/>
    <x v="0"/>
  </r>
  <r>
    <d v="2025-06-26T00:00:00"/>
    <s v="Child"/>
    <x v="26"/>
    <n v="859"/>
    <n v="216"/>
    <n v="67"/>
    <n v="4"/>
    <n v="1147"/>
    <x v="21"/>
    <n v="71"/>
    <x v="0"/>
  </r>
  <r>
    <d v="2025-06-26T00:00:00"/>
    <s v="Child"/>
    <x v="20"/>
    <n v="868"/>
    <n v="479"/>
    <n v="313"/>
    <n v="44"/>
    <n v="1704"/>
    <x v="21"/>
    <n v="357"/>
    <x v="0"/>
  </r>
  <r>
    <d v="2025-06-26T00:00:00"/>
    <s v="Child"/>
    <x v="29"/>
    <n v="83"/>
    <n v="63"/>
    <n v="16"/>
    <n v="13"/>
    <n v="175"/>
    <x v="21"/>
    <n v="29"/>
    <x v="0"/>
  </r>
  <r>
    <d v="2025-06-26T00:00:00"/>
    <s v="Child"/>
    <x v="27"/>
    <n v="1975"/>
    <n v="1148"/>
    <n v="697"/>
    <n v="186"/>
    <n v="4006"/>
    <x v="21"/>
    <n v="883"/>
    <x v="0"/>
  </r>
  <r>
    <d v="2025-06-26T00:00:00"/>
    <s v="Child"/>
    <x v="38"/>
    <n v="307"/>
    <n v="141"/>
    <n v="133"/>
    <n v="99"/>
    <n v="680"/>
    <x v="21"/>
    <n v="232"/>
    <x v="0"/>
  </r>
  <r>
    <d v="2025-06-26T00:00:00"/>
    <s v="Child"/>
    <x v="35"/>
    <n v="1211"/>
    <n v="137"/>
    <n v="76"/>
    <n v="153"/>
    <n v="1577"/>
    <x v="21"/>
    <n v="229"/>
    <x v="0"/>
  </r>
  <r>
    <d v="2025-06-26T00:00:00"/>
    <s v="Child"/>
    <x v="36"/>
    <n v="1824"/>
    <n v="780"/>
    <n v="504"/>
    <n v="479"/>
    <n v="3587"/>
    <x v="21"/>
    <n v="983"/>
    <x v="0"/>
  </r>
  <r>
    <d v="2025-06-26T00:00:00"/>
    <s v="Child"/>
    <x v="5"/>
    <n v="394"/>
    <n v="18"/>
    <n v="7"/>
    <n v="12"/>
    <n v="431"/>
    <x v="21"/>
    <n v="19"/>
    <x v="0"/>
  </r>
  <r>
    <d v="2025-06-26T00:00:00"/>
    <s v="Child"/>
    <x v="34"/>
    <n v="2402"/>
    <n v="1053"/>
    <n v="459"/>
    <n v="237"/>
    <n v="4151"/>
    <x v="21"/>
    <n v="696"/>
    <x v="0"/>
  </r>
  <r>
    <d v="2025-06-26T00:00:00"/>
    <s v="Child"/>
    <x v="42"/>
    <n v="1964"/>
    <n v="1042"/>
    <n v="501"/>
    <n v="371"/>
    <n v="3878"/>
    <x v="21"/>
    <n v="872"/>
    <x v="0"/>
  </r>
  <r>
    <d v="2025-07-31T00:00:00"/>
    <s v="Child"/>
    <x v="39"/>
    <n v="18841"/>
    <n v="7491"/>
    <n v="4135"/>
    <n v="3298"/>
    <n v="33765"/>
    <x v="22"/>
    <n v="7433"/>
    <x v="0"/>
  </r>
  <r>
    <d v="2025-07-31T00:00:00"/>
    <s v="Child"/>
    <x v="40"/>
    <n v="3199"/>
    <n v="847"/>
    <n v="295"/>
    <n v="133"/>
    <n v="4474"/>
    <x v="22"/>
    <n v="428"/>
    <x v="0"/>
  </r>
  <r>
    <d v="2025-07-31T00:00:00"/>
    <s v="Child"/>
    <x v="3"/>
    <n v="204"/>
    <n v="10"/>
    <n v="0"/>
    <n v="3"/>
    <n v="217"/>
    <x v="22"/>
    <n v="3"/>
    <x v="0"/>
  </r>
  <r>
    <d v="2025-07-31T00:00:00"/>
    <s v="Child"/>
    <x v="13"/>
    <n v="18"/>
    <n v="35"/>
    <n v="6"/>
    <n v="1"/>
    <n v="61"/>
    <x v="22"/>
    <n v="7"/>
    <x v="0"/>
  </r>
  <r>
    <d v="2025-07-31T00:00:00"/>
    <s v="Child"/>
    <x v="41"/>
    <n v="3065"/>
    <n v="935"/>
    <n v="318"/>
    <n v="746"/>
    <n v="5064"/>
    <x v="22"/>
    <n v="1064"/>
    <x v="0"/>
  </r>
  <r>
    <d v="2025-07-31T00:00:00"/>
    <s v="Child"/>
    <x v="32"/>
    <n v="1194"/>
    <n v="228"/>
    <n v="192"/>
    <n v="60"/>
    <n v="1674"/>
    <x v="22"/>
    <n v="252"/>
    <x v="0"/>
  </r>
  <r>
    <d v="2025-07-31T00:00:00"/>
    <s v="Child"/>
    <x v="4"/>
    <n v="180"/>
    <n v="46"/>
    <n v="98"/>
    <n v="134"/>
    <n v="457"/>
    <x v="22"/>
    <n v="232"/>
    <x v="0"/>
  </r>
  <r>
    <d v="2025-07-31T00:00:00"/>
    <s v="Child"/>
    <x v="22"/>
    <n v="740"/>
    <n v="203"/>
    <n v="47"/>
    <n v="43"/>
    <n v="1033"/>
    <x v="22"/>
    <n v="90"/>
    <x v="0"/>
  </r>
  <r>
    <d v="2025-07-31T00:00:00"/>
    <s v="Child"/>
    <x v="26"/>
    <n v="837"/>
    <n v="203"/>
    <n v="74"/>
    <n v="3"/>
    <n v="1117"/>
    <x v="22"/>
    <n v="77"/>
    <x v="0"/>
  </r>
  <r>
    <d v="2025-07-31T00:00:00"/>
    <s v="Child"/>
    <x v="20"/>
    <n v="933"/>
    <n v="471"/>
    <n v="287"/>
    <n v="41"/>
    <n v="1733"/>
    <x v="22"/>
    <n v="328"/>
    <x v="0"/>
  </r>
  <r>
    <d v="2025-07-31T00:00:00"/>
    <s v="Child"/>
    <x v="29"/>
    <n v="114"/>
    <n v="51"/>
    <n v="18"/>
    <n v="13"/>
    <n v="196"/>
    <x v="22"/>
    <n v="31"/>
    <x v="0"/>
  </r>
  <r>
    <d v="2025-07-31T00:00:00"/>
    <s v="Child"/>
    <x v="11"/>
    <n v="24"/>
    <n v="2"/>
    <n v="0"/>
    <n v="1"/>
    <n v="27"/>
    <x v="22"/>
    <n v="1"/>
    <x v="0"/>
  </r>
  <r>
    <d v="2025-07-31T00:00:00"/>
    <s v="Child"/>
    <x v="27"/>
    <n v="1816"/>
    <n v="1070"/>
    <n v="693"/>
    <n v="222"/>
    <n v="3801"/>
    <x v="22"/>
    <n v="915"/>
    <x v="0"/>
  </r>
  <r>
    <d v="2025-07-31T00:00:00"/>
    <s v="Child"/>
    <x v="38"/>
    <n v="297"/>
    <n v="131"/>
    <n v="102"/>
    <n v="93"/>
    <n v="623"/>
    <x v="22"/>
    <n v="195"/>
    <x v="0"/>
  </r>
  <r>
    <d v="2025-07-31T00:00:00"/>
    <s v="Child"/>
    <x v="35"/>
    <n v="1194"/>
    <n v="144"/>
    <n v="76"/>
    <n v="161"/>
    <n v="1575"/>
    <x v="22"/>
    <n v="237"/>
    <x v="0"/>
  </r>
  <r>
    <d v="2025-07-31T00:00:00"/>
    <s v="Child"/>
    <x v="36"/>
    <n v="1772"/>
    <n v="727"/>
    <n v="456"/>
    <n v="443"/>
    <n v="3398"/>
    <x v="22"/>
    <n v="899"/>
    <x v="0"/>
  </r>
  <r>
    <d v="2025-07-31T00:00:00"/>
    <s v="Child"/>
    <x v="5"/>
    <n v="349"/>
    <n v="18"/>
    <n v="9"/>
    <n v="14"/>
    <n v="390"/>
    <x v="22"/>
    <n v="23"/>
    <x v="0"/>
  </r>
  <r>
    <d v="2025-07-31T00:00:00"/>
    <s v="Child"/>
    <x v="19"/>
    <n v="704"/>
    <n v="320"/>
    <n v="126"/>
    <n v="6"/>
    <n v="1157"/>
    <x v="22"/>
    <n v="132"/>
    <x v="0"/>
  </r>
  <r>
    <d v="2025-07-31T00:00:00"/>
    <s v="Child"/>
    <x v="34"/>
    <n v="2545"/>
    <n v="932"/>
    <n v="436"/>
    <n v="238"/>
    <n v="4150"/>
    <x v="22"/>
    <n v="674"/>
    <x v="0"/>
  </r>
  <r>
    <d v="2025-07-31T00:00:00"/>
    <s v="Child"/>
    <x v="42"/>
    <n v="2074"/>
    <n v="979"/>
    <n v="489"/>
    <n v="357"/>
    <n v="3899"/>
    <x v="22"/>
    <n v="846"/>
    <x v="0"/>
  </r>
  <r>
    <d v="2025-08-28T00:00:00"/>
    <s v="Child"/>
    <x v="23"/>
    <n v="39"/>
    <n v="11"/>
    <n v="4"/>
    <n v="1"/>
    <n v="56"/>
    <x v="23"/>
    <n v="5"/>
    <x v="0"/>
  </r>
  <r>
    <d v="2025-08-28T00:00:00"/>
    <s v="Child"/>
    <x v="39"/>
    <n v="18889"/>
    <n v="7790"/>
    <n v="3874"/>
    <n v="3456"/>
    <n v="34009"/>
    <x v="23"/>
    <n v="7330"/>
    <x v="0"/>
  </r>
  <r>
    <d v="2025-08-28T00:00:00"/>
    <s v="Child"/>
    <x v="40"/>
    <n v="3170"/>
    <n v="901"/>
    <n v="286"/>
    <n v="141"/>
    <n v="4497"/>
    <x v="23"/>
    <n v="427"/>
    <x v="0"/>
  </r>
  <r>
    <d v="2025-08-28T00:00:00"/>
    <s v="Child"/>
    <x v="41"/>
    <n v="2916"/>
    <n v="1039"/>
    <n v="326"/>
    <n v="773"/>
    <n v="5054"/>
    <x v="23"/>
    <n v="1099"/>
    <x v="0"/>
  </r>
  <r>
    <d v="2025-08-28T00:00:00"/>
    <s v="Child"/>
    <x v="32"/>
    <n v="1188"/>
    <n v="262"/>
    <n v="171"/>
    <n v="57"/>
    <n v="1678"/>
    <x v="23"/>
    <n v="228"/>
    <x v="0"/>
  </r>
  <r>
    <d v="2025-08-28T00:00:00"/>
    <s v="Child"/>
    <x v="4"/>
    <n v="180"/>
    <n v="45"/>
    <n v="67"/>
    <n v="123"/>
    <n v="415"/>
    <x v="23"/>
    <n v="190"/>
    <x v="0"/>
  </r>
  <r>
    <d v="2025-08-28T00:00:00"/>
    <s v="Child"/>
    <x v="22"/>
    <n v="677"/>
    <n v="207"/>
    <n v="55"/>
    <n v="42"/>
    <n v="981"/>
    <x v="23"/>
    <n v="97"/>
    <x v="0"/>
  </r>
  <r>
    <d v="2025-08-28T00:00:00"/>
    <s v="Child"/>
    <x v="20"/>
    <n v="923"/>
    <n v="489"/>
    <n v="297"/>
    <n v="59"/>
    <n v="1768"/>
    <x v="23"/>
    <n v="356"/>
    <x v="0"/>
  </r>
  <r>
    <d v="2025-08-28T00:00:00"/>
    <s v="Child"/>
    <x v="29"/>
    <n v="78"/>
    <n v="53"/>
    <n v="24"/>
    <n v="12"/>
    <n v="167"/>
    <x v="23"/>
    <n v="36"/>
    <x v="0"/>
  </r>
  <r>
    <d v="2025-08-28T00:00:00"/>
    <s v="Child"/>
    <x v="27"/>
    <n v="1919"/>
    <n v="1115"/>
    <n v="690"/>
    <n v="258"/>
    <n v="3983"/>
    <x v="23"/>
    <n v="948"/>
    <x v="0"/>
  </r>
  <r>
    <d v="2025-08-28T00:00:00"/>
    <s v="Child"/>
    <x v="38"/>
    <n v="310"/>
    <n v="122"/>
    <n v="109"/>
    <n v="77"/>
    <n v="618"/>
    <x v="23"/>
    <n v="186"/>
    <x v="0"/>
  </r>
  <r>
    <d v="2025-08-28T00:00:00"/>
    <s v="Child"/>
    <x v="35"/>
    <n v="1165"/>
    <n v="174"/>
    <n v="78"/>
    <n v="167"/>
    <n v="1583"/>
    <x v="23"/>
    <n v="245"/>
    <x v="0"/>
  </r>
  <r>
    <d v="2025-08-28T00:00:00"/>
    <s v="Child"/>
    <x v="36"/>
    <n v="1771"/>
    <n v="738"/>
    <n v="452"/>
    <n v="439"/>
    <n v="3400"/>
    <x v="23"/>
    <n v="891"/>
    <x v="0"/>
  </r>
  <r>
    <d v="2025-08-28T00:00:00"/>
    <s v="Child"/>
    <x v="5"/>
    <n v="338"/>
    <n v="22"/>
    <n v="6"/>
    <n v="17"/>
    <n v="382"/>
    <x v="23"/>
    <n v="23"/>
    <x v="0"/>
  </r>
  <r>
    <d v="2025-08-28T00:00:00"/>
    <s v="Child"/>
    <x v="12"/>
    <n v="4"/>
    <n v="2"/>
    <n v="0"/>
    <n v="1"/>
    <n v="7"/>
    <x v="23"/>
    <n v="1"/>
    <x v="0"/>
  </r>
  <r>
    <d v="2025-08-28T00:00:00"/>
    <s v="Child"/>
    <x v="8"/>
    <n v="348"/>
    <n v="81"/>
    <n v="27"/>
    <n v="1"/>
    <n v="457"/>
    <x v="23"/>
    <n v="28"/>
    <x v="0"/>
  </r>
  <r>
    <d v="2025-08-28T00:00:00"/>
    <s v="Child"/>
    <x v="19"/>
    <n v="676"/>
    <n v="311"/>
    <n v="133"/>
    <n v="11"/>
    <n v="1131"/>
    <x v="23"/>
    <n v="144"/>
    <x v="0"/>
  </r>
  <r>
    <d v="2025-08-28T00:00:00"/>
    <s v="Child"/>
    <x v="34"/>
    <n v="2468"/>
    <n v="879"/>
    <n v="416"/>
    <n v="230"/>
    <n v="3993"/>
    <x v="23"/>
    <n v="646"/>
    <x v="0"/>
  </r>
  <r>
    <d v="2025-08-28T00:00:00"/>
    <s v="Child"/>
    <x v="42"/>
    <n v="2053"/>
    <n v="973"/>
    <n v="495"/>
    <n v="362"/>
    <n v="3883"/>
    <x v="23"/>
    <n v="857"/>
    <x v="0"/>
  </r>
  <r>
    <d v="2025-09-25T00:00:00"/>
    <s v="Child"/>
    <x v="23"/>
    <n v="41"/>
    <n v="11"/>
    <n v="3"/>
    <n v="1"/>
    <n v="56"/>
    <x v="24"/>
    <n v="4"/>
    <x v="0"/>
  </r>
  <r>
    <d v="2025-09-25T00:00:00"/>
    <s v="Child"/>
    <x v="39"/>
    <n v="18192"/>
    <n v="7985"/>
    <n v="3647"/>
    <n v="3405"/>
    <n v="33229"/>
    <x v="24"/>
    <n v="7052"/>
    <x v="0"/>
  </r>
  <r>
    <d v="2025-09-25T00:00:00"/>
    <s v="Child"/>
    <x v="40"/>
    <n v="3211"/>
    <n v="904"/>
    <n v="280"/>
    <n v="132"/>
    <n v="4527"/>
    <x v="24"/>
    <n v="412"/>
    <x v="0"/>
  </r>
  <r>
    <d v="2025-09-25T00:00:00"/>
    <s v="Child"/>
    <x v="13"/>
    <n v="14"/>
    <n v="19"/>
    <n v="5"/>
    <n v="3"/>
    <n v="41"/>
    <x v="24"/>
    <n v="8"/>
    <x v="0"/>
  </r>
  <r>
    <d v="2025-09-25T00:00:00"/>
    <s v="Child"/>
    <x v="41"/>
    <n v="2806"/>
    <n v="1127"/>
    <n v="325"/>
    <n v="743"/>
    <n v="5002"/>
    <x v="24"/>
    <n v="1068"/>
    <x v="0"/>
  </r>
  <r>
    <d v="2025-09-25T00:00:00"/>
    <s v="Child"/>
    <x v="32"/>
    <n v="1094"/>
    <n v="313"/>
    <n v="163"/>
    <n v="29"/>
    <n v="1599"/>
    <x v="24"/>
    <n v="192"/>
    <x v="0"/>
  </r>
  <r>
    <d v="2025-09-25T00:00:00"/>
    <s v="Child"/>
    <x v="4"/>
    <n v="155"/>
    <n v="47"/>
    <n v="47"/>
    <n v="120"/>
    <n v="368"/>
    <x v="24"/>
    <n v="167"/>
    <x v="0"/>
  </r>
  <r>
    <d v="2025-09-25T00:00:00"/>
    <s v="Child"/>
    <x v="22"/>
    <n v="668"/>
    <n v="207"/>
    <n v="62"/>
    <n v="40"/>
    <n v="977"/>
    <x v="24"/>
    <n v="102"/>
    <x v="0"/>
  </r>
  <r>
    <d v="2025-09-25T00:00:00"/>
    <s v="Child"/>
    <x v="26"/>
    <n v="762"/>
    <n v="212"/>
    <n v="67"/>
    <n v="4"/>
    <n v="1046"/>
    <x v="24"/>
    <n v="71"/>
    <x v="0"/>
  </r>
  <r>
    <d v="2025-09-25T00:00:00"/>
    <s v="Child"/>
    <x v="20"/>
    <n v="906"/>
    <n v="482"/>
    <n v="295"/>
    <n v="91"/>
    <n v="1774"/>
    <x v="24"/>
    <n v="386"/>
    <x v="0"/>
  </r>
  <r>
    <d v="2025-09-25T00:00:00"/>
    <s v="Child"/>
    <x v="29"/>
    <n v="68"/>
    <n v="52"/>
    <n v="23"/>
    <n v="9"/>
    <n v="152"/>
    <x v="24"/>
    <n v="32"/>
    <x v="0"/>
  </r>
  <r>
    <d v="2025-09-25T00:00:00"/>
    <s v="Child"/>
    <x v="11"/>
    <n v="15"/>
    <n v="4"/>
    <n v="0"/>
    <n v="1"/>
    <n v="21"/>
    <x v="24"/>
    <n v="1"/>
    <x v="0"/>
  </r>
  <r>
    <d v="2025-09-25T00:00:00"/>
    <s v="Child"/>
    <x v="27"/>
    <n v="1786"/>
    <n v="1136"/>
    <n v="689"/>
    <n v="309"/>
    <n v="3919"/>
    <x v="24"/>
    <n v="998"/>
    <x v="0"/>
  </r>
  <r>
    <d v="2025-09-25T00:00:00"/>
    <s v="Child"/>
    <x v="38"/>
    <n v="332"/>
    <n v="163"/>
    <n v="115"/>
    <n v="77"/>
    <n v="687"/>
    <x v="24"/>
    <n v="192"/>
    <x v="0"/>
  </r>
  <r>
    <d v="2025-09-25T00:00:00"/>
    <s v="Child"/>
    <x v="35"/>
    <n v="1079"/>
    <n v="230"/>
    <n v="75"/>
    <n v="176"/>
    <n v="1560"/>
    <x v="24"/>
    <n v="251"/>
    <x v="0"/>
  </r>
  <r>
    <d v="2025-09-25T00:00:00"/>
    <s v="Child"/>
    <x v="36"/>
    <n v="1667"/>
    <n v="746"/>
    <n v="460"/>
    <n v="435"/>
    <n v="3307"/>
    <x v="24"/>
    <n v="895"/>
    <x v="0"/>
  </r>
  <r>
    <d v="2025-09-25T00:00:00"/>
    <s v="Child"/>
    <x v="5"/>
    <n v="360"/>
    <n v="29"/>
    <n v="10"/>
    <n v="28"/>
    <n v="426"/>
    <x v="24"/>
    <n v="38"/>
    <x v="0"/>
  </r>
  <r>
    <d v="2025-09-25T00:00:00"/>
    <s v="Child"/>
    <x v="12"/>
    <n v="3"/>
    <n v="2"/>
    <n v="0"/>
    <n v="1"/>
    <n v="6"/>
    <x v="24"/>
    <n v="1"/>
    <x v="0"/>
  </r>
  <r>
    <d v="2025-09-25T00:00:00"/>
    <s v="Child"/>
    <x v="19"/>
    <n v="699"/>
    <n v="296"/>
    <n v="114"/>
    <n v="39"/>
    <n v="1148"/>
    <x v="24"/>
    <n v="153"/>
    <x v="0"/>
  </r>
  <r>
    <d v="2025-09-25T00:00:00"/>
    <s v="Child"/>
    <x v="34"/>
    <n v="2360"/>
    <n v="933"/>
    <n v="420"/>
    <n v="267"/>
    <n v="3980"/>
    <x v="24"/>
    <n v="687"/>
    <x v="0"/>
  </r>
  <r>
    <d v="2025-09-25T00:00:00"/>
    <s v="Child"/>
    <x v="42"/>
    <n v="2050"/>
    <n v="951"/>
    <n v="422"/>
    <n v="339"/>
    <n v="3762"/>
    <x v="24"/>
    <n v="761"/>
    <x v="0"/>
  </r>
  <r>
    <d v="2025-10-30T00:00:00"/>
    <s v="Child"/>
    <x v="39"/>
    <n v="18043"/>
    <n v="8010"/>
    <n v="3408"/>
    <n v="3378"/>
    <n v="32838"/>
    <x v="25"/>
    <n v="6786"/>
    <x v="0"/>
  </r>
  <r>
    <d v="2025-10-30T00:00:00"/>
    <s v="Child"/>
    <x v="40"/>
    <n v="3208"/>
    <n v="983"/>
    <n v="275"/>
    <n v="112"/>
    <n v="4578"/>
    <x v="25"/>
    <n v="387"/>
    <x v="0"/>
  </r>
  <r>
    <d v="2025-10-30T00:00:00"/>
    <s v="Child"/>
    <x v="41"/>
    <n v="2876"/>
    <n v="1120"/>
    <n v="351"/>
    <n v="654"/>
    <n v="5002"/>
    <x v="25"/>
    <n v="1005"/>
    <x v="0"/>
  </r>
  <r>
    <d v="2025-10-30T00:00:00"/>
    <s v="Child"/>
    <x v="32"/>
    <n v="1012"/>
    <n v="327"/>
    <n v="131"/>
    <n v="5"/>
    <n v="1475"/>
    <x v="25"/>
    <n v="136"/>
    <x v="0"/>
  </r>
  <r>
    <d v="2025-10-30T00:00:00"/>
    <s v="Child"/>
    <x v="4"/>
    <n v="139"/>
    <n v="59"/>
    <n v="39"/>
    <n v="118"/>
    <n v="356"/>
    <x v="25"/>
    <n v="157"/>
    <x v="0"/>
  </r>
  <r>
    <d v="2025-10-30T00:00:00"/>
    <s v="Child"/>
    <x v="22"/>
    <n v="658"/>
    <n v="213"/>
    <n v="64"/>
    <n v="46"/>
    <n v="981"/>
    <x v="25"/>
    <n v="110"/>
    <x v="0"/>
  </r>
  <r>
    <d v="2025-10-30T00:00:00"/>
    <s v="Child"/>
    <x v="26"/>
    <n v="798"/>
    <n v="204"/>
    <n v="55"/>
    <n v="9"/>
    <n v="1065"/>
    <x v="25"/>
    <n v="64"/>
    <x v="0"/>
  </r>
  <r>
    <d v="2025-10-30T00:00:00"/>
    <s v="Child"/>
    <x v="20"/>
    <n v="872"/>
    <n v="459"/>
    <n v="274"/>
    <n v="113"/>
    <n v="1718"/>
    <x v="25"/>
    <n v="387"/>
    <x v="0"/>
  </r>
  <r>
    <d v="2025-10-30T00:00:00"/>
    <s v="Child"/>
    <x v="29"/>
    <n v="57"/>
    <n v="38"/>
    <n v="26"/>
    <n v="6"/>
    <n v="127"/>
    <x v="25"/>
    <n v="32"/>
    <x v="0"/>
  </r>
  <r>
    <d v="2025-10-30T00:00:00"/>
    <s v="Child"/>
    <x v="11"/>
    <n v="14"/>
    <n v="3"/>
    <n v="0"/>
    <n v="1"/>
    <n v="18"/>
    <x v="25"/>
    <n v="1"/>
    <x v="0"/>
  </r>
  <r>
    <d v="2025-10-30T00:00:00"/>
    <s v="Child"/>
    <x v="27"/>
    <n v="1766"/>
    <n v="1120"/>
    <n v="672"/>
    <n v="309"/>
    <n v="3867"/>
    <x v="25"/>
    <n v="981"/>
    <x v="0"/>
  </r>
  <r>
    <d v="2025-10-30T00:00:00"/>
    <s v="Child"/>
    <x v="38"/>
    <n v="311"/>
    <n v="160"/>
    <n v="122"/>
    <n v="76"/>
    <n v="669"/>
    <x v="25"/>
    <n v="198"/>
    <x v="0"/>
  </r>
  <r>
    <d v="2025-10-30T00:00:00"/>
    <s v="Child"/>
    <x v="35"/>
    <n v="986"/>
    <n v="211"/>
    <n v="86"/>
    <n v="187"/>
    <n v="1470"/>
    <x v="25"/>
    <n v="273"/>
    <x v="0"/>
  </r>
  <r>
    <d v="2025-10-30T00:00:00"/>
    <s v="Child"/>
    <x v="36"/>
    <n v="1699"/>
    <n v="764"/>
    <n v="481"/>
    <n v="426"/>
    <n v="3370"/>
    <x v="25"/>
    <n v="907"/>
    <x v="0"/>
  </r>
  <r>
    <d v="2025-10-30T00:00:00"/>
    <s v="Child"/>
    <x v="5"/>
    <n v="371"/>
    <n v="22"/>
    <n v="13"/>
    <n v="26"/>
    <n v="432"/>
    <x v="25"/>
    <n v="39"/>
    <x v="0"/>
  </r>
  <r>
    <d v="2025-10-30T00:00:00"/>
    <s v="Child"/>
    <x v="12"/>
    <n v="4"/>
    <n v="1"/>
    <n v="0"/>
    <n v="1"/>
    <n v="6"/>
    <x v="25"/>
    <n v="1"/>
    <x v="0"/>
  </r>
  <r>
    <d v="2025-10-30T00:00:00"/>
    <s v="Child"/>
    <x v="8"/>
    <n v="375"/>
    <n v="80"/>
    <n v="34"/>
    <n v="1"/>
    <n v="490"/>
    <x v="25"/>
    <n v="35"/>
    <x v="0"/>
  </r>
  <r>
    <d v="2025-10-30T00:00:00"/>
    <s v="Child"/>
    <x v="19"/>
    <n v="675"/>
    <n v="237"/>
    <n v="112"/>
    <n v="55"/>
    <n v="1078"/>
    <x v="25"/>
    <n v="167"/>
    <x v="0"/>
  </r>
  <r>
    <d v="2025-10-30T00:00:00"/>
    <s v="Child"/>
    <x v="34"/>
    <n v="2435"/>
    <n v="878"/>
    <n v="378"/>
    <n v="255"/>
    <n v="3945"/>
    <x v="25"/>
    <n v="633"/>
    <x v="0"/>
  </r>
  <r>
    <d v="2025-10-30T00:00:00"/>
    <s v="Child"/>
    <x v="42"/>
    <n v="2011"/>
    <n v="977"/>
    <n v="406"/>
    <n v="371"/>
    <n v="3766"/>
    <x v="25"/>
    <n v="777"/>
    <x v="0"/>
  </r>
  <r>
    <d v="2025-11-27T00:00:00"/>
    <s v="Child"/>
    <x v="39"/>
    <n v="17835"/>
    <n v="7738"/>
    <n v="3288"/>
    <n v="2979"/>
    <n v="31840"/>
    <x v="26"/>
    <n v="6267"/>
    <x v="0"/>
  </r>
  <r>
    <d v="2025-11-27T00:00:00"/>
    <s v="Child"/>
    <x v="40"/>
    <n v="3215"/>
    <n v="1050"/>
    <n v="288"/>
    <n v="86"/>
    <n v="4640"/>
    <x v="26"/>
    <n v="374"/>
    <x v="0"/>
  </r>
  <r>
    <d v="2025-11-27T00:00:00"/>
    <s v="Child"/>
    <x v="41"/>
    <n v="2843"/>
    <n v="1037"/>
    <n v="325"/>
    <n v="552"/>
    <n v="4756"/>
    <x v="26"/>
    <n v="877"/>
    <x v="0"/>
  </r>
  <r>
    <d v="2025-11-27T00:00:00"/>
    <s v="Child"/>
    <x v="4"/>
    <n v="135"/>
    <n v="60"/>
    <n v="38"/>
    <n v="91"/>
    <n v="324"/>
    <x v="26"/>
    <n v="129"/>
    <x v="0"/>
  </r>
  <r>
    <d v="2025-11-27T00:00:00"/>
    <s v="Child"/>
    <x v="22"/>
    <n v="615"/>
    <n v="216"/>
    <n v="73"/>
    <n v="50"/>
    <n v="954"/>
    <x v="26"/>
    <n v="123"/>
    <x v="0"/>
  </r>
  <r>
    <d v="2025-11-27T00:00:00"/>
    <s v="Child"/>
    <x v="26"/>
    <n v="818"/>
    <n v="190"/>
    <n v="60"/>
    <n v="11"/>
    <n v="1079"/>
    <x v="26"/>
    <n v="71"/>
    <x v="0"/>
  </r>
  <r>
    <d v="2025-11-27T00:00:00"/>
    <s v="Child"/>
    <x v="20"/>
    <n v="897"/>
    <n v="466"/>
    <n v="298"/>
    <n v="112"/>
    <n v="1773"/>
    <x v="26"/>
    <n v="410"/>
    <x v="0"/>
  </r>
  <r>
    <d v="2025-11-27T00:00:00"/>
    <s v="Child"/>
    <x v="29"/>
    <n v="69"/>
    <n v="30"/>
    <n v="24"/>
    <n v="5"/>
    <n v="128"/>
    <x v="26"/>
    <n v="29"/>
    <x v="0"/>
  </r>
  <r>
    <d v="2025-11-27T00:00:00"/>
    <s v="Child"/>
    <x v="27"/>
    <n v="1855"/>
    <n v="1134"/>
    <n v="678"/>
    <n v="335"/>
    <n v="4002"/>
    <x v="26"/>
    <n v="1013"/>
    <x v="0"/>
  </r>
  <r>
    <d v="2025-11-27T00:00:00"/>
    <s v="Child"/>
    <x v="38"/>
    <n v="300"/>
    <n v="155"/>
    <n v="125"/>
    <n v="71"/>
    <n v="651"/>
    <x v="26"/>
    <n v="196"/>
    <x v="0"/>
  </r>
  <r>
    <d v="2025-11-27T00:00:00"/>
    <s v="Child"/>
    <x v="35"/>
    <n v="984"/>
    <n v="182"/>
    <n v="90"/>
    <n v="192"/>
    <n v="1448"/>
    <x v="26"/>
    <n v="282"/>
    <x v="0"/>
  </r>
  <r>
    <d v="2025-11-27T00:00:00"/>
    <s v="Child"/>
    <x v="36"/>
    <n v="1720"/>
    <n v="776"/>
    <n v="449"/>
    <n v="445"/>
    <n v="3389"/>
    <x v="26"/>
    <n v="894"/>
    <x v="0"/>
  </r>
  <r>
    <d v="2025-11-27T00:00:00"/>
    <s v="Child"/>
    <x v="5"/>
    <n v="380"/>
    <n v="23"/>
    <n v="11"/>
    <n v="25"/>
    <n v="439"/>
    <x v="26"/>
    <n v="36"/>
    <x v="0"/>
  </r>
  <r>
    <d v="2025-11-27T00:00:00"/>
    <s v="Child"/>
    <x v="12"/>
    <n v="5"/>
    <n v="1"/>
    <n v="0"/>
    <n v="1"/>
    <n v="7"/>
    <x v="26"/>
    <n v="1"/>
    <x v="0"/>
  </r>
  <r>
    <d v="2025-11-27T00:00:00"/>
    <s v="Child"/>
    <x v="19"/>
    <n v="662"/>
    <n v="220"/>
    <n v="96"/>
    <n v="62"/>
    <n v="1040"/>
    <x v="26"/>
    <n v="158"/>
    <x v="0"/>
  </r>
  <r>
    <d v="2025-11-27T00:00:00"/>
    <s v="Child"/>
    <x v="34"/>
    <n v="2555"/>
    <n v="863"/>
    <n v="391"/>
    <n v="273"/>
    <n v="4082"/>
    <x v="26"/>
    <n v="664"/>
    <x v="0"/>
  </r>
  <r>
    <d v="2025-11-27T00:00:00"/>
    <s v="Child"/>
    <x v="42"/>
    <n v="2023"/>
    <n v="986"/>
    <n v="330"/>
    <n v="360"/>
    <n v="3699"/>
    <x v="26"/>
    <n v="690"/>
    <x v="0"/>
  </r>
  <r>
    <d v="2025-12-18T00:00:00"/>
    <s v="Child"/>
    <x v="23"/>
    <n v="39"/>
    <n v="7"/>
    <n v="7"/>
    <n v="1"/>
    <n v="54"/>
    <x v="27"/>
    <n v="8"/>
    <x v="0"/>
  </r>
  <r>
    <d v="2025-12-18T00:00:00"/>
    <s v="Child"/>
    <x v="39"/>
    <n v="17980"/>
    <n v="7536"/>
    <n v="3215"/>
    <n v="2794"/>
    <n v="31524"/>
    <x v="27"/>
    <n v="6009"/>
    <x v="0"/>
  </r>
  <r>
    <d v="2025-12-18T00:00:00"/>
    <s v="Child"/>
    <x v="40"/>
    <n v="3196"/>
    <n v="1075"/>
    <n v="296"/>
    <n v="81"/>
    <n v="4648"/>
    <x v="27"/>
    <n v="377"/>
    <x v="0"/>
  </r>
  <r>
    <d v="2025-12-18T00:00:00"/>
    <s v="Child"/>
    <x v="41"/>
    <n v="2917"/>
    <n v="1012"/>
    <n v="347"/>
    <n v="493"/>
    <n v="4769"/>
    <x v="27"/>
    <n v="840"/>
    <x v="0"/>
  </r>
  <r>
    <d v="2025-12-18T00:00:00"/>
    <s v="Child"/>
    <x v="4"/>
    <n v="131"/>
    <n v="58"/>
    <n v="29"/>
    <n v="42"/>
    <n v="260"/>
    <x v="27"/>
    <n v="71"/>
    <x v="0"/>
  </r>
  <r>
    <d v="2025-12-18T00:00:00"/>
    <s v="Child"/>
    <x v="22"/>
    <n v="624"/>
    <n v="211"/>
    <n v="83"/>
    <n v="52"/>
    <n v="970"/>
    <x v="27"/>
    <n v="135"/>
    <x v="0"/>
  </r>
  <r>
    <d v="2025-12-18T00:00:00"/>
    <s v="Child"/>
    <x v="26"/>
    <n v="793"/>
    <n v="189"/>
    <n v="60"/>
    <n v="20"/>
    <n v="1061"/>
    <x v="27"/>
    <n v="80"/>
    <x v="0"/>
  </r>
  <r>
    <d v="2025-12-18T00:00:00"/>
    <s v="Child"/>
    <x v="20"/>
    <n v="877"/>
    <n v="471"/>
    <n v="315"/>
    <n v="109"/>
    <n v="1772"/>
    <x v="27"/>
    <n v="424"/>
    <x v="0"/>
  </r>
  <r>
    <d v="2025-12-18T00:00:00"/>
    <s v="Child"/>
    <x v="29"/>
    <n v="69"/>
    <n v="19"/>
    <n v="30"/>
    <n v="4"/>
    <n v="121"/>
    <x v="27"/>
    <n v="34"/>
    <x v="0"/>
  </r>
  <r>
    <d v="2025-12-18T00:00:00"/>
    <s v="Child"/>
    <x v="27"/>
    <n v="1830"/>
    <n v="1044"/>
    <n v="594"/>
    <n v="346"/>
    <n v="3813"/>
    <x v="27"/>
    <n v="940"/>
    <x v="0"/>
  </r>
  <r>
    <d v="2025-12-18T00:00:00"/>
    <s v="Child"/>
    <x v="38"/>
    <n v="423"/>
    <n v="171"/>
    <n v="134"/>
    <n v="81"/>
    <n v="809"/>
    <x v="27"/>
    <n v="215"/>
    <x v="0"/>
  </r>
  <r>
    <d v="2025-12-18T00:00:00"/>
    <s v="Child"/>
    <x v="35"/>
    <n v="1038"/>
    <n v="176"/>
    <n v="91"/>
    <n v="203"/>
    <n v="1508"/>
    <x v="27"/>
    <n v="294"/>
    <x v="0"/>
  </r>
  <r>
    <d v="2025-12-18T00:00:00"/>
    <s v="Child"/>
    <x v="36"/>
    <n v="1690"/>
    <n v="763"/>
    <n v="454"/>
    <n v="412"/>
    <n v="3320"/>
    <x v="27"/>
    <n v="866"/>
    <x v="0"/>
  </r>
  <r>
    <d v="2025-12-18T00:00:00"/>
    <s v="Child"/>
    <x v="5"/>
    <n v="394"/>
    <n v="23"/>
    <n v="13"/>
    <n v="25"/>
    <n v="456"/>
    <x v="27"/>
    <n v="38"/>
    <x v="0"/>
  </r>
  <r>
    <d v="2025-12-18T00:00:00"/>
    <s v="Child"/>
    <x v="12"/>
    <n v="6"/>
    <n v="0"/>
    <n v="0"/>
    <n v="1"/>
    <n v="7"/>
    <x v="27"/>
    <n v="1"/>
    <x v="0"/>
  </r>
  <r>
    <d v="2025-12-18T00:00:00"/>
    <s v="Child"/>
    <x v="8"/>
    <n v="390"/>
    <n v="76"/>
    <n v="35"/>
    <n v="1"/>
    <n v="502"/>
    <x v="27"/>
    <n v="36"/>
    <x v="0"/>
  </r>
  <r>
    <d v="2025-12-18T00:00:00"/>
    <s v="Child"/>
    <x v="19"/>
    <n v="628"/>
    <n v="195"/>
    <n v="113"/>
    <n v="67"/>
    <n v="1003"/>
    <x v="27"/>
    <n v="180"/>
    <x v="0"/>
  </r>
  <r>
    <d v="2025-12-18T00:00:00"/>
    <s v="Child"/>
    <x v="34"/>
    <n v="2579"/>
    <n v="857"/>
    <n v="393"/>
    <n v="280"/>
    <n v="4109"/>
    <x v="27"/>
    <n v="673"/>
    <x v="0"/>
  </r>
  <r>
    <d v="2025-12-18T00:00:00"/>
    <s v="Child"/>
    <x v="42"/>
    <n v="2064"/>
    <n v="975"/>
    <n v="328"/>
    <n v="340"/>
    <n v="3707"/>
    <x v="27"/>
    <n v="668"/>
    <x v="0"/>
  </r>
  <r>
    <d v="2026-01-29T00:00:00"/>
    <s v="Child"/>
    <x v="23"/>
    <n v="44"/>
    <n v="5"/>
    <n v="8"/>
    <n v="1"/>
    <n v="59"/>
    <x v="6"/>
    <n v="9"/>
    <x v="0"/>
  </r>
  <r>
    <d v="2026-01-29T00:00:00"/>
    <s v="Child"/>
    <x v="39"/>
    <n v="18578"/>
    <n v="8085"/>
    <n v="3091"/>
    <n v="2922"/>
    <n v="32676"/>
    <x v="6"/>
    <n v="6013"/>
    <x v="0"/>
  </r>
  <r>
    <d v="2026-01-29T00:00:00"/>
    <s v="Child"/>
    <x v="40"/>
    <n v="3192"/>
    <n v="1113"/>
    <n v="310"/>
    <n v="100"/>
    <n v="4715"/>
    <x v="6"/>
    <n v="410"/>
    <x v="0"/>
  </r>
  <r>
    <d v="2026-01-29T00:00:00"/>
    <s v="Child"/>
    <x v="13"/>
    <n v="13"/>
    <n v="9"/>
    <n v="9"/>
    <n v="3"/>
    <n v="34"/>
    <x v="6"/>
    <n v="12"/>
    <x v="0"/>
  </r>
  <r>
    <d v="2026-01-29T00:00:00"/>
    <s v="Child"/>
    <x v="41"/>
    <n v="3012"/>
    <n v="1156"/>
    <n v="329"/>
    <n v="476"/>
    <n v="4973"/>
    <x v="6"/>
    <n v="805"/>
    <x v="0"/>
  </r>
  <r>
    <d v="2026-01-29T00:00:00"/>
    <s v="Child"/>
    <x v="4"/>
    <n v="120"/>
    <n v="68"/>
    <n v="23"/>
    <n v="20"/>
    <n v="231"/>
    <x v="6"/>
    <n v="43"/>
    <x v="0"/>
  </r>
  <r>
    <d v="2026-01-29T00:00:00"/>
    <s v="Child"/>
    <x v="22"/>
    <n v="580"/>
    <n v="210"/>
    <n v="91"/>
    <n v="59"/>
    <n v="940"/>
    <x v="6"/>
    <n v="150"/>
    <x v="0"/>
  </r>
  <r>
    <d v="2026-01-29T00:00:00"/>
    <s v="Child"/>
    <x v="26"/>
    <n v="787"/>
    <n v="154"/>
    <n v="46"/>
    <n v="23"/>
    <n v="1010"/>
    <x v="6"/>
    <n v="69"/>
    <x v="0"/>
  </r>
  <r>
    <d v="2026-01-29T00:00:00"/>
    <s v="Child"/>
    <x v="20"/>
    <n v="901"/>
    <n v="496"/>
    <n v="316"/>
    <n v="128"/>
    <n v="1840"/>
    <x v="6"/>
    <n v="444"/>
    <x v="0"/>
  </r>
  <r>
    <d v="2026-01-29T00:00:00"/>
    <s v="Child"/>
    <x v="29"/>
    <n v="58"/>
    <n v="12"/>
    <n v="22"/>
    <n v="8"/>
    <n v="100"/>
    <x v="6"/>
    <n v="30"/>
    <x v="0"/>
  </r>
  <r>
    <d v="2026-01-29T00:00:00"/>
    <s v="Child"/>
    <x v="11"/>
    <n v="12"/>
    <n v="4"/>
    <n v="0"/>
    <n v="1"/>
    <n v="17"/>
    <x v="6"/>
    <n v="1"/>
    <x v="0"/>
  </r>
  <r>
    <d v="2026-01-29T00:00:00"/>
    <s v="Child"/>
    <x v="27"/>
    <n v="1799"/>
    <n v="1128"/>
    <n v="585"/>
    <n v="414"/>
    <n v="3927"/>
    <x v="6"/>
    <n v="999"/>
    <x v="0"/>
  </r>
  <r>
    <d v="2026-01-29T00:00:00"/>
    <s v="Child"/>
    <x v="38"/>
    <n v="565"/>
    <n v="199"/>
    <n v="135"/>
    <n v="74"/>
    <n v="973"/>
    <x v="6"/>
    <n v="209"/>
    <x v="0"/>
  </r>
  <r>
    <d v="2026-01-29T00:00:00"/>
    <s v="Child"/>
    <x v="35"/>
    <n v="1083"/>
    <n v="188"/>
    <n v="87"/>
    <n v="222"/>
    <n v="1580"/>
    <x v="6"/>
    <n v="309"/>
    <x v="0"/>
  </r>
  <r>
    <d v="2026-01-29T00:00:00"/>
    <s v="Child"/>
    <x v="36"/>
    <n v="1760"/>
    <n v="767"/>
    <n v="468"/>
    <n v="446"/>
    <n v="3441"/>
    <x v="6"/>
    <n v="914"/>
    <x v="0"/>
  </r>
  <r>
    <d v="2026-01-29T00:00:00"/>
    <s v="Child"/>
    <x v="5"/>
    <n v="415"/>
    <n v="15"/>
    <n v="4"/>
    <n v="17"/>
    <n v="451"/>
    <x v="6"/>
    <n v="21"/>
    <x v="0"/>
  </r>
  <r>
    <d v="2026-01-29T00:00:00"/>
    <s v="Child"/>
    <x v="12"/>
    <n v="3"/>
    <n v="0"/>
    <n v="0"/>
    <n v="1"/>
    <n v="4"/>
    <x v="6"/>
    <n v="1"/>
    <x v="0"/>
  </r>
  <r>
    <d v="2026-01-29T00:00:00"/>
    <s v="Child"/>
    <x v="8"/>
    <n v="377"/>
    <n v="89"/>
    <n v="19"/>
    <n v="1"/>
    <n v="487"/>
    <x v="6"/>
    <n v="20"/>
    <x v="0"/>
  </r>
  <r>
    <d v="2026-01-29T00:00:00"/>
    <s v="Child"/>
    <x v="19"/>
    <n v="607"/>
    <n v="181"/>
    <n v="126"/>
    <n v="75"/>
    <n v="988"/>
    <x v="6"/>
    <n v="201"/>
    <x v="0"/>
  </r>
  <r>
    <d v="2026-01-29T00:00:00"/>
    <s v="Child"/>
    <x v="34"/>
    <n v="2437"/>
    <n v="1031"/>
    <n v="393"/>
    <n v="287"/>
    <n v="4147"/>
    <x v="6"/>
    <n v="680"/>
    <x v="0"/>
  </r>
  <r>
    <d v="2026-01-29T00:00:00"/>
    <s v="Child"/>
    <x v="42"/>
    <n v="2003"/>
    <n v="1073"/>
    <n v="309"/>
    <n v="329"/>
    <n v="3714"/>
    <x v="6"/>
    <n v="638"/>
    <x v="0"/>
  </r>
  <r>
    <d v="2026-02-26T00:00:00"/>
    <s v="Child"/>
    <x v="39"/>
    <n v="18724"/>
    <n v="8018"/>
    <n v="3258"/>
    <n v="2860"/>
    <n v="32861"/>
    <x v="7"/>
    <n v="6118"/>
    <x v="0"/>
  </r>
  <r>
    <d v="2026-02-26T00:00:00"/>
    <s v="Child"/>
    <x v="40"/>
    <n v="3279"/>
    <n v="1088"/>
    <n v="306"/>
    <n v="112"/>
    <n v="4785"/>
    <x v="7"/>
    <n v="418"/>
    <x v="0"/>
  </r>
  <r>
    <d v="2026-02-26T00:00:00"/>
    <s v="Child"/>
    <x v="41"/>
    <n v="3201"/>
    <n v="1084"/>
    <n v="340"/>
    <n v="428"/>
    <n v="5052"/>
    <x v="7"/>
    <n v="768"/>
    <x v="0"/>
  </r>
  <r>
    <d v="2026-02-26T00:00:00"/>
    <s v="Child"/>
    <x v="4"/>
    <n v="141"/>
    <n v="62"/>
    <n v="21"/>
    <n v="8"/>
    <n v="231"/>
    <x v="7"/>
    <n v="29"/>
    <x v="0"/>
  </r>
  <r>
    <d v="2026-02-26T00:00:00"/>
    <s v="Child"/>
    <x v="22"/>
    <n v="663"/>
    <n v="209"/>
    <n v="100"/>
    <n v="61"/>
    <n v="1033"/>
    <x v="7"/>
    <n v="161"/>
    <x v="0"/>
  </r>
  <r>
    <d v="2026-02-26T00:00:00"/>
    <s v="Child"/>
    <x v="26"/>
    <n v="761"/>
    <n v="139"/>
    <n v="37"/>
    <n v="27"/>
    <n v="964"/>
    <x v="7"/>
    <n v="64"/>
    <x v="0"/>
  </r>
  <r>
    <d v="2026-02-26T00:00:00"/>
    <s v="Child"/>
    <x v="20"/>
    <n v="922"/>
    <n v="484"/>
    <n v="343"/>
    <n v="153"/>
    <n v="1902"/>
    <x v="7"/>
    <n v="496"/>
    <x v="0"/>
  </r>
  <r>
    <d v="2026-02-26T00:00:00"/>
    <s v="Child"/>
    <x v="29"/>
    <n v="98"/>
    <n v="16"/>
    <n v="18"/>
    <n v="8"/>
    <n v="140"/>
    <x v="7"/>
    <n v="26"/>
    <x v="0"/>
  </r>
  <r>
    <d v="2026-02-26T00:00:00"/>
    <s v="Child"/>
    <x v="27"/>
    <n v="1910"/>
    <n v="1080"/>
    <n v="576"/>
    <n v="422"/>
    <n v="3988"/>
    <x v="7"/>
    <n v="998"/>
    <x v="0"/>
  </r>
  <r>
    <d v="2026-02-26T00:00:00"/>
    <s v="Child"/>
    <x v="10"/>
    <n v="40"/>
    <n v="5"/>
    <n v="2"/>
    <n v="100"/>
    <n v="147"/>
    <x v="7"/>
    <n v="102"/>
    <x v="0"/>
  </r>
  <r>
    <d v="2026-02-26T00:00:00"/>
    <s v="Child"/>
    <x v="38"/>
    <n v="663"/>
    <n v="198"/>
    <n v="123"/>
    <n v="83"/>
    <n v="1067"/>
    <x v="7"/>
    <n v="206"/>
    <x v="0"/>
  </r>
  <r>
    <d v="2026-02-26T00:00:00"/>
    <s v="Child"/>
    <x v="35"/>
    <n v="1200"/>
    <n v="209"/>
    <n v="80"/>
    <n v="230"/>
    <n v="1719"/>
    <x v="7"/>
    <n v="310"/>
    <x v="0"/>
  </r>
  <r>
    <d v="2026-02-26T00:00:00"/>
    <s v="Child"/>
    <x v="36"/>
    <n v="1881"/>
    <n v="790"/>
    <n v="455"/>
    <n v="438"/>
    <n v="3564"/>
    <x v="7"/>
    <n v="893"/>
    <x v="0"/>
  </r>
  <r>
    <d v="2026-02-26T00:00:00"/>
    <s v="Child"/>
    <x v="5"/>
    <n v="431"/>
    <n v="8"/>
    <n v="10"/>
    <n v="4"/>
    <n v="454"/>
    <x v="7"/>
    <n v="14"/>
    <x v="0"/>
  </r>
  <r>
    <d v="2026-02-26T00:00:00"/>
    <s v="Child"/>
    <x v="12"/>
    <n v="5"/>
    <n v="3"/>
    <n v="0"/>
    <n v="1"/>
    <n v="9"/>
    <x v="7"/>
    <n v="1"/>
    <x v="0"/>
  </r>
  <r>
    <d v="2026-02-26T00:00:00"/>
    <s v="Child"/>
    <x v="19"/>
    <n v="594"/>
    <n v="175"/>
    <n v="127"/>
    <n v="79"/>
    <n v="975"/>
    <x v="7"/>
    <n v="206"/>
    <x v="0"/>
  </r>
  <r>
    <d v="2026-02-26T00:00:00"/>
    <s v="Child"/>
    <x v="34"/>
    <n v="2409"/>
    <n v="1052"/>
    <n v="338"/>
    <n v="231"/>
    <n v="4030"/>
    <x v="7"/>
    <n v="569"/>
    <x v="0"/>
  </r>
  <r>
    <d v="2026-02-26T00:00:00"/>
    <s v="Child"/>
    <x v="42"/>
    <n v="2033"/>
    <n v="1002"/>
    <n v="331"/>
    <n v="335"/>
    <n v="3701"/>
    <x v="7"/>
    <n v="666"/>
    <x v="0"/>
  </r>
  <r>
    <d v="2026-03-26T00:00:00"/>
    <s v="Child"/>
    <x v="39"/>
    <n v="19025"/>
    <n v="7672"/>
    <n v="3301"/>
    <n v="2645"/>
    <n v="32643"/>
    <x v="28"/>
    <n v="5946"/>
    <x v="0"/>
  </r>
  <r>
    <d v="2026-03-26T00:00:00"/>
    <s v="Child"/>
    <x v="40"/>
    <n v="3386"/>
    <n v="1020"/>
    <n v="313"/>
    <n v="96"/>
    <n v="4814"/>
    <x v="28"/>
    <n v="409"/>
    <x v="0"/>
  </r>
  <r>
    <d v="2026-03-26T00:00:00"/>
    <s v="Child"/>
    <x v="41"/>
    <n v="3248"/>
    <n v="1046"/>
    <n v="293"/>
    <n v="370"/>
    <n v="4957"/>
    <x v="28"/>
    <n v="663"/>
    <x v="0"/>
  </r>
  <r>
    <d v="2026-03-26T00:00:00"/>
    <s v="Child"/>
    <x v="22"/>
    <n v="697"/>
    <n v="190"/>
    <n v="113"/>
    <n v="64"/>
    <n v="1065"/>
    <x v="28"/>
    <n v="177"/>
    <x v="0"/>
  </r>
  <r>
    <d v="2026-03-26T00:00:00"/>
    <s v="Child"/>
    <x v="26"/>
    <n v="766"/>
    <n v="153"/>
    <n v="45"/>
    <n v="29"/>
    <n v="993"/>
    <x v="28"/>
    <n v="74"/>
    <x v="0"/>
  </r>
  <r>
    <d v="2026-03-26T00:00:00"/>
    <s v="Child"/>
    <x v="20"/>
    <n v="946"/>
    <n v="510"/>
    <n v="367"/>
    <n v="160"/>
    <n v="1983"/>
    <x v="28"/>
    <n v="527"/>
    <x v="0"/>
  </r>
  <r>
    <d v="2026-03-26T00:00:00"/>
    <s v="Child"/>
    <x v="29"/>
    <n v="116"/>
    <n v="18"/>
    <n v="14"/>
    <n v="7"/>
    <n v="155"/>
    <x v="28"/>
    <n v="21"/>
    <x v="0"/>
  </r>
  <r>
    <d v="2026-03-26T00:00:00"/>
    <s v="Child"/>
    <x v="27"/>
    <n v="1961"/>
    <n v="933"/>
    <n v="549"/>
    <n v="426"/>
    <n v="3868"/>
    <x v="28"/>
    <n v="975"/>
    <x v="0"/>
  </r>
  <r>
    <d v="2026-03-26T00:00:00"/>
    <s v="Child"/>
    <x v="38"/>
    <n v="345"/>
    <n v="213"/>
    <n v="127"/>
    <n v="89"/>
    <n v="774"/>
    <x v="28"/>
    <n v="216"/>
    <x v="0"/>
  </r>
  <r>
    <d v="2026-03-26T00:00:00"/>
    <s v="Child"/>
    <x v="35"/>
    <n v="1203"/>
    <n v="215"/>
    <n v="95"/>
    <n v="236"/>
    <n v="1749"/>
    <x v="28"/>
    <n v="331"/>
    <x v="0"/>
  </r>
  <r>
    <d v="2026-03-26T00:00:00"/>
    <s v="Child"/>
    <x v="36"/>
    <n v="1963"/>
    <n v="789"/>
    <n v="460"/>
    <n v="410"/>
    <n v="3622"/>
    <x v="28"/>
    <n v="870"/>
    <x v="0"/>
  </r>
  <r>
    <d v="2026-03-26T00:00:00"/>
    <s v="Child"/>
    <x v="5"/>
    <n v="440"/>
    <n v="13"/>
    <n v="5"/>
    <n v="4"/>
    <n v="462"/>
    <x v="28"/>
    <n v="9"/>
    <x v="0"/>
  </r>
  <r>
    <d v="2026-03-26T00:00:00"/>
    <s v="Child"/>
    <x v="19"/>
    <n v="557"/>
    <n v="185"/>
    <n v="138"/>
    <n v="73"/>
    <n v="952"/>
    <x v="28"/>
    <n v="211"/>
    <x v="0"/>
  </r>
  <r>
    <d v="2026-03-26T00:00:00"/>
    <s v="Child"/>
    <x v="34"/>
    <n v="2594"/>
    <n v="1017"/>
    <n v="356"/>
    <n v="236"/>
    <n v="4202"/>
    <x v="28"/>
    <n v="592"/>
    <x v="0"/>
  </r>
  <r>
    <d v="2026-03-26T00:00:00"/>
    <s v="Child"/>
    <x v="42"/>
    <n v="2114"/>
    <n v="1039"/>
    <n v="340"/>
    <n v="326"/>
    <n v="3820"/>
    <x v="28"/>
    <n v="666"/>
    <x v="0"/>
  </r>
  <r>
    <d v="2026-04-30T00:00:00"/>
    <s v="Child"/>
    <x v="39"/>
    <n v="19159"/>
    <n v="7608"/>
    <n v="3399"/>
    <n v="2381"/>
    <n v="32548"/>
    <x v="29"/>
    <n v="5780"/>
    <x v="0"/>
  </r>
  <r>
    <d v="2026-04-30T00:00:00"/>
    <s v="Child"/>
    <x v="40"/>
    <n v="3526"/>
    <n v="1012"/>
    <n v="310"/>
    <n v="92"/>
    <n v="4940"/>
    <x v="29"/>
    <n v="402"/>
    <x v="0"/>
  </r>
  <r>
    <d v="2026-04-30T00:00:00"/>
    <s v="Child"/>
    <x v="41"/>
    <n v="3467"/>
    <n v="1046"/>
    <n v="306"/>
    <n v="355"/>
    <n v="5174"/>
    <x v="29"/>
    <n v="661"/>
    <x v="0"/>
  </r>
  <r>
    <d v="2026-04-30T00:00:00"/>
    <s v="Child"/>
    <x v="22"/>
    <n v="674"/>
    <n v="187"/>
    <n v="114"/>
    <n v="62"/>
    <n v="1037"/>
    <x v="29"/>
    <n v="176"/>
    <x v="0"/>
  </r>
  <r>
    <d v="2026-04-30T00:00:00"/>
    <s v="Child"/>
    <x v="26"/>
    <n v="768"/>
    <n v="159"/>
    <n v="40"/>
    <n v="30"/>
    <n v="996"/>
    <x v="29"/>
    <n v="70"/>
    <x v="0"/>
  </r>
  <r>
    <d v="2026-04-30T00:00:00"/>
    <s v="Child"/>
    <x v="20"/>
    <n v="1009"/>
    <n v="480"/>
    <n v="344"/>
    <n v="182"/>
    <n v="2015"/>
    <x v="29"/>
    <n v="526"/>
    <x v="0"/>
  </r>
  <r>
    <d v="2026-04-30T00:00:00"/>
    <s v="Child"/>
    <x v="29"/>
    <n v="135"/>
    <n v="19"/>
    <n v="12"/>
    <n v="4"/>
    <n v="170"/>
    <x v="29"/>
    <n v="16"/>
    <x v="0"/>
  </r>
  <r>
    <d v="2026-04-30T00:00:00"/>
    <s v="Child"/>
    <x v="27"/>
    <n v="1976"/>
    <n v="910"/>
    <n v="567"/>
    <n v="432"/>
    <n v="3885"/>
    <x v="29"/>
    <n v="999"/>
    <x v="0"/>
  </r>
  <r>
    <d v="2026-04-30T00:00:00"/>
    <s v="Child"/>
    <x v="38"/>
    <n v="332"/>
    <n v="217"/>
    <n v="125"/>
    <n v="112"/>
    <n v="786"/>
    <x v="29"/>
    <n v="237"/>
    <x v="0"/>
  </r>
  <r>
    <d v="2026-04-30T00:00:00"/>
    <s v="Child"/>
    <x v="35"/>
    <n v="1161"/>
    <n v="220"/>
    <n v="89"/>
    <n v="243"/>
    <n v="1712"/>
    <x v="29"/>
    <n v="332"/>
    <x v="0"/>
  </r>
  <r>
    <d v="2026-04-30T00:00:00"/>
    <s v="Child"/>
    <x v="36"/>
    <n v="1884"/>
    <n v="763"/>
    <n v="479"/>
    <n v="385"/>
    <n v="3510"/>
    <x v="29"/>
    <n v="864"/>
    <x v="0"/>
  </r>
  <r>
    <d v="2026-04-30T00:00:00"/>
    <s v="Child"/>
    <x v="8"/>
    <n v="432"/>
    <n v="90"/>
    <n v="4"/>
    <n v="1"/>
    <n v="527"/>
    <x v="29"/>
    <n v="5"/>
    <x v="0"/>
  </r>
  <r>
    <d v="2026-04-30T00:00:00"/>
    <s v="Child"/>
    <x v="19"/>
    <n v="499"/>
    <n v="168"/>
    <n v="135"/>
    <n v="78"/>
    <n v="880"/>
    <x v="29"/>
    <n v="213"/>
    <x v="0"/>
  </r>
  <r>
    <d v="2026-04-30T00:00:00"/>
    <s v="Child"/>
    <x v="34"/>
    <n v="2783"/>
    <n v="1073"/>
    <n v="389"/>
    <n v="227"/>
    <n v="4472"/>
    <x v="29"/>
    <n v="616"/>
    <x v="0"/>
  </r>
  <r>
    <d v="2026-04-30T00:00:00"/>
    <s v="Child"/>
    <x v="42"/>
    <n v="2225"/>
    <n v="1068"/>
    <n v="316"/>
    <n v="288"/>
    <n v="3897"/>
    <x v="29"/>
    <n v="604"/>
    <x v="0"/>
  </r>
  <r>
    <d v="2026-05-28T00:00:00"/>
    <s v="Child"/>
    <x v="23"/>
    <n v="47"/>
    <n v="9"/>
    <n v="0"/>
    <n v="3"/>
    <n v="59"/>
    <x v="8"/>
    <n v="3"/>
    <x v="0"/>
  </r>
  <r>
    <d v="2026-05-28T00:00:00"/>
    <s v="Child"/>
    <x v="39"/>
    <n v="19380"/>
    <n v="7637"/>
    <n v="3370"/>
    <n v="2357"/>
    <n v="32744"/>
    <x v="8"/>
    <n v="5727"/>
    <x v="0"/>
  </r>
  <r>
    <d v="2026-05-28T00:00:00"/>
    <s v="Child"/>
    <x v="40"/>
    <n v="3608"/>
    <n v="989"/>
    <n v="335"/>
    <n v="81"/>
    <n v="5014"/>
    <x v="8"/>
    <n v="416"/>
    <x v="0"/>
  </r>
  <r>
    <d v="2026-05-28T00:00:00"/>
    <s v="Child"/>
    <x v="41"/>
    <n v="3579"/>
    <n v="1108"/>
    <n v="298"/>
    <n v="319"/>
    <n v="5304"/>
    <x v="8"/>
    <n v="617"/>
    <x v="0"/>
  </r>
  <r>
    <d v="2026-05-28T00:00:00"/>
    <s v="Child"/>
    <x v="32"/>
    <n v="1311"/>
    <n v="38"/>
    <n v="6"/>
    <n v="4"/>
    <n v="1359"/>
    <x v="8"/>
    <n v="10"/>
    <x v="0"/>
  </r>
  <r>
    <d v="2026-05-28T00:00:00"/>
    <s v="Child"/>
    <x v="22"/>
    <n v="739"/>
    <n v="189"/>
    <n v="111"/>
    <n v="53"/>
    <n v="1092"/>
    <x v="8"/>
    <n v="164"/>
    <x v="0"/>
  </r>
  <r>
    <d v="2026-05-28T00:00:00"/>
    <s v="Child"/>
    <x v="26"/>
    <n v="726"/>
    <n v="184"/>
    <n v="35"/>
    <n v="36"/>
    <n v="980"/>
    <x v="8"/>
    <n v="71"/>
    <x v="0"/>
  </r>
  <r>
    <d v="2026-05-28T00:00:00"/>
    <s v="Child"/>
    <x v="20"/>
    <n v="1035"/>
    <n v="507"/>
    <n v="351"/>
    <n v="224"/>
    <n v="2117"/>
    <x v="8"/>
    <n v="575"/>
    <x v="0"/>
  </r>
  <r>
    <d v="2026-05-28T00:00:00"/>
    <s v="Child"/>
    <x v="29"/>
    <n v="163"/>
    <n v="26"/>
    <n v="8"/>
    <n v="3"/>
    <n v="199"/>
    <x v="8"/>
    <n v="11"/>
    <x v="0"/>
  </r>
  <r>
    <d v="2026-05-28T00:00:00"/>
    <s v="Child"/>
    <x v="27"/>
    <n v="1959"/>
    <n v="924"/>
    <n v="562"/>
    <n v="445"/>
    <n v="3890"/>
    <x v="8"/>
    <n v="1007"/>
    <x v="0"/>
  </r>
  <r>
    <d v="2026-05-28T00:00:00"/>
    <s v="Child"/>
    <x v="38"/>
    <n v="320"/>
    <n v="231"/>
    <n v="126"/>
    <n v="113"/>
    <n v="790"/>
    <x v="8"/>
    <n v="239"/>
    <x v="0"/>
  </r>
  <r>
    <d v="2026-05-28T00:00:00"/>
    <s v="Child"/>
    <x v="35"/>
    <n v="1239"/>
    <n v="247"/>
    <n v="85"/>
    <n v="255"/>
    <n v="1826"/>
    <x v="8"/>
    <n v="340"/>
    <x v="0"/>
  </r>
  <r>
    <d v="2026-05-28T00:00:00"/>
    <s v="Child"/>
    <x v="36"/>
    <n v="1939"/>
    <n v="727"/>
    <n v="464"/>
    <n v="385"/>
    <n v="3515"/>
    <x v="8"/>
    <n v="849"/>
    <x v="0"/>
  </r>
  <r>
    <d v="2026-05-28T00:00:00"/>
    <s v="Child"/>
    <x v="19"/>
    <n v="466"/>
    <n v="152"/>
    <n v="131"/>
    <n v="70"/>
    <n v="819"/>
    <x v="8"/>
    <n v="201"/>
    <x v="0"/>
  </r>
  <r>
    <d v="2026-05-28T00:00:00"/>
    <s v="Child"/>
    <x v="34"/>
    <n v="3003"/>
    <n v="1133"/>
    <n v="412"/>
    <n v="221"/>
    <n v="4769"/>
    <x v="8"/>
    <n v="633"/>
    <x v="0"/>
  </r>
  <r>
    <d v="2026-05-28T00:00:00"/>
    <s v="Child"/>
    <x v="42"/>
    <n v="2337"/>
    <n v="1065"/>
    <n v="324"/>
    <n v="269"/>
    <n v="3995"/>
    <x v="8"/>
    <n v="593"/>
    <x v="0"/>
  </r>
  <r>
    <d v="2026-06-25T00:00:00"/>
    <s v="Child"/>
    <x v="23"/>
    <n v="52"/>
    <n v="11"/>
    <n v="0"/>
    <n v="4"/>
    <n v="67"/>
    <x v="9"/>
    <n v="4"/>
    <x v="0"/>
  </r>
  <r>
    <d v="2026-06-25T00:00:00"/>
    <s v="Child"/>
    <x v="39"/>
    <n v="19314"/>
    <n v="7747"/>
    <n v="3264"/>
    <n v="2296"/>
    <n v="32620"/>
    <x v="9"/>
    <n v="5560"/>
    <x v="0"/>
  </r>
  <r>
    <d v="2026-06-25T00:00:00"/>
    <s v="Child"/>
    <x v="40"/>
    <n v="3543"/>
    <n v="977"/>
    <n v="313"/>
    <n v="73"/>
    <n v="4906"/>
    <x v="9"/>
    <n v="386"/>
    <x v="0"/>
  </r>
  <r>
    <d v="2026-06-25T00:00:00"/>
    <s v="Child"/>
    <x v="41"/>
    <n v="3492"/>
    <n v="1104"/>
    <n v="237"/>
    <n v="289"/>
    <n v="5123"/>
    <x v="9"/>
    <n v="526"/>
    <x v="0"/>
  </r>
  <r>
    <d v="2026-06-25T00:00:00"/>
    <s v="Child"/>
    <x v="32"/>
    <n v="1232"/>
    <n v="20"/>
    <n v="7"/>
    <n v="7"/>
    <n v="1265"/>
    <x v="9"/>
    <n v="14"/>
    <x v="0"/>
  </r>
  <r>
    <d v="2026-06-25T00:00:00"/>
    <s v="Child"/>
    <x v="22"/>
    <n v="722"/>
    <n v="196"/>
    <n v="107"/>
    <n v="51"/>
    <n v="1077"/>
    <x v="9"/>
    <n v="158"/>
    <x v="0"/>
  </r>
  <r>
    <d v="2026-06-25T00:00:00"/>
    <s v="Child"/>
    <x v="26"/>
    <n v="743"/>
    <n v="166"/>
    <n v="38"/>
    <n v="34"/>
    <n v="981"/>
    <x v="9"/>
    <n v="72"/>
    <x v="0"/>
  </r>
  <r>
    <d v="2026-06-25T00:00:00"/>
    <s v="Child"/>
    <x v="20"/>
    <n v="1045"/>
    <n v="514"/>
    <n v="368"/>
    <n v="257"/>
    <n v="2184"/>
    <x v="9"/>
    <n v="625"/>
    <x v="0"/>
  </r>
  <r>
    <d v="2026-06-25T00:00:00"/>
    <s v="Child"/>
    <x v="27"/>
    <n v="1964"/>
    <n v="906"/>
    <n v="540"/>
    <n v="423"/>
    <n v="3833"/>
    <x v="9"/>
    <n v="963"/>
    <x v="0"/>
  </r>
  <r>
    <d v="2026-06-25T00:00:00"/>
    <s v="Child"/>
    <x v="21"/>
    <n v="427"/>
    <n v="46"/>
    <n v="4"/>
    <n v="1"/>
    <n v="478"/>
    <x v="9"/>
    <n v="5"/>
    <x v="0"/>
  </r>
  <r>
    <d v="2026-06-25T00:00:00"/>
    <s v="Child"/>
    <x v="38"/>
    <n v="320"/>
    <n v="217"/>
    <n v="133"/>
    <n v="114"/>
    <n v="784"/>
    <x v="9"/>
    <n v="247"/>
    <x v="0"/>
  </r>
  <r>
    <d v="2026-06-25T00:00:00"/>
    <s v="Child"/>
    <x v="35"/>
    <n v="1157"/>
    <n v="213"/>
    <n v="75"/>
    <n v="256"/>
    <n v="1702"/>
    <x v="9"/>
    <n v="331"/>
    <x v="0"/>
  </r>
  <r>
    <d v="2026-06-25T00:00:00"/>
    <s v="Child"/>
    <x v="36"/>
    <n v="1850"/>
    <n v="674"/>
    <n v="429"/>
    <n v="291"/>
    <n v="3245"/>
    <x v="9"/>
    <n v="720"/>
    <x v="0"/>
  </r>
  <r>
    <d v="2026-06-25T00:00:00"/>
    <s v="Child"/>
    <x v="19"/>
    <n v="425"/>
    <n v="142"/>
    <n v="119"/>
    <n v="76"/>
    <n v="763"/>
    <x v="9"/>
    <n v="195"/>
    <x v="0"/>
  </r>
  <r>
    <d v="2026-06-25T00:00:00"/>
    <s v="Child"/>
    <x v="34"/>
    <n v="3033"/>
    <n v="1166"/>
    <n v="441"/>
    <n v="215"/>
    <n v="4854"/>
    <x v="9"/>
    <n v="656"/>
    <x v="0"/>
  </r>
  <r>
    <d v="2026-06-25T00:00:00"/>
    <s v="Child"/>
    <x v="42"/>
    <n v="2362"/>
    <n v="1064"/>
    <n v="300"/>
    <n v="259"/>
    <n v="3985"/>
    <x v="9"/>
    <n v="559"/>
    <x v="0"/>
  </r>
  <r>
    <d v="2026-07-30T00:00:00"/>
    <s v="Child"/>
    <x v="23"/>
    <n v="45"/>
    <n v="12"/>
    <n v="2"/>
    <n v="4"/>
    <n v="62"/>
    <x v="10"/>
    <n v="6"/>
    <x v="0"/>
  </r>
  <r>
    <d v="2026-07-30T00:00:00"/>
    <s v="Child"/>
    <x v="39"/>
    <n v="19829"/>
    <n v="7462"/>
    <n v="3242"/>
    <n v="2314"/>
    <n v="32848"/>
    <x v="10"/>
    <n v="5556"/>
    <x v="0"/>
  </r>
  <r>
    <d v="2026-07-30T00:00:00"/>
    <s v="Child"/>
    <x v="40"/>
    <n v="3741"/>
    <n v="932"/>
    <n v="325"/>
    <n v="89"/>
    <n v="5088"/>
    <x v="10"/>
    <n v="414"/>
    <x v="0"/>
  </r>
  <r>
    <d v="2026-07-30T00:00:00"/>
    <s v="Child"/>
    <x v="41"/>
    <n v="3638"/>
    <n v="1052"/>
    <n v="258"/>
    <n v="244"/>
    <n v="5192"/>
    <x v="10"/>
    <n v="502"/>
    <x v="0"/>
  </r>
  <r>
    <d v="2026-07-30T00:00:00"/>
    <s v="Child"/>
    <x v="32"/>
    <n v="1076"/>
    <n v="16"/>
    <n v="6"/>
    <n v="7"/>
    <n v="1105"/>
    <x v="10"/>
    <n v="13"/>
    <x v="0"/>
  </r>
  <r>
    <d v="2026-07-30T00:00:00"/>
    <s v="Child"/>
    <x v="22"/>
    <n v="670"/>
    <n v="189"/>
    <n v="104"/>
    <n v="59"/>
    <n v="1021"/>
    <x v="10"/>
    <n v="163"/>
    <x v="0"/>
  </r>
  <r>
    <d v="2026-07-30T00:00:00"/>
    <s v="Child"/>
    <x v="26"/>
    <n v="696"/>
    <n v="154"/>
    <n v="31"/>
    <n v="38"/>
    <n v="918"/>
    <x v="10"/>
    <n v="69"/>
    <x v="0"/>
  </r>
  <r>
    <d v="2026-07-30T00:00:00"/>
    <s v="Child"/>
    <x v="20"/>
    <n v="1047"/>
    <n v="533"/>
    <n v="380"/>
    <n v="271"/>
    <n v="2231"/>
    <x v="10"/>
    <n v="651"/>
    <x v="0"/>
  </r>
  <r>
    <d v="2026-07-30T00:00:00"/>
    <s v="Child"/>
    <x v="27"/>
    <n v="2005"/>
    <n v="938"/>
    <n v="550"/>
    <n v="376"/>
    <n v="3868"/>
    <x v="10"/>
    <n v="926"/>
    <x v="0"/>
  </r>
  <r>
    <d v="2026-07-30T00:00:00"/>
    <s v="Child"/>
    <x v="38"/>
    <n v="266"/>
    <n v="211"/>
    <n v="135"/>
    <n v="114"/>
    <n v="726"/>
    <x v="10"/>
    <n v="249"/>
    <x v="0"/>
  </r>
  <r>
    <d v="2026-07-30T00:00:00"/>
    <s v="Child"/>
    <x v="35"/>
    <n v="1235"/>
    <n v="199"/>
    <n v="78"/>
    <n v="240"/>
    <n v="1752"/>
    <x v="10"/>
    <n v="318"/>
    <x v="0"/>
  </r>
  <r>
    <d v="2026-07-30T00:00:00"/>
    <s v="Child"/>
    <x v="36"/>
    <n v="1927"/>
    <n v="661"/>
    <n v="359"/>
    <n v="241"/>
    <n v="3188"/>
    <x v="10"/>
    <n v="600"/>
    <x v="0"/>
  </r>
  <r>
    <d v="2026-07-30T00:00:00"/>
    <s v="Child"/>
    <x v="19"/>
    <n v="430"/>
    <n v="138"/>
    <n v="95"/>
    <n v="83"/>
    <n v="745"/>
    <x v="10"/>
    <n v="178"/>
    <x v="0"/>
  </r>
  <r>
    <d v="2026-07-30T00:00:00"/>
    <s v="Child"/>
    <x v="34"/>
    <n v="2844"/>
    <n v="1132"/>
    <n v="466"/>
    <n v="180"/>
    <n v="4622"/>
    <x v="10"/>
    <n v="646"/>
    <x v="0"/>
  </r>
  <r>
    <d v="2026-07-30T00:00:00"/>
    <s v="Child"/>
    <x v="42"/>
    <n v="2427"/>
    <n v="1048"/>
    <n v="335"/>
    <n v="241"/>
    <n v="4051"/>
    <x v="10"/>
    <n v="576"/>
    <x v="0"/>
  </r>
  <r>
    <d v="2026-08-27T00:00:00"/>
    <s v="Child"/>
    <x v="39"/>
    <n v="19948"/>
    <n v="7809"/>
    <n v="2897"/>
    <n v="2109"/>
    <n v="32763"/>
    <x v="11"/>
    <n v="5006"/>
    <x v="0"/>
  </r>
  <r>
    <d v="2026-08-27T00:00:00"/>
    <s v="Child"/>
    <x v="40"/>
    <n v="3736"/>
    <n v="1012"/>
    <n v="325"/>
    <n v="89"/>
    <n v="5163"/>
    <x v="11"/>
    <n v="414"/>
    <x v="0"/>
  </r>
  <r>
    <d v="2026-08-27T00:00:00"/>
    <s v="Child"/>
    <x v="41"/>
    <n v="3515"/>
    <n v="1090"/>
    <n v="297"/>
    <n v="244"/>
    <n v="5147"/>
    <x v="11"/>
    <n v="541"/>
    <x v="0"/>
  </r>
  <r>
    <d v="2026-08-27T00:00:00"/>
    <s v="Child"/>
    <x v="32"/>
    <n v="1098"/>
    <n v="12"/>
    <n v="5"/>
    <n v="5"/>
    <n v="1120"/>
    <x v="11"/>
    <n v="10"/>
    <x v="0"/>
  </r>
  <r>
    <d v="2026-08-27T00:00:00"/>
    <s v="Child"/>
    <x v="4"/>
    <n v="147"/>
    <n v="38"/>
    <n v="4"/>
    <n v="1"/>
    <n v="191"/>
    <x v="11"/>
    <n v="5"/>
    <x v="0"/>
  </r>
  <r>
    <d v="2026-08-27T00:00:00"/>
    <s v="Child"/>
    <x v="22"/>
    <n v="594"/>
    <n v="207"/>
    <n v="94"/>
    <n v="70"/>
    <n v="965"/>
    <x v="11"/>
    <n v="164"/>
    <x v="0"/>
  </r>
  <r>
    <d v="2026-08-27T00:00:00"/>
    <s v="Child"/>
    <x v="26"/>
    <n v="687"/>
    <n v="161"/>
    <n v="31"/>
    <n v="34"/>
    <n v="913"/>
    <x v="11"/>
    <n v="65"/>
    <x v="0"/>
  </r>
  <r>
    <d v="2026-08-27T00:00:00"/>
    <s v="Child"/>
    <x v="20"/>
    <n v="964"/>
    <n v="563"/>
    <n v="358"/>
    <n v="295"/>
    <n v="2180"/>
    <x v="11"/>
    <n v="653"/>
    <x v="0"/>
  </r>
  <r>
    <d v="2026-08-27T00:00:00"/>
    <s v="Child"/>
    <x v="27"/>
    <n v="2024"/>
    <n v="1032"/>
    <n v="546"/>
    <n v="398"/>
    <n v="3999"/>
    <x v="11"/>
    <n v="944"/>
    <x v="0"/>
  </r>
  <r>
    <d v="2026-08-27T00:00:00"/>
    <s v="Child"/>
    <x v="38"/>
    <n v="214"/>
    <n v="209"/>
    <n v="140"/>
    <n v="117"/>
    <n v="680"/>
    <x v="11"/>
    <n v="257"/>
    <x v="0"/>
  </r>
  <r>
    <d v="2026-08-27T00:00:00"/>
    <s v="Child"/>
    <x v="35"/>
    <n v="1277"/>
    <n v="234"/>
    <n v="77"/>
    <n v="215"/>
    <n v="1803"/>
    <x v="11"/>
    <n v="292"/>
    <x v="0"/>
  </r>
  <r>
    <d v="2026-08-27T00:00:00"/>
    <s v="Child"/>
    <x v="36"/>
    <n v="1717"/>
    <n v="728"/>
    <n v="283"/>
    <n v="225"/>
    <n v="2953"/>
    <x v="11"/>
    <n v="508"/>
    <x v="0"/>
  </r>
  <r>
    <d v="2026-08-27T00:00:00"/>
    <s v="Child"/>
    <x v="19"/>
    <n v="451"/>
    <n v="143"/>
    <n v="87"/>
    <n v="84"/>
    <n v="765"/>
    <x v="11"/>
    <n v="171"/>
    <x v="0"/>
  </r>
  <r>
    <d v="2026-08-27T00:00:00"/>
    <s v="Child"/>
    <x v="34"/>
    <n v="2803"/>
    <n v="1213"/>
    <n v="473"/>
    <n v="124"/>
    <n v="4614"/>
    <x v="11"/>
    <n v="597"/>
    <x v="0"/>
  </r>
  <r>
    <d v="2026-08-27T00:00:00"/>
    <s v="Child"/>
    <x v="42"/>
    <n v="2414"/>
    <n v="1131"/>
    <n v="316"/>
    <n v="248"/>
    <n v="4109"/>
    <x v="11"/>
    <n v="564"/>
    <x v="0"/>
  </r>
  <r>
    <d v="2023-01-26T00:00:00"/>
    <s v="Adult"/>
    <x v="25"/>
    <n v="59"/>
    <n v="41"/>
    <n v="21"/>
    <n v="5"/>
    <n v="126"/>
    <x v="36"/>
    <n v="26"/>
    <x v="1"/>
  </r>
  <r>
    <d v="2023-01-26T00:00:00"/>
    <s v="Adult"/>
    <x v="23"/>
    <n v="3998"/>
    <n v="1515"/>
    <n v="228"/>
    <n v="29"/>
    <n v="5771"/>
    <x v="36"/>
    <n v="257"/>
    <x v="1"/>
  </r>
  <r>
    <d v="2023-01-26T00:00:00"/>
    <s v="Adult"/>
    <x v="40"/>
    <n v="830"/>
    <n v="279"/>
    <n v="145"/>
    <n v="247"/>
    <n v="1502"/>
    <x v="36"/>
    <n v="392"/>
    <x v="1"/>
  </r>
  <r>
    <d v="2023-01-26T00:00:00"/>
    <s v="Adult"/>
    <x v="6"/>
    <n v="382"/>
    <n v="87"/>
    <n v="18"/>
    <n v="34"/>
    <n v="521"/>
    <x v="36"/>
    <n v="52"/>
    <x v="1"/>
  </r>
  <r>
    <d v="2023-01-26T00:00:00"/>
    <s v="Adult"/>
    <x v="41"/>
    <n v="4626"/>
    <n v="2404"/>
    <n v="795"/>
    <n v="1917"/>
    <n v="9743"/>
    <x v="36"/>
    <n v="2712"/>
    <x v="1"/>
  </r>
  <r>
    <d v="2023-01-26T00:00:00"/>
    <s v="Adult"/>
    <x v="32"/>
    <n v="1495"/>
    <n v="334"/>
    <n v="198"/>
    <n v="344"/>
    <n v="2371"/>
    <x v="36"/>
    <n v="542"/>
    <x v="1"/>
  </r>
  <r>
    <d v="2023-01-26T00:00:00"/>
    <s v="Adult"/>
    <x v="43"/>
    <n v="3503"/>
    <n v="984"/>
    <n v="527"/>
    <n v="948"/>
    <n v="5963"/>
    <x v="36"/>
    <n v="1475"/>
    <x v="1"/>
  </r>
  <r>
    <d v="2023-01-26T00:00:00"/>
    <s v="Adult"/>
    <x v="22"/>
    <n v="521"/>
    <n v="129"/>
    <n v="40"/>
    <n v="91"/>
    <n v="781"/>
    <x v="36"/>
    <n v="131"/>
    <x v="1"/>
  </r>
  <r>
    <d v="2023-01-26T00:00:00"/>
    <s v="Adult"/>
    <x v="2"/>
    <n v="475"/>
    <n v="156"/>
    <n v="72"/>
    <n v="49"/>
    <n v="753"/>
    <x v="36"/>
    <n v="121"/>
    <x v="1"/>
  </r>
  <r>
    <d v="2023-01-26T00:00:00"/>
    <s v="Adult"/>
    <x v="26"/>
    <n v="437"/>
    <n v="148"/>
    <n v="64"/>
    <n v="27"/>
    <n v="676"/>
    <x v="36"/>
    <n v="91"/>
    <x v="1"/>
  </r>
  <r>
    <d v="2023-01-26T00:00:00"/>
    <s v="Adult"/>
    <x v="20"/>
    <n v="183"/>
    <n v="88"/>
    <n v="20"/>
    <n v="28"/>
    <n v="319"/>
    <x v="36"/>
    <n v="48"/>
    <x v="1"/>
  </r>
  <r>
    <d v="2023-01-26T00:00:00"/>
    <s v="Adult"/>
    <x v="18"/>
    <n v="954"/>
    <n v="375"/>
    <n v="49"/>
    <n v="80"/>
    <n v="1458"/>
    <x v="36"/>
    <n v="129"/>
    <x v="1"/>
  </r>
  <r>
    <d v="2023-01-26T00:00:00"/>
    <s v="Adult"/>
    <x v="29"/>
    <n v="1479"/>
    <n v="380"/>
    <n v="56"/>
    <n v="22"/>
    <n v="1937"/>
    <x v="36"/>
    <n v="78"/>
    <x v="1"/>
  </r>
  <r>
    <d v="2023-01-26T00:00:00"/>
    <s v="Adult"/>
    <x v="21"/>
    <n v="443"/>
    <n v="141"/>
    <n v="49"/>
    <n v="4"/>
    <n v="638"/>
    <x v="36"/>
    <n v="53"/>
    <x v="1"/>
  </r>
  <r>
    <d v="2023-01-26T00:00:00"/>
    <s v="Adult"/>
    <x v="7"/>
    <n v="463"/>
    <n v="159"/>
    <n v="56"/>
    <n v="65"/>
    <n v="743"/>
    <x v="36"/>
    <n v="121"/>
    <x v="1"/>
  </r>
  <r>
    <d v="2023-01-26T00:00:00"/>
    <s v="Adult"/>
    <x v="38"/>
    <n v="1919"/>
    <n v="630"/>
    <n v="75"/>
    <n v="42"/>
    <n v="2666"/>
    <x v="36"/>
    <n v="117"/>
    <x v="1"/>
  </r>
  <r>
    <d v="2023-01-26T00:00:00"/>
    <s v="Adult"/>
    <x v="35"/>
    <n v="1864"/>
    <n v="847"/>
    <n v="301"/>
    <n v="332"/>
    <n v="3344"/>
    <x v="36"/>
    <n v="633"/>
    <x v="1"/>
  </r>
  <r>
    <d v="2023-01-26T00:00:00"/>
    <s v="Adult"/>
    <x v="36"/>
    <n v="2215"/>
    <n v="908"/>
    <n v="277"/>
    <n v="275"/>
    <n v="3676"/>
    <x v="36"/>
    <n v="552"/>
    <x v="1"/>
  </r>
  <r>
    <d v="2023-01-26T00:00:00"/>
    <s v="Adult"/>
    <x v="37"/>
    <n v="396"/>
    <n v="133"/>
    <n v="14"/>
    <n v="53"/>
    <n v="596"/>
    <x v="36"/>
    <n v="67"/>
    <x v="1"/>
  </r>
  <r>
    <d v="2023-01-26T00:00:00"/>
    <s v="Adult"/>
    <x v="44"/>
    <n v="3155"/>
    <n v="1190"/>
    <n v="526"/>
    <n v="1124"/>
    <n v="5996"/>
    <x v="36"/>
    <n v="1650"/>
    <x v="1"/>
  </r>
  <r>
    <d v="2023-01-26T00:00:00"/>
    <s v="Adult"/>
    <x v="5"/>
    <n v="530"/>
    <n v="217"/>
    <n v="69"/>
    <n v="41"/>
    <n v="857"/>
    <x v="36"/>
    <n v="110"/>
    <x v="1"/>
  </r>
  <r>
    <d v="2023-01-26T00:00:00"/>
    <s v="Adult"/>
    <x v="45"/>
    <n v="1007"/>
    <n v="222"/>
    <n v="29"/>
    <n v="8"/>
    <n v="1266"/>
    <x v="36"/>
    <n v="37"/>
    <x v="1"/>
  </r>
  <r>
    <d v="2023-01-26T00:00:00"/>
    <s v="Adult"/>
    <x v="46"/>
    <n v="2563"/>
    <n v="621"/>
    <n v="204"/>
    <n v="418"/>
    <n v="3807"/>
    <x v="36"/>
    <n v="622"/>
    <x v="1"/>
  </r>
  <r>
    <d v="2023-01-26T00:00:00"/>
    <s v="Adult"/>
    <x v="12"/>
    <n v="2033"/>
    <n v="365"/>
    <n v="120"/>
    <n v="135"/>
    <n v="2654"/>
    <x v="36"/>
    <n v="255"/>
    <x v="1"/>
  </r>
  <r>
    <d v="2023-01-26T00:00:00"/>
    <s v="Adult"/>
    <x v="42"/>
    <n v="3148"/>
    <n v="1059"/>
    <n v="447"/>
    <n v="893"/>
    <n v="5548"/>
    <x v="36"/>
    <n v="1340"/>
    <x v="1"/>
  </r>
  <r>
    <d v="2023-01-26T00:00:00"/>
    <s v="Adult"/>
    <x v="24"/>
    <n v="521"/>
    <n v="202"/>
    <n v="134"/>
    <n v="36"/>
    <n v="893"/>
    <x v="36"/>
    <n v="170"/>
    <x v="1"/>
  </r>
  <r>
    <d v="2023-02-23T00:00:00"/>
    <s v="Adult"/>
    <x v="25"/>
    <n v="50"/>
    <n v="45"/>
    <n v="26"/>
    <n v="7"/>
    <n v="128"/>
    <x v="37"/>
    <n v="33"/>
    <x v="1"/>
  </r>
  <r>
    <d v="2023-02-23T00:00:00"/>
    <s v="Adult"/>
    <x v="23"/>
    <n v="3981"/>
    <n v="1635"/>
    <n v="383"/>
    <n v="86"/>
    <n v="6086"/>
    <x v="37"/>
    <n v="469"/>
    <x v="1"/>
  </r>
  <r>
    <d v="2023-02-23T00:00:00"/>
    <s v="Adult"/>
    <x v="40"/>
    <n v="774"/>
    <n v="273"/>
    <n v="174"/>
    <n v="254"/>
    <n v="1475"/>
    <x v="37"/>
    <n v="428"/>
    <x v="1"/>
  </r>
  <r>
    <d v="2023-02-23T00:00:00"/>
    <s v="Adult"/>
    <x v="6"/>
    <n v="398"/>
    <n v="83"/>
    <n v="19"/>
    <n v="22"/>
    <n v="522"/>
    <x v="37"/>
    <n v="41"/>
    <x v="1"/>
  </r>
  <r>
    <d v="2023-02-23T00:00:00"/>
    <s v="Adult"/>
    <x v="41"/>
    <n v="4557"/>
    <n v="2451"/>
    <n v="855"/>
    <n v="1931"/>
    <n v="9794"/>
    <x v="37"/>
    <n v="2786"/>
    <x v="1"/>
  </r>
  <r>
    <d v="2023-02-23T00:00:00"/>
    <s v="Adult"/>
    <x v="32"/>
    <n v="1423"/>
    <n v="409"/>
    <n v="193"/>
    <n v="355"/>
    <n v="2381"/>
    <x v="37"/>
    <n v="548"/>
    <x v="1"/>
  </r>
  <r>
    <d v="2023-02-23T00:00:00"/>
    <s v="Adult"/>
    <x v="43"/>
    <n v="3542"/>
    <n v="898"/>
    <n v="496"/>
    <n v="971"/>
    <n v="5907"/>
    <x v="37"/>
    <n v="1467"/>
    <x v="1"/>
  </r>
  <r>
    <d v="2023-02-23T00:00:00"/>
    <s v="Adult"/>
    <x v="22"/>
    <n v="531"/>
    <n v="122"/>
    <n v="57"/>
    <n v="77"/>
    <n v="788"/>
    <x v="37"/>
    <n v="134"/>
    <x v="1"/>
  </r>
  <r>
    <d v="2023-02-23T00:00:00"/>
    <s v="Adult"/>
    <x v="2"/>
    <n v="522"/>
    <n v="164"/>
    <n v="67"/>
    <n v="49"/>
    <n v="803"/>
    <x v="37"/>
    <n v="116"/>
    <x v="1"/>
  </r>
  <r>
    <d v="2023-02-23T00:00:00"/>
    <s v="Adult"/>
    <x v="26"/>
    <n v="451"/>
    <n v="163"/>
    <n v="85"/>
    <n v="35"/>
    <n v="735"/>
    <x v="37"/>
    <n v="120"/>
    <x v="1"/>
  </r>
  <r>
    <d v="2023-02-23T00:00:00"/>
    <s v="Adult"/>
    <x v="20"/>
    <n v="149"/>
    <n v="92"/>
    <n v="20"/>
    <n v="9"/>
    <n v="271"/>
    <x v="37"/>
    <n v="29"/>
    <x v="1"/>
  </r>
  <r>
    <d v="2023-02-23T00:00:00"/>
    <s v="Adult"/>
    <x v="18"/>
    <n v="959"/>
    <n v="422"/>
    <n v="50"/>
    <n v="64"/>
    <n v="1495"/>
    <x v="37"/>
    <n v="114"/>
    <x v="1"/>
  </r>
  <r>
    <d v="2023-02-23T00:00:00"/>
    <s v="Adult"/>
    <x v="29"/>
    <n v="1421"/>
    <n v="328"/>
    <n v="58"/>
    <n v="26"/>
    <n v="1833"/>
    <x v="37"/>
    <n v="84"/>
    <x v="1"/>
  </r>
  <r>
    <d v="2023-02-23T00:00:00"/>
    <s v="Adult"/>
    <x v="0"/>
    <n v="735"/>
    <n v="67"/>
    <n v="6"/>
    <n v="4"/>
    <n v="813"/>
    <x v="37"/>
    <n v="10"/>
    <x v="1"/>
  </r>
  <r>
    <d v="2023-02-23T00:00:00"/>
    <s v="Adult"/>
    <x v="7"/>
    <n v="432"/>
    <n v="171"/>
    <n v="73"/>
    <n v="60"/>
    <n v="736"/>
    <x v="37"/>
    <n v="133"/>
    <x v="1"/>
  </r>
  <r>
    <d v="2023-02-23T00:00:00"/>
    <s v="Adult"/>
    <x v="38"/>
    <n v="1863"/>
    <n v="685"/>
    <n v="88"/>
    <n v="40"/>
    <n v="2676"/>
    <x v="37"/>
    <n v="128"/>
    <x v="1"/>
  </r>
  <r>
    <d v="2023-02-23T00:00:00"/>
    <s v="Adult"/>
    <x v="35"/>
    <n v="1843"/>
    <n v="792"/>
    <n v="297"/>
    <n v="332"/>
    <n v="3264"/>
    <x v="37"/>
    <n v="629"/>
    <x v="1"/>
  </r>
  <r>
    <d v="2023-02-23T00:00:00"/>
    <s v="Adult"/>
    <x v="36"/>
    <n v="2320"/>
    <n v="814"/>
    <n v="297"/>
    <n v="274"/>
    <n v="3706"/>
    <x v="37"/>
    <n v="571"/>
    <x v="1"/>
  </r>
  <r>
    <d v="2023-02-23T00:00:00"/>
    <s v="Adult"/>
    <x v="37"/>
    <n v="458"/>
    <n v="124"/>
    <n v="28"/>
    <n v="50"/>
    <n v="661"/>
    <x v="37"/>
    <n v="78"/>
    <x v="1"/>
  </r>
  <r>
    <d v="2023-02-23T00:00:00"/>
    <s v="Adult"/>
    <x v="44"/>
    <n v="3297"/>
    <n v="1214"/>
    <n v="560"/>
    <n v="1085"/>
    <n v="6157"/>
    <x v="37"/>
    <n v="1645"/>
    <x v="1"/>
  </r>
  <r>
    <d v="2023-02-23T00:00:00"/>
    <s v="Adult"/>
    <x v="5"/>
    <n v="508"/>
    <n v="213"/>
    <n v="56"/>
    <n v="23"/>
    <n v="800"/>
    <x v="37"/>
    <n v="79"/>
    <x v="1"/>
  </r>
  <r>
    <d v="2023-02-23T00:00:00"/>
    <s v="Adult"/>
    <x v="45"/>
    <n v="868"/>
    <n v="194"/>
    <n v="30"/>
    <n v="19"/>
    <n v="1112"/>
    <x v="37"/>
    <n v="49"/>
    <x v="1"/>
  </r>
  <r>
    <d v="2023-02-23T00:00:00"/>
    <s v="Adult"/>
    <x v="46"/>
    <n v="2568"/>
    <n v="625"/>
    <n v="239"/>
    <n v="437"/>
    <n v="3870"/>
    <x v="37"/>
    <n v="676"/>
    <x v="1"/>
  </r>
  <r>
    <d v="2023-02-23T00:00:00"/>
    <s v="Adult"/>
    <x v="12"/>
    <n v="1943"/>
    <n v="346"/>
    <n v="140"/>
    <n v="126"/>
    <n v="2555"/>
    <x v="37"/>
    <n v="266"/>
    <x v="1"/>
  </r>
  <r>
    <d v="2023-02-23T00:00:00"/>
    <s v="Adult"/>
    <x v="34"/>
    <n v="1623"/>
    <n v="686"/>
    <n v="64"/>
    <n v="8"/>
    <n v="2381"/>
    <x v="37"/>
    <n v="72"/>
    <x v="1"/>
  </r>
  <r>
    <d v="2023-02-23T00:00:00"/>
    <s v="Adult"/>
    <x v="42"/>
    <n v="3405"/>
    <n v="1039"/>
    <n v="512"/>
    <n v="904"/>
    <n v="5861"/>
    <x v="37"/>
    <n v="1416"/>
    <x v="1"/>
  </r>
  <r>
    <d v="2023-02-23T00:00:00"/>
    <s v="Adult"/>
    <x v="24"/>
    <n v="521"/>
    <n v="186"/>
    <n v="125"/>
    <n v="52"/>
    <n v="884"/>
    <x v="37"/>
    <n v="177"/>
    <x v="1"/>
  </r>
  <r>
    <d v="2023-03-30T00:00:00"/>
    <s v="Adult"/>
    <x v="25"/>
    <n v="78"/>
    <n v="35"/>
    <n v="24"/>
    <n v="9"/>
    <n v="146"/>
    <x v="38"/>
    <n v="33"/>
    <x v="1"/>
  </r>
  <r>
    <d v="2023-03-30T00:00:00"/>
    <s v="Adult"/>
    <x v="23"/>
    <n v="4144"/>
    <n v="1794"/>
    <n v="534"/>
    <n v="127"/>
    <n v="6599"/>
    <x v="38"/>
    <n v="661"/>
    <x v="1"/>
  </r>
  <r>
    <d v="2023-03-30T00:00:00"/>
    <s v="Adult"/>
    <x v="40"/>
    <n v="773"/>
    <n v="295"/>
    <n v="160"/>
    <n v="266"/>
    <n v="1494"/>
    <x v="38"/>
    <n v="426"/>
    <x v="1"/>
  </r>
  <r>
    <d v="2023-03-30T00:00:00"/>
    <s v="Adult"/>
    <x v="6"/>
    <n v="398"/>
    <n v="99"/>
    <n v="23"/>
    <n v="11"/>
    <n v="531"/>
    <x v="38"/>
    <n v="34"/>
    <x v="1"/>
  </r>
  <r>
    <d v="2023-03-30T00:00:00"/>
    <s v="Adult"/>
    <x v="41"/>
    <n v="4680"/>
    <n v="2416"/>
    <n v="936"/>
    <n v="1998"/>
    <n v="10030"/>
    <x v="38"/>
    <n v="2934"/>
    <x v="1"/>
  </r>
  <r>
    <d v="2023-03-30T00:00:00"/>
    <s v="Adult"/>
    <x v="32"/>
    <n v="1326"/>
    <n v="373"/>
    <n v="169"/>
    <n v="363"/>
    <n v="2231"/>
    <x v="38"/>
    <n v="532"/>
    <x v="1"/>
  </r>
  <r>
    <d v="2023-03-30T00:00:00"/>
    <s v="Adult"/>
    <x v="43"/>
    <n v="3488"/>
    <n v="941"/>
    <n v="475"/>
    <n v="976"/>
    <n v="5879"/>
    <x v="38"/>
    <n v="1451"/>
    <x v="1"/>
  </r>
  <r>
    <d v="2023-03-30T00:00:00"/>
    <s v="Adult"/>
    <x v="22"/>
    <n v="511"/>
    <n v="129"/>
    <n v="51"/>
    <n v="99"/>
    <n v="790"/>
    <x v="38"/>
    <n v="150"/>
    <x v="1"/>
  </r>
  <r>
    <d v="2023-03-30T00:00:00"/>
    <s v="Adult"/>
    <x v="2"/>
    <n v="558"/>
    <n v="152"/>
    <n v="74"/>
    <n v="48"/>
    <n v="832"/>
    <x v="38"/>
    <n v="122"/>
    <x v="1"/>
  </r>
  <r>
    <d v="2023-03-30T00:00:00"/>
    <s v="Adult"/>
    <x v="26"/>
    <n v="549"/>
    <n v="156"/>
    <n v="98"/>
    <n v="29"/>
    <n v="832"/>
    <x v="38"/>
    <n v="127"/>
    <x v="1"/>
  </r>
  <r>
    <d v="2023-03-30T00:00:00"/>
    <s v="Adult"/>
    <x v="20"/>
    <n v="153"/>
    <n v="83"/>
    <n v="26"/>
    <n v="18"/>
    <n v="280"/>
    <x v="38"/>
    <n v="44"/>
    <x v="1"/>
  </r>
  <r>
    <d v="2023-03-30T00:00:00"/>
    <s v="Adult"/>
    <x v="18"/>
    <n v="781"/>
    <n v="350"/>
    <n v="84"/>
    <n v="49"/>
    <n v="1264"/>
    <x v="38"/>
    <n v="133"/>
    <x v="1"/>
  </r>
  <r>
    <d v="2023-03-30T00:00:00"/>
    <s v="Adult"/>
    <x v="29"/>
    <n v="1424"/>
    <n v="303"/>
    <n v="50"/>
    <n v="21"/>
    <n v="1798"/>
    <x v="38"/>
    <n v="71"/>
    <x v="1"/>
  </r>
  <r>
    <d v="2023-03-30T00:00:00"/>
    <s v="Adult"/>
    <x v="7"/>
    <n v="446"/>
    <n v="157"/>
    <n v="54"/>
    <n v="47"/>
    <n v="704"/>
    <x v="38"/>
    <n v="101"/>
    <x v="1"/>
  </r>
  <r>
    <d v="2023-03-30T00:00:00"/>
    <s v="Adult"/>
    <x v="38"/>
    <n v="1913"/>
    <n v="832"/>
    <n v="101"/>
    <n v="15"/>
    <n v="2861"/>
    <x v="38"/>
    <n v="116"/>
    <x v="1"/>
  </r>
  <r>
    <d v="2023-03-30T00:00:00"/>
    <s v="Adult"/>
    <x v="35"/>
    <n v="1866"/>
    <n v="801"/>
    <n v="304"/>
    <n v="303"/>
    <n v="3274"/>
    <x v="38"/>
    <n v="607"/>
    <x v="1"/>
  </r>
  <r>
    <d v="2023-03-30T00:00:00"/>
    <s v="Adult"/>
    <x v="36"/>
    <n v="2426"/>
    <n v="820"/>
    <n v="355"/>
    <n v="234"/>
    <n v="3835"/>
    <x v="38"/>
    <n v="589"/>
    <x v="1"/>
  </r>
  <r>
    <d v="2023-03-30T00:00:00"/>
    <s v="Adult"/>
    <x v="37"/>
    <n v="441"/>
    <n v="139"/>
    <n v="22"/>
    <n v="35"/>
    <n v="637"/>
    <x v="38"/>
    <n v="57"/>
    <x v="1"/>
  </r>
  <r>
    <d v="2023-03-30T00:00:00"/>
    <s v="Adult"/>
    <x v="44"/>
    <n v="3327"/>
    <n v="1243"/>
    <n v="604"/>
    <n v="1072"/>
    <n v="6246"/>
    <x v="38"/>
    <n v="1676"/>
    <x v="1"/>
  </r>
  <r>
    <d v="2023-03-30T00:00:00"/>
    <s v="Adult"/>
    <x v="5"/>
    <n v="547"/>
    <n v="221"/>
    <n v="71"/>
    <n v="25"/>
    <n v="864"/>
    <x v="38"/>
    <n v="96"/>
    <x v="1"/>
  </r>
  <r>
    <d v="2023-03-30T00:00:00"/>
    <s v="Adult"/>
    <x v="45"/>
    <n v="749"/>
    <n v="221"/>
    <n v="32"/>
    <n v="17"/>
    <n v="1019"/>
    <x v="38"/>
    <n v="49"/>
    <x v="1"/>
  </r>
  <r>
    <d v="2023-03-30T00:00:00"/>
    <s v="Adult"/>
    <x v="46"/>
    <n v="2751"/>
    <n v="675"/>
    <n v="235"/>
    <n v="454"/>
    <n v="4115"/>
    <x v="38"/>
    <n v="689"/>
    <x v="1"/>
  </r>
  <r>
    <d v="2023-03-30T00:00:00"/>
    <s v="Adult"/>
    <x v="12"/>
    <n v="1938"/>
    <n v="353"/>
    <n v="140"/>
    <n v="124"/>
    <n v="2555"/>
    <x v="38"/>
    <n v="264"/>
    <x v="1"/>
  </r>
  <r>
    <d v="2023-03-30T00:00:00"/>
    <s v="Adult"/>
    <x v="42"/>
    <n v="3560"/>
    <n v="1058"/>
    <n v="555"/>
    <n v="926"/>
    <n v="6099"/>
    <x v="38"/>
    <n v="1481"/>
    <x v="1"/>
  </r>
  <r>
    <d v="2023-03-30T00:00:00"/>
    <s v="Adult"/>
    <x v="24"/>
    <n v="504"/>
    <n v="217"/>
    <n v="137"/>
    <n v="21"/>
    <n v="879"/>
    <x v="38"/>
    <n v="158"/>
    <x v="1"/>
  </r>
  <r>
    <d v="2023-04-27T00:00:00"/>
    <s v="Adult"/>
    <x v="25"/>
    <n v="68"/>
    <n v="36"/>
    <n v="18"/>
    <n v="13"/>
    <n v="135"/>
    <x v="39"/>
    <n v="31"/>
    <x v="1"/>
  </r>
  <r>
    <d v="2023-04-27T00:00:00"/>
    <s v="Adult"/>
    <x v="23"/>
    <n v="3982"/>
    <n v="1909"/>
    <n v="618"/>
    <n v="136"/>
    <n v="6645"/>
    <x v="39"/>
    <n v="754"/>
    <x v="1"/>
  </r>
  <r>
    <d v="2023-04-27T00:00:00"/>
    <s v="Adult"/>
    <x v="9"/>
    <n v="90"/>
    <n v="21"/>
    <n v="2"/>
    <n v="4"/>
    <n v="117"/>
    <x v="39"/>
    <n v="6"/>
    <x v="1"/>
  </r>
  <r>
    <d v="2023-04-27T00:00:00"/>
    <s v="Adult"/>
    <x v="40"/>
    <n v="740"/>
    <n v="272"/>
    <n v="177"/>
    <n v="253"/>
    <n v="1442"/>
    <x v="39"/>
    <n v="430"/>
    <x v="1"/>
  </r>
  <r>
    <d v="2023-04-27T00:00:00"/>
    <s v="Adult"/>
    <x v="6"/>
    <n v="421"/>
    <n v="106"/>
    <n v="21"/>
    <n v="15"/>
    <n v="563"/>
    <x v="39"/>
    <n v="36"/>
    <x v="1"/>
  </r>
  <r>
    <d v="2023-04-27T00:00:00"/>
    <s v="Adult"/>
    <x v="41"/>
    <n v="4328"/>
    <n v="2476"/>
    <n v="857"/>
    <n v="2013"/>
    <n v="9673"/>
    <x v="39"/>
    <n v="2870"/>
    <x v="1"/>
  </r>
  <r>
    <d v="2023-04-27T00:00:00"/>
    <s v="Adult"/>
    <x v="32"/>
    <n v="1364"/>
    <n v="391"/>
    <n v="159"/>
    <n v="368"/>
    <n v="2283"/>
    <x v="39"/>
    <n v="527"/>
    <x v="1"/>
  </r>
  <r>
    <d v="2023-04-27T00:00:00"/>
    <s v="Adult"/>
    <x v="43"/>
    <n v="3264"/>
    <n v="930"/>
    <n v="471"/>
    <n v="1008"/>
    <n v="5674"/>
    <x v="39"/>
    <n v="1479"/>
    <x v="1"/>
  </r>
  <r>
    <d v="2023-04-27T00:00:00"/>
    <s v="Adult"/>
    <x v="22"/>
    <n v="514"/>
    <n v="139"/>
    <n v="50"/>
    <n v="95"/>
    <n v="798"/>
    <x v="39"/>
    <n v="145"/>
    <x v="1"/>
  </r>
  <r>
    <d v="2023-04-27T00:00:00"/>
    <s v="Adult"/>
    <x v="2"/>
    <n v="543"/>
    <n v="160"/>
    <n v="80"/>
    <n v="45"/>
    <n v="828"/>
    <x v="39"/>
    <n v="125"/>
    <x v="1"/>
  </r>
  <r>
    <d v="2023-04-27T00:00:00"/>
    <s v="Adult"/>
    <x v="26"/>
    <n v="661"/>
    <n v="148"/>
    <n v="75"/>
    <n v="29"/>
    <n v="914"/>
    <x v="39"/>
    <n v="104"/>
    <x v="1"/>
  </r>
  <r>
    <d v="2023-04-27T00:00:00"/>
    <s v="Adult"/>
    <x v="20"/>
    <n v="146"/>
    <n v="70"/>
    <n v="30"/>
    <n v="22"/>
    <n v="269"/>
    <x v="39"/>
    <n v="52"/>
    <x v="1"/>
  </r>
  <r>
    <d v="2023-04-27T00:00:00"/>
    <s v="Adult"/>
    <x v="18"/>
    <n v="736"/>
    <n v="288"/>
    <n v="82"/>
    <n v="34"/>
    <n v="1140"/>
    <x v="39"/>
    <n v="116"/>
    <x v="1"/>
  </r>
  <r>
    <d v="2023-04-27T00:00:00"/>
    <s v="Adult"/>
    <x v="29"/>
    <n v="1422"/>
    <n v="280"/>
    <n v="21"/>
    <n v="28"/>
    <n v="1751"/>
    <x v="39"/>
    <n v="49"/>
    <x v="1"/>
  </r>
  <r>
    <d v="2023-04-27T00:00:00"/>
    <s v="Adult"/>
    <x v="7"/>
    <n v="509"/>
    <n v="153"/>
    <n v="48"/>
    <n v="48"/>
    <n v="758"/>
    <x v="39"/>
    <n v="96"/>
    <x v="1"/>
  </r>
  <r>
    <d v="2023-04-27T00:00:00"/>
    <s v="Adult"/>
    <x v="38"/>
    <n v="1982"/>
    <n v="848"/>
    <n v="111"/>
    <n v="17"/>
    <n v="2958"/>
    <x v="39"/>
    <n v="128"/>
    <x v="1"/>
  </r>
  <r>
    <d v="2023-04-27T00:00:00"/>
    <s v="Adult"/>
    <x v="35"/>
    <n v="1630"/>
    <n v="805"/>
    <n v="279"/>
    <n v="271"/>
    <n v="2986"/>
    <x v="39"/>
    <n v="550"/>
    <x v="1"/>
  </r>
  <r>
    <d v="2023-04-27T00:00:00"/>
    <s v="Adult"/>
    <x v="36"/>
    <n v="2456"/>
    <n v="821"/>
    <n v="350"/>
    <n v="234"/>
    <n v="3860"/>
    <x v="39"/>
    <n v="584"/>
    <x v="1"/>
  </r>
  <r>
    <d v="2023-04-27T00:00:00"/>
    <s v="Adult"/>
    <x v="37"/>
    <n v="483"/>
    <n v="146"/>
    <n v="41"/>
    <n v="27"/>
    <n v="698"/>
    <x v="39"/>
    <n v="68"/>
    <x v="1"/>
  </r>
  <r>
    <d v="2023-04-27T00:00:00"/>
    <s v="Adult"/>
    <x v="44"/>
    <n v="3396"/>
    <n v="1345"/>
    <n v="601"/>
    <n v="1114"/>
    <n v="6457"/>
    <x v="39"/>
    <n v="1715"/>
    <x v="1"/>
  </r>
  <r>
    <d v="2023-04-27T00:00:00"/>
    <s v="Adult"/>
    <x v="5"/>
    <n v="545"/>
    <n v="243"/>
    <n v="78"/>
    <n v="28"/>
    <n v="894"/>
    <x v="39"/>
    <n v="106"/>
    <x v="1"/>
  </r>
  <r>
    <d v="2023-04-27T00:00:00"/>
    <s v="Adult"/>
    <x v="45"/>
    <n v="636"/>
    <n v="230"/>
    <n v="26"/>
    <n v="14"/>
    <n v="906"/>
    <x v="39"/>
    <n v="40"/>
    <x v="1"/>
  </r>
  <r>
    <d v="2023-04-27T00:00:00"/>
    <s v="Adult"/>
    <x v="46"/>
    <n v="2745"/>
    <n v="707"/>
    <n v="236"/>
    <n v="458"/>
    <n v="4146"/>
    <x v="39"/>
    <n v="694"/>
    <x v="1"/>
  </r>
  <r>
    <d v="2023-04-27T00:00:00"/>
    <s v="Adult"/>
    <x v="12"/>
    <n v="1906"/>
    <n v="358"/>
    <n v="133"/>
    <n v="131"/>
    <n v="2528"/>
    <x v="39"/>
    <n v="264"/>
    <x v="1"/>
  </r>
  <r>
    <d v="2023-04-27T00:00:00"/>
    <s v="Adult"/>
    <x v="42"/>
    <n v="3593"/>
    <n v="1094"/>
    <n v="543"/>
    <n v="957"/>
    <n v="6186"/>
    <x v="39"/>
    <n v="1500"/>
    <x v="1"/>
  </r>
  <r>
    <d v="2023-04-27T00:00:00"/>
    <s v="Adult"/>
    <x v="24"/>
    <n v="447"/>
    <n v="224"/>
    <n v="125"/>
    <n v="39"/>
    <n v="836"/>
    <x v="39"/>
    <n v="164"/>
    <x v="1"/>
  </r>
  <r>
    <d v="2023-05-25T00:00:00"/>
    <s v="Adult"/>
    <x v="25"/>
    <n v="87"/>
    <n v="33"/>
    <n v="21"/>
    <n v="15"/>
    <n v="156"/>
    <x v="40"/>
    <n v="36"/>
    <x v="1"/>
  </r>
  <r>
    <d v="2023-05-25T00:00:00"/>
    <s v="Adult"/>
    <x v="23"/>
    <n v="4044"/>
    <n v="1780"/>
    <n v="667"/>
    <n v="124"/>
    <n v="6616"/>
    <x v="40"/>
    <n v="791"/>
    <x v="1"/>
  </r>
  <r>
    <d v="2023-05-25T00:00:00"/>
    <s v="Adult"/>
    <x v="40"/>
    <n v="702"/>
    <n v="283"/>
    <n v="178"/>
    <n v="256"/>
    <n v="1419"/>
    <x v="40"/>
    <n v="434"/>
    <x v="1"/>
  </r>
  <r>
    <d v="2023-05-25T00:00:00"/>
    <s v="Adult"/>
    <x v="6"/>
    <n v="457"/>
    <n v="107"/>
    <n v="28"/>
    <n v="18"/>
    <n v="610"/>
    <x v="40"/>
    <n v="46"/>
    <x v="1"/>
  </r>
  <r>
    <d v="2023-05-25T00:00:00"/>
    <s v="Adult"/>
    <x v="41"/>
    <n v="4442"/>
    <n v="2405"/>
    <n v="944"/>
    <n v="2053"/>
    <n v="9844"/>
    <x v="40"/>
    <n v="2997"/>
    <x v="1"/>
  </r>
  <r>
    <d v="2023-05-25T00:00:00"/>
    <s v="Adult"/>
    <x v="32"/>
    <n v="1193"/>
    <n v="381"/>
    <n v="140"/>
    <n v="328"/>
    <n v="2042"/>
    <x v="40"/>
    <n v="468"/>
    <x v="1"/>
  </r>
  <r>
    <d v="2023-05-25T00:00:00"/>
    <s v="Adult"/>
    <x v="43"/>
    <n v="3287"/>
    <n v="909"/>
    <n v="483"/>
    <n v="1000"/>
    <n v="5679"/>
    <x v="40"/>
    <n v="1483"/>
    <x v="1"/>
  </r>
  <r>
    <d v="2023-05-25T00:00:00"/>
    <s v="Adult"/>
    <x v="22"/>
    <n v="465"/>
    <n v="141"/>
    <n v="55"/>
    <n v="89"/>
    <n v="750"/>
    <x v="40"/>
    <n v="144"/>
    <x v="1"/>
  </r>
  <r>
    <d v="2023-05-25T00:00:00"/>
    <s v="Adult"/>
    <x v="2"/>
    <n v="556"/>
    <n v="154"/>
    <n v="84"/>
    <n v="38"/>
    <n v="832"/>
    <x v="40"/>
    <n v="122"/>
    <x v="1"/>
  </r>
  <r>
    <d v="2023-05-25T00:00:00"/>
    <s v="Adult"/>
    <x v="26"/>
    <n v="645"/>
    <n v="155"/>
    <n v="68"/>
    <n v="8"/>
    <n v="876"/>
    <x v="40"/>
    <n v="76"/>
    <x v="1"/>
  </r>
  <r>
    <d v="2023-05-25T00:00:00"/>
    <s v="Adult"/>
    <x v="20"/>
    <n v="143"/>
    <n v="87"/>
    <n v="25"/>
    <n v="10"/>
    <n v="264"/>
    <x v="40"/>
    <n v="35"/>
    <x v="1"/>
  </r>
  <r>
    <d v="2023-05-25T00:00:00"/>
    <s v="Adult"/>
    <x v="18"/>
    <n v="732"/>
    <n v="231"/>
    <n v="62"/>
    <n v="32"/>
    <n v="1057"/>
    <x v="40"/>
    <n v="94"/>
    <x v="1"/>
  </r>
  <r>
    <d v="2023-05-25T00:00:00"/>
    <s v="Adult"/>
    <x v="29"/>
    <n v="1320"/>
    <n v="307"/>
    <n v="21"/>
    <n v="31"/>
    <n v="1679"/>
    <x v="40"/>
    <n v="52"/>
    <x v="1"/>
  </r>
  <r>
    <d v="2023-05-25T00:00:00"/>
    <s v="Adult"/>
    <x v="7"/>
    <n v="521"/>
    <n v="148"/>
    <n v="51"/>
    <n v="55"/>
    <n v="776"/>
    <x v="40"/>
    <n v="106"/>
    <x v="1"/>
  </r>
  <r>
    <d v="2023-05-25T00:00:00"/>
    <s v="Adult"/>
    <x v="38"/>
    <n v="1961"/>
    <n v="897"/>
    <n v="149"/>
    <n v="26"/>
    <n v="3033"/>
    <x v="40"/>
    <n v="175"/>
    <x v="1"/>
  </r>
  <r>
    <d v="2023-05-25T00:00:00"/>
    <s v="Adult"/>
    <x v="35"/>
    <n v="1551"/>
    <n v="768"/>
    <n v="300"/>
    <n v="281"/>
    <n v="2900"/>
    <x v="40"/>
    <n v="581"/>
    <x v="1"/>
  </r>
  <r>
    <d v="2023-05-25T00:00:00"/>
    <s v="Adult"/>
    <x v="36"/>
    <n v="2432"/>
    <n v="868"/>
    <n v="382"/>
    <n v="244"/>
    <n v="3926"/>
    <x v="40"/>
    <n v="626"/>
    <x v="1"/>
  </r>
  <r>
    <d v="2023-05-25T00:00:00"/>
    <s v="Adult"/>
    <x v="37"/>
    <n v="484"/>
    <n v="139"/>
    <n v="39"/>
    <n v="26"/>
    <n v="689"/>
    <x v="40"/>
    <n v="65"/>
    <x v="1"/>
  </r>
  <r>
    <d v="2023-05-25T00:00:00"/>
    <s v="Adult"/>
    <x v="44"/>
    <n v="3455"/>
    <n v="1436"/>
    <n v="636"/>
    <n v="1152"/>
    <n v="6679"/>
    <x v="40"/>
    <n v="1788"/>
    <x v="1"/>
  </r>
  <r>
    <d v="2023-05-25T00:00:00"/>
    <s v="Adult"/>
    <x v="5"/>
    <n v="503"/>
    <n v="214"/>
    <n v="92"/>
    <n v="37"/>
    <n v="847"/>
    <x v="40"/>
    <n v="129"/>
    <x v="1"/>
  </r>
  <r>
    <d v="2023-05-25T00:00:00"/>
    <s v="Adult"/>
    <x v="45"/>
    <n v="587"/>
    <n v="247"/>
    <n v="32"/>
    <n v="15"/>
    <n v="881"/>
    <x v="40"/>
    <n v="47"/>
    <x v="1"/>
  </r>
  <r>
    <d v="2023-05-25T00:00:00"/>
    <s v="Adult"/>
    <x v="46"/>
    <n v="2650"/>
    <n v="714"/>
    <n v="244"/>
    <n v="464"/>
    <n v="4073"/>
    <x v="40"/>
    <n v="708"/>
    <x v="1"/>
  </r>
  <r>
    <d v="2023-05-25T00:00:00"/>
    <s v="Adult"/>
    <x v="12"/>
    <n v="1751"/>
    <n v="380"/>
    <n v="141"/>
    <n v="129"/>
    <n v="2401"/>
    <x v="40"/>
    <n v="270"/>
    <x v="1"/>
  </r>
  <r>
    <d v="2023-05-25T00:00:00"/>
    <s v="Adult"/>
    <x v="34"/>
    <n v="1731"/>
    <n v="923"/>
    <n v="108"/>
    <n v="4"/>
    <n v="2766"/>
    <x v="40"/>
    <n v="112"/>
    <x v="1"/>
  </r>
  <r>
    <d v="2023-05-25T00:00:00"/>
    <s v="Adult"/>
    <x v="42"/>
    <n v="3556"/>
    <n v="1093"/>
    <n v="580"/>
    <n v="977"/>
    <n v="6207"/>
    <x v="40"/>
    <n v="1557"/>
    <x v="1"/>
  </r>
  <r>
    <d v="2023-05-25T00:00:00"/>
    <s v="Adult"/>
    <x v="24"/>
    <n v="415"/>
    <n v="177"/>
    <n v="100"/>
    <n v="34"/>
    <n v="727"/>
    <x v="40"/>
    <n v="134"/>
    <x v="1"/>
  </r>
  <r>
    <d v="2023-06-29T00:00:00"/>
    <s v="Adult"/>
    <x v="25"/>
    <n v="96"/>
    <n v="34"/>
    <n v="22"/>
    <n v="19"/>
    <n v="171"/>
    <x v="30"/>
    <n v="41"/>
    <x v="1"/>
  </r>
  <r>
    <d v="2023-06-29T00:00:00"/>
    <s v="Adult"/>
    <x v="23"/>
    <n v="4130"/>
    <n v="1658"/>
    <n v="713"/>
    <n v="154"/>
    <n v="6654"/>
    <x v="30"/>
    <n v="867"/>
    <x v="1"/>
  </r>
  <r>
    <d v="2023-06-29T00:00:00"/>
    <s v="Adult"/>
    <x v="40"/>
    <n v="738"/>
    <n v="288"/>
    <n v="178"/>
    <n v="262"/>
    <n v="1465"/>
    <x v="30"/>
    <n v="440"/>
    <x v="1"/>
  </r>
  <r>
    <d v="2023-06-29T00:00:00"/>
    <s v="Adult"/>
    <x v="6"/>
    <n v="483"/>
    <n v="116"/>
    <n v="35"/>
    <n v="19"/>
    <n v="653"/>
    <x v="30"/>
    <n v="54"/>
    <x v="1"/>
  </r>
  <r>
    <d v="2023-06-29T00:00:00"/>
    <s v="Adult"/>
    <x v="41"/>
    <n v="4661"/>
    <n v="2266"/>
    <n v="1003"/>
    <n v="1779"/>
    <n v="9708"/>
    <x v="30"/>
    <n v="2782"/>
    <x v="1"/>
  </r>
  <r>
    <d v="2023-06-29T00:00:00"/>
    <s v="Adult"/>
    <x v="32"/>
    <n v="1249"/>
    <n v="344"/>
    <n v="141"/>
    <n v="271"/>
    <n v="2005"/>
    <x v="30"/>
    <n v="412"/>
    <x v="1"/>
  </r>
  <r>
    <d v="2023-06-29T00:00:00"/>
    <s v="Adult"/>
    <x v="43"/>
    <n v="3117"/>
    <n v="869"/>
    <n v="485"/>
    <n v="1004"/>
    <n v="5475"/>
    <x v="30"/>
    <n v="1489"/>
    <x v="1"/>
  </r>
  <r>
    <d v="2023-06-29T00:00:00"/>
    <s v="Adult"/>
    <x v="22"/>
    <n v="496"/>
    <n v="106"/>
    <n v="53"/>
    <n v="56"/>
    <n v="711"/>
    <x v="30"/>
    <n v="109"/>
    <x v="1"/>
  </r>
  <r>
    <d v="2023-06-29T00:00:00"/>
    <s v="Adult"/>
    <x v="2"/>
    <n v="604"/>
    <n v="180"/>
    <n v="79"/>
    <n v="33"/>
    <n v="895"/>
    <x v="30"/>
    <n v="112"/>
    <x v="1"/>
  </r>
  <r>
    <d v="2023-06-29T00:00:00"/>
    <s v="Adult"/>
    <x v="26"/>
    <n v="699"/>
    <n v="155"/>
    <n v="37"/>
    <n v="37"/>
    <n v="928"/>
    <x v="30"/>
    <n v="74"/>
    <x v="1"/>
  </r>
  <r>
    <d v="2023-06-29T00:00:00"/>
    <s v="Adult"/>
    <x v="20"/>
    <n v="114"/>
    <n v="74"/>
    <n v="27"/>
    <n v="6"/>
    <n v="221"/>
    <x v="30"/>
    <n v="33"/>
    <x v="1"/>
  </r>
  <r>
    <d v="2023-06-29T00:00:00"/>
    <s v="Adult"/>
    <x v="18"/>
    <n v="643"/>
    <n v="195"/>
    <n v="55"/>
    <n v="14"/>
    <n v="907"/>
    <x v="30"/>
    <n v="69"/>
    <x v="1"/>
  </r>
  <r>
    <d v="2023-06-29T00:00:00"/>
    <s v="Adult"/>
    <x v="29"/>
    <n v="1433"/>
    <n v="319"/>
    <n v="29"/>
    <n v="27"/>
    <n v="1808"/>
    <x v="30"/>
    <n v="56"/>
    <x v="1"/>
  </r>
  <r>
    <d v="2023-06-29T00:00:00"/>
    <s v="Adult"/>
    <x v="0"/>
    <n v="592"/>
    <n v="93"/>
    <n v="15"/>
    <n v="4"/>
    <n v="704"/>
    <x v="30"/>
    <n v="19"/>
    <x v="1"/>
  </r>
  <r>
    <d v="2023-06-29T00:00:00"/>
    <s v="Adult"/>
    <x v="21"/>
    <n v="425"/>
    <n v="129"/>
    <n v="19"/>
    <n v="6"/>
    <n v="579"/>
    <x v="30"/>
    <n v="25"/>
    <x v="1"/>
  </r>
  <r>
    <d v="2023-06-29T00:00:00"/>
    <s v="Adult"/>
    <x v="7"/>
    <n v="574"/>
    <n v="135"/>
    <n v="45"/>
    <n v="39"/>
    <n v="793"/>
    <x v="30"/>
    <n v="84"/>
    <x v="1"/>
  </r>
  <r>
    <d v="2023-06-29T00:00:00"/>
    <s v="Adult"/>
    <x v="38"/>
    <n v="2062"/>
    <n v="863"/>
    <n v="171"/>
    <n v="33"/>
    <n v="3129"/>
    <x v="30"/>
    <n v="204"/>
    <x v="1"/>
  </r>
  <r>
    <d v="2023-06-29T00:00:00"/>
    <s v="Adult"/>
    <x v="35"/>
    <n v="1571"/>
    <n v="672"/>
    <n v="316"/>
    <n v="214"/>
    <n v="2772"/>
    <x v="30"/>
    <n v="530"/>
    <x v="1"/>
  </r>
  <r>
    <d v="2023-06-29T00:00:00"/>
    <s v="Adult"/>
    <x v="36"/>
    <n v="2350"/>
    <n v="628"/>
    <n v="335"/>
    <n v="234"/>
    <n v="3546"/>
    <x v="30"/>
    <n v="569"/>
    <x v="1"/>
  </r>
  <r>
    <d v="2023-06-29T00:00:00"/>
    <s v="Adult"/>
    <x v="37"/>
    <n v="398"/>
    <n v="136"/>
    <n v="51"/>
    <n v="22"/>
    <n v="607"/>
    <x v="30"/>
    <n v="73"/>
    <x v="1"/>
  </r>
  <r>
    <d v="2023-06-29T00:00:00"/>
    <s v="Adult"/>
    <x v="44"/>
    <n v="3553"/>
    <n v="1584"/>
    <n v="662"/>
    <n v="1125"/>
    <n v="6924"/>
    <x v="30"/>
    <n v="1787"/>
    <x v="1"/>
  </r>
  <r>
    <d v="2023-06-29T00:00:00"/>
    <s v="Adult"/>
    <x v="5"/>
    <n v="418"/>
    <n v="222"/>
    <n v="103"/>
    <n v="44"/>
    <n v="787"/>
    <x v="30"/>
    <n v="147"/>
    <x v="1"/>
  </r>
  <r>
    <d v="2023-06-29T00:00:00"/>
    <s v="Adult"/>
    <x v="45"/>
    <n v="543"/>
    <n v="264"/>
    <n v="46"/>
    <n v="9"/>
    <n v="861"/>
    <x v="30"/>
    <n v="55"/>
    <x v="1"/>
  </r>
  <r>
    <d v="2023-06-29T00:00:00"/>
    <s v="Adult"/>
    <x v="46"/>
    <n v="2632"/>
    <n v="662"/>
    <n v="268"/>
    <n v="458"/>
    <n v="4019"/>
    <x v="30"/>
    <n v="726"/>
    <x v="1"/>
  </r>
  <r>
    <d v="2023-06-29T00:00:00"/>
    <s v="Adult"/>
    <x v="12"/>
    <n v="1836"/>
    <n v="375"/>
    <n v="147"/>
    <n v="133"/>
    <n v="2491"/>
    <x v="30"/>
    <n v="280"/>
    <x v="1"/>
  </r>
  <r>
    <d v="2023-06-29T00:00:00"/>
    <s v="Adult"/>
    <x v="34"/>
    <n v="1796"/>
    <n v="854"/>
    <n v="145"/>
    <n v="11"/>
    <n v="2805"/>
    <x v="30"/>
    <n v="156"/>
    <x v="1"/>
  </r>
  <r>
    <d v="2023-06-29T00:00:00"/>
    <s v="Adult"/>
    <x v="42"/>
    <n v="3504"/>
    <n v="1077"/>
    <n v="604"/>
    <n v="905"/>
    <n v="6089"/>
    <x v="30"/>
    <n v="1509"/>
    <x v="1"/>
  </r>
  <r>
    <d v="2023-06-29T00:00:00"/>
    <s v="Adult"/>
    <x v="24"/>
    <n v="411"/>
    <n v="133"/>
    <n v="77"/>
    <n v="34"/>
    <n v="655"/>
    <x v="30"/>
    <n v="111"/>
    <x v="1"/>
  </r>
  <r>
    <d v="2023-07-27T00:00:00"/>
    <s v="Adult"/>
    <x v="25"/>
    <n v="103"/>
    <n v="28"/>
    <n v="27"/>
    <n v="21"/>
    <n v="179"/>
    <x v="31"/>
    <n v="48"/>
    <x v="1"/>
  </r>
  <r>
    <d v="2023-07-27T00:00:00"/>
    <s v="Adult"/>
    <x v="23"/>
    <n v="4060"/>
    <n v="1663"/>
    <n v="720"/>
    <n v="188"/>
    <n v="6630"/>
    <x v="31"/>
    <n v="908"/>
    <x v="1"/>
  </r>
  <r>
    <d v="2023-07-27T00:00:00"/>
    <s v="Adult"/>
    <x v="40"/>
    <n v="706"/>
    <n v="269"/>
    <n v="169"/>
    <n v="253"/>
    <n v="1396"/>
    <x v="31"/>
    <n v="422"/>
    <x v="1"/>
  </r>
  <r>
    <d v="2023-07-27T00:00:00"/>
    <s v="Adult"/>
    <x v="6"/>
    <n v="489"/>
    <n v="127"/>
    <n v="43"/>
    <n v="19"/>
    <n v="678"/>
    <x v="31"/>
    <n v="62"/>
    <x v="1"/>
  </r>
  <r>
    <d v="2023-07-27T00:00:00"/>
    <s v="Adult"/>
    <x v="41"/>
    <n v="4758"/>
    <n v="2019"/>
    <n v="1097"/>
    <n v="1596"/>
    <n v="9469"/>
    <x v="31"/>
    <n v="2693"/>
    <x v="1"/>
  </r>
  <r>
    <d v="2023-07-27T00:00:00"/>
    <s v="Adult"/>
    <x v="32"/>
    <n v="1357"/>
    <n v="317"/>
    <n v="151"/>
    <n v="234"/>
    <n v="2059"/>
    <x v="31"/>
    <n v="385"/>
    <x v="1"/>
  </r>
  <r>
    <d v="2023-07-27T00:00:00"/>
    <s v="Adult"/>
    <x v="43"/>
    <n v="3026"/>
    <n v="803"/>
    <n v="512"/>
    <n v="995"/>
    <n v="5335"/>
    <x v="31"/>
    <n v="1507"/>
    <x v="1"/>
  </r>
  <r>
    <d v="2023-07-27T00:00:00"/>
    <s v="Adult"/>
    <x v="22"/>
    <n v="456"/>
    <n v="94"/>
    <n v="53"/>
    <n v="48"/>
    <n v="651"/>
    <x v="31"/>
    <n v="101"/>
    <x v="1"/>
  </r>
  <r>
    <d v="2023-07-27T00:00:00"/>
    <s v="Adult"/>
    <x v="2"/>
    <n v="686"/>
    <n v="198"/>
    <n v="59"/>
    <n v="34"/>
    <n v="976"/>
    <x v="31"/>
    <n v="93"/>
    <x v="1"/>
  </r>
  <r>
    <d v="2023-07-27T00:00:00"/>
    <s v="Adult"/>
    <x v="26"/>
    <n v="700"/>
    <n v="147"/>
    <n v="24"/>
    <n v="30"/>
    <n v="901"/>
    <x v="31"/>
    <n v="54"/>
    <x v="1"/>
  </r>
  <r>
    <d v="2023-07-27T00:00:00"/>
    <s v="Adult"/>
    <x v="20"/>
    <n v="114"/>
    <n v="19"/>
    <n v="19"/>
    <n v="6"/>
    <n v="158"/>
    <x v="31"/>
    <n v="25"/>
    <x v="1"/>
  </r>
  <r>
    <d v="2023-07-27T00:00:00"/>
    <s v="Adult"/>
    <x v="18"/>
    <n v="613"/>
    <n v="159"/>
    <n v="23"/>
    <n v="7"/>
    <n v="802"/>
    <x v="31"/>
    <n v="30"/>
    <x v="1"/>
  </r>
  <r>
    <d v="2023-07-27T00:00:00"/>
    <s v="Adult"/>
    <x v="29"/>
    <n v="1485"/>
    <n v="284"/>
    <n v="24"/>
    <n v="28"/>
    <n v="1821"/>
    <x v="31"/>
    <n v="52"/>
    <x v="1"/>
  </r>
  <r>
    <d v="2023-07-27T00:00:00"/>
    <s v="Adult"/>
    <x v="0"/>
    <n v="587"/>
    <n v="75"/>
    <n v="10"/>
    <n v="6"/>
    <n v="677"/>
    <x v="31"/>
    <n v="16"/>
    <x v="1"/>
  </r>
  <r>
    <d v="2023-07-27T00:00:00"/>
    <s v="Adult"/>
    <x v="21"/>
    <n v="439"/>
    <n v="131"/>
    <n v="18"/>
    <n v="4"/>
    <n v="592"/>
    <x v="31"/>
    <n v="22"/>
    <x v="1"/>
  </r>
  <r>
    <d v="2023-07-27T00:00:00"/>
    <s v="Adult"/>
    <x v="7"/>
    <n v="547"/>
    <n v="103"/>
    <n v="43"/>
    <n v="37"/>
    <n v="730"/>
    <x v="31"/>
    <n v="80"/>
    <x v="1"/>
  </r>
  <r>
    <d v="2023-07-27T00:00:00"/>
    <s v="Adult"/>
    <x v="38"/>
    <n v="2054"/>
    <n v="604"/>
    <n v="164"/>
    <n v="30"/>
    <n v="2852"/>
    <x v="31"/>
    <n v="194"/>
    <x v="1"/>
  </r>
  <r>
    <d v="2023-07-27T00:00:00"/>
    <s v="Adult"/>
    <x v="35"/>
    <n v="1699"/>
    <n v="580"/>
    <n v="326"/>
    <n v="191"/>
    <n v="2795"/>
    <x v="31"/>
    <n v="517"/>
    <x v="1"/>
  </r>
  <r>
    <d v="2023-07-27T00:00:00"/>
    <s v="Adult"/>
    <x v="36"/>
    <n v="2314"/>
    <n v="650"/>
    <n v="323"/>
    <n v="228"/>
    <n v="3514"/>
    <x v="31"/>
    <n v="551"/>
    <x v="1"/>
  </r>
  <r>
    <d v="2023-07-27T00:00:00"/>
    <s v="Adult"/>
    <x v="37"/>
    <n v="362"/>
    <n v="111"/>
    <n v="46"/>
    <n v="15"/>
    <n v="534"/>
    <x v="31"/>
    <n v="61"/>
    <x v="1"/>
  </r>
  <r>
    <d v="2023-07-27T00:00:00"/>
    <s v="Adult"/>
    <x v="44"/>
    <n v="3540"/>
    <n v="1631"/>
    <n v="687"/>
    <n v="1055"/>
    <n v="6913"/>
    <x v="31"/>
    <n v="1742"/>
    <x v="1"/>
  </r>
  <r>
    <d v="2023-07-27T00:00:00"/>
    <s v="Adult"/>
    <x v="5"/>
    <n v="485"/>
    <n v="211"/>
    <n v="115"/>
    <n v="46"/>
    <n v="857"/>
    <x v="31"/>
    <n v="161"/>
    <x v="1"/>
  </r>
  <r>
    <d v="2023-07-27T00:00:00"/>
    <s v="Adult"/>
    <x v="45"/>
    <n v="474"/>
    <n v="265"/>
    <n v="45"/>
    <n v="11"/>
    <n v="794"/>
    <x v="31"/>
    <n v="56"/>
    <x v="1"/>
  </r>
  <r>
    <d v="2023-07-27T00:00:00"/>
    <s v="Adult"/>
    <x v="46"/>
    <n v="2598"/>
    <n v="626"/>
    <n v="303"/>
    <n v="451"/>
    <n v="3978"/>
    <x v="31"/>
    <n v="754"/>
    <x v="1"/>
  </r>
  <r>
    <d v="2023-07-27T00:00:00"/>
    <s v="Adult"/>
    <x v="12"/>
    <n v="1913"/>
    <n v="329"/>
    <n v="133"/>
    <n v="123"/>
    <n v="2497"/>
    <x v="31"/>
    <n v="256"/>
    <x v="1"/>
  </r>
  <r>
    <d v="2023-07-27T00:00:00"/>
    <s v="Adult"/>
    <x v="42"/>
    <n v="3599"/>
    <n v="1093"/>
    <n v="585"/>
    <n v="812"/>
    <n v="6088"/>
    <x v="31"/>
    <n v="1397"/>
    <x v="1"/>
  </r>
  <r>
    <d v="2023-07-27T00:00:00"/>
    <s v="Adult"/>
    <x v="24"/>
    <n v="434"/>
    <n v="114"/>
    <n v="58"/>
    <n v="24"/>
    <n v="630"/>
    <x v="31"/>
    <n v="82"/>
    <x v="1"/>
  </r>
  <r>
    <d v="2023-08-31T00:00:00"/>
    <s v="Adult"/>
    <x v="25"/>
    <n v="87"/>
    <n v="34"/>
    <n v="31"/>
    <n v="24"/>
    <n v="176"/>
    <x v="32"/>
    <n v="55"/>
    <x v="1"/>
  </r>
  <r>
    <d v="2023-08-31T00:00:00"/>
    <s v="Adult"/>
    <x v="23"/>
    <n v="3988"/>
    <n v="1645"/>
    <n v="807"/>
    <n v="253"/>
    <n v="6693"/>
    <x v="32"/>
    <n v="1060"/>
    <x v="1"/>
  </r>
  <r>
    <d v="2023-08-31T00:00:00"/>
    <s v="Adult"/>
    <x v="9"/>
    <n v="73"/>
    <n v="46"/>
    <n v="8"/>
    <n v="4"/>
    <n v="130"/>
    <x v="32"/>
    <n v="12"/>
    <x v="1"/>
  </r>
  <r>
    <d v="2023-08-31T00:00:00"/>
    <s v="Adult"/>
    <x v="40"/>
    <n v="645"/>
    <n v="257"/>
    <n v="151"/>
    <n v="253"/>
    <n v="1306"/>
    <x v="32"/>
    <n v="404"/>
    <x v="1"/>
  </r>
  <r>
    <d v="2023-08-31T00:00:00"/>
    <s v="Adult"/>
    <x v="6"/>
    <n v="500"/>
    <n v="146"/>
    <n v="55"/>
    <n v="119"/>
    <n v="820"/>
    <x v="32"/>
    <n v="174"/>
    <x v="1"/>
  </r>
  <r>
    <d v="2023-08-31T00:00:00"/>
    <s v="Adult"/>
    <x v="41"/>
    <n v="4939"/>
    <n v="2040"/>
    <n v="935"/>
    <n v="1518"/>
    <n v="9432"/>
    <x v="32"/>
    <n v="2453"/>
    <x v="1"/>
  </r>
  <r>
    <d v="2023-08-31T00:00:00"/>
    <s v="Adult"/>
    <x v="32"/>
    <n v="1478"/>
    <n v="346"/>
    <n v="201"/>
    <n v="284"/>
    <n v="2308"/>
    <x v="32"/>
    <n v="485"/>
    <x v="1"/>
  </r>
  <r>
    <d v="2023-08-31T00:00:00"/>
    <s v="Adult"/>
    <x v="43"/>
    <n v="3024"/>
    <n v="826"/>
    <n v="472"/>
    <n v="1007"/>
    <n v="5328"/>
    <x v="32"/>
    <n v="1479"/>
    <x v="1"/>
  </r>
  <r>
    <d v="2023-08-31T00:00:00"/>
    <s v="Adult"/>
    <x v="22"/>
    <n v="472"/>
    <n v="103"/>
    <n v="49"/>
    <n v="33"/>
    <n v="656"/>
    <x v="32"/>
    <n v="82"/>
    <x v="1"/>
  </r>
  <r>
    <d v="2023-08-31T00:00:00"/>
    <s v="Adult"/>
    <x v="2"/>
    <n v="633"/>
    <n v="221"/>
    <n v="61"/>
    <n v="35"/>
    <n v="949"/>
    <x v="32"/>
    <n v="96"/>
    <x v="1"/>
  </r>
  <r>
    <d v="2023-08-31T00:00:00"/>
    <s v="Adult"/>
    <x v="26"/>
    <n v="745"/>
    <n v="159"/>
    <n v="22"/>
    <n v="25"/>
    <n v="950"/>
    <x v="32"/>
    <n v="47"/>
    <x v="1"/>
  </r>
  <r>
    <d v="2023-08-31T00:00:00"/>
    <s v="Adult"/>
    <x v="20"/>
    <n v="158"/>
    <n v="28"/>
    <n v="23"/>
    <n v="8"/>
    <n v="216"/>
    <x v="32"/>
    <n v="31"/>
    <x v="1"/>
  </r>
  <r>
    <d v="2023-08-31T00:00:00"/>
    <s v="Adult"/>
    <x v="29"/>
    <n v="1519"/>
    <n v="321"/>
    <n v="21"/>
    <n v="35"/>
    <n v="1895"/>
    <x v="32"/>
    <n v="56"/>
    <x v="1"/>
  </r>
  <r>
    <d v="2023-08-31T00:00:00"/>
    <s v="Adult"/>
    <x v="0"/>
    <n v="580"/>
    <n v="66"/>
    <n v="14"/>
    <n v="6"/>
    <n v="666"/>
    <x v="32"/>
    <n v="20"/>
    <x v="1"/>
  </r>
  <r>
    <d v="2023-08-31T00:00:00"/>
    <s v="Adult"/>
    <x v="21"/>
    <n v="402"/>
    <n v="144"/>
    <n v="13"/>
    <n v="4"/>
    <n v="563"/>
    <x v="32"/>
    <n v="17"/>
    <x v="1"/>
  </r>
  <r>
    <d v="2023-08-31T00:00:00"/>
    <s v="Adult"/>
    <x v="7"/>
    <n v="630"/>
    <n v="116"/>
    <n v="50"/>
    <n v="47"/>
    <n v="842"/>
    <x v="32"/>
    <n v="97"/>
    <x v="1"/>
  </r>
  <r>
    <d v="2023-08-31T00:00:00"/>
    <s v="Adult"/>
    <x v="38"/>
    <n v="1937"/>
    <n v="696"/>
    <n v="183"/>
    <n v="41"/>
    <n v="2857"/>
    <x v="32"/>
    <n v="224"/>
    <x v="1"/>
  </r>
  <r>
    <d v="2023-08-31T00:00:00"/>
    <s v="Adult"/>
    <x v="35"/>
    <n v="1762"/>
    <n v="551"/>
    <n v="294"/>
    <n v="196"/>
    <n v="2803"/>
    <x v="32"/>
    <n v="490"/>
    <x v="1"/>
  </r>
  <r>
    <d v="2023-08-31T00:00:00"/>
    <s v="Adult"/>
    <x v="36"/>
    <n v="2370"/>
    <n v="681"/>
    <n v="281"/>
    <n v="258"/>
    <n v="3590"/>
    <x v="32"/>
    <n v="539"/>
    <x v="1"/>
  </r>
  <r>
    <d v="2023-08-31T00:00:00"/>
    <s v="Adult"/>
    <x v="37"/>
    <n v="347"/>
    <n v="97"/>
    <n v="54"/>
    <n v="15"/>
    <n v="512"/>
    <x v="32"/>
    <n v="69"/>
    <x v="1"/>
  </r>
  <r>
    <d v="2023-08-31T00:00:00"/>
    <s v="Adult"/>
    <x v="44"/>
    <n v="3575"/>
    <n v="1697"/>
    <n v="738"/>
    <n v="1095"/>
    <n v="7106"/>
    <x v="32"/>
    <n v="1833"/>
    <x v="1"/>
  </r>
  <r>
    <d v="2023-08-31T00:00:00"/>
    <s v="Adult"/>
    <x v="5"/>
    <n v="485"/>
    <n v="190"/>
    <n v="114"/>
    <n v="51"/>
    <n v="839"/>
    <x v="32"/>
    <n v="165"/>
    <x v="1"/>
  </r>
  <r>
    <d v="2023-08-31T00:00:00"/>
    <s v="Adult"/>
    <x v="45"/>
    <n v="507"/>
    <n v="246"/>
    <n v="45"/>
    <n v="9"/>
    <n v="808"/>
    <x v="32"/>
    <n v="54"/>
    <x v="1"/>
  </r>
  <r>
    <d v="2023-08-31T00:00:00"/>
    <s v="Adult"/>
    <x v="46"/>
    <n v="2576"/>
    <n v="632"/>
    <n v="292"/>
    <n v="434"/>
    <n v="3934"/>
    <x v="32"/>
    <n v="726"/>
    <x v="1"/>
  </r>
  <r>
    <d v="2023-08-31T00:00:00"/>
    <s v="Adult"/>
    <x v="12"/>
    <n v="1831"/>
    <n v="344"/>
    <n v="136"/>
    <n v="117"/>
    <n v="2429"/>
    <x v="32"/>
    <n v="253"/>
    <x v="1"/>
  </r>
  <r>
    <d v="2023-08-31T00:00:00"/>
    <s v="Adult"/>
    <x v="42"/>
    <n v="3217"/>
    <n v="1090"/>
    <n v="581"/>
    <n v="791"/>
    <n v="5679"/>
    <x v="32"/>
    <n v="1372"/>
    <x v="1"/>
  </r>
  <r>
    <d v="2023-08-31T00:00:00"/>
    <s v="Adult"/>
    <x v="24"/>
    <n v="412"/>
    <n v="153"/>
    <n v="61"/>
    <n v="29"/>
    <n v="654"/>
    <x v="32"/>
    <n v="90"/>
    <x v="1"/>
  </r>
  <r>
    <d v="2023-09-28T00:00:00"/>
    <s v="Adult"/>
    <x v="25"/>
    <n v="75"/>
    <n v="30"/>
    <n v="29"/>
    <n v="28"/>
    <n v="162"/>
    <x v="33"/>
    <n v="57"/>
    <x v="1"/>
  </r>
  <r>
    <d v="2023-09-28T00:00:00"/>
    <s v="Adult"/>
    <x v="23"/>
    <n v="3994"/>
    <n v="1581"/>
    <n v="740"/>
    <n v="286"/>
    <n v="6602"/>
    <x v="33"/>
    <n v="1026"/>
    <x v="1"/>
  </r>
  <r>
    <d v="2023-09-28T00:00:00"/>
    <s v="Adult"/>
    <x v="40"/>
    <n v="658"/>
    <n v="270"/>
    <n v="140"/>
    <n v="234"/>
    <n v="1302"/>
    <x v="33"/>
    <n v="374"/>
    <x v="1"/>
  </r>
  <r>
    <d v="2023-09-28T00:00:00"/>
    <s v="Adult"/>
    <x v="6"/>
    <n v="485"/>
    <n v="149"/>
    <n v="59"/>
    <n v="21"/>
    <n v="714"/>
    <x v="33"/>
    <n v="80"/>
    <x v="1"/>
  </r>
  <r>
    <d v="2023-09-28T00:00:00"/>
    <s v="Adult"/>
    <x v="41"/>
    <n v="5010"/>
    <n v="2001"/>
    <n v="846"/>
    <n v="1400"/>
    <n v="9257"/>
    <x v="33"/>
    <n v="2246"/>
    <x v="1"/>
  </r>
  <r>
    <d v="2023-09-28T00:00:00"/>
    <s v="Adult"/>
    <x v="31"/>
    <n v="574"/>
    <n v="107"/>
    <n v="11"/>
    <n v="5"/>
    <n v="697"/>
    <x v="33"/>
    <n v="16"/>
    <x v="1"/>
  </r>
  <r>
    <d v="2023-09-28T00:00:00"/>
    <s v="Adult"/>
    <x v="32"/>
    <n v="1381"/>
    <n v="321"/>
    <n v="207"/>
    <n v="232"/>
    <n v="2141"/>
    <x v="33"/>
    <n v="439"/>
    <x v="1"/>
  </r>
  <r>
    <d v="2023-09-28T00:00:00"/>
    <s v="Adult"/>
    <x v="43"/>
    <n v="3176"/>
    <n v="833"/>
    <n v="466"/>
    <n v="963"/>
    <n v="5439"/>
    <x v="33"/>
    <n v="1429"/>
    <x v="1"/>
  </r>
  <r>
    <d v="2023-09-28T00:00:00"/>
    <s v="Adult"/>
    <x v="22"/>
    <n v="517"/>
    <n v="102"/>
    <n v="42"/>
    <n v="29"/>
    <n v="691"/>
    <x v="33"/>
    <n v="71"/>
    <x v="1"/>
  </r>
  <r>
    <d v="2023-09-28T00:00:00"/>
    <s v="Adult"/>
    <x v="2"/>
    <n v="698"/>
    <n v="228"/>
    <n v="54"/>
    <n v="39"/>
    <n v="1020"/>
    <x v="33"/>
    <n v="93"/>
    <x v="1"/>
  </r>
  <r>
    <d v="2023-09-28T00:00:00"/>
    <s v="Adult"/>
    <x v="26"/>
    <n v="792"/>
    <n v="176"/>
    <n v="22"/>
    <n v="15"/>
    <n v="1006"/>
    <x v="33"/>
    <n v="37"/>
    <x v="1"/>
  </r>
  <r>
    <d v="2023-09-28T00:00:00"/>
    <s v="Adult"/>
    <x v="20"/>
    <n v="160"/>
    <n v="27"/>
    <n v="21"/>
    <n v="9"/>
    <n v="218"/>
    <x v="33"/>
    <n v="30"/>
    <x v="1"/>
  </r>
  <r>
    <d v="2023-09-28T00:00:00"/>
    <s v="Adult"/>
    <x v="29"/>
    <n v="1461"/>
    <n v="343"/>
    <n v="32"/>
    <n v="33"/>
    <n v="1869"/>
    <x v="33"/>
    <n v="65"/>
    <x v="1"/>
  </r>
  <r>
    <d v="2023-09-28T00:00:00"/>
    <s v="Adult"/>
    <x v="0"/>
    <n v="545"/>
    <n v="74"/>
    <n v="15"/>
    <n v="4"/>
    <n v="638"/>
    <x v="33"/>
    <n v="19"/>
    <x v="1"/>
  </r>
  <r>
    <d v="2023-09-28T00:00:00"/>
    <s v="Adult"/>
    <x v="21"/>
    <n v="441"/>
    <n v="136"/>
    <n v="14"/>
    <n v="4"/>
    <n v="595"/>
    <x v="33"/>
    <n v="18"/>
    <x v="1"/>
  </r>
  <r>
    <d v="2023-09-28T00:00:00"/>
    <s v="Adult"/>
    <x v="7"/>
    <n v="591"/>
    <n v="149"/>
    <n v="52"/>
    <n v="46"/>
    <n v="838"/>
    <x v="33"/>
    <n v="98"/>
    <x v="1"/>
  </r>
  <r>
    <d v="2023-09-28T00:00:00"/>
    <s v="Adult"/>
    <x v="38"/>
    <n v="2048"/>
    <n v="832"/>
    <n v="199"/>
    <n v="54"/>
    <n v="3133"/>
    <x v="33"/>
    <n v="253"/>
    <x v="1"/>
  </r>
  <r>
    <d v="2023-09-28T00:00:00"/>
    <s v="Adult"/>
    <x v="35"/>
    <n v="1907"/>
    <n v="499"/>
    <n v="302"/>
    <n v="183"/>
    <n v="2892"/>
    <x v="33"/>
    <n v="485"/>
    <x v="1"/>
  </r>
  <r>
    <d v="2023-09-28T00:00:00"/>
    <s v="Adult"/>
    <x v="36"/>
    <n v="2476"/>
    <n v="708"/>
    <n v="258"/>
    <n v="280"/>
    <n v="3722"/>
    <x v="33"/>
    <n v="538"/>
    <x v="1"/>
  </r>
  <r>
    <d v="2023-09-28T00:00:00"/>
    <s v="Adult"/>
    <x v="37"/>
    <n v="407"/>
    <n v="93"/>
    <n v="60"/>
    <n v="19"/>
    <n v="580"/>
    <x v="33"/>
    <n v="79"/>
    <x v="1"/>
  </r>
  <r>
    <d v="2023-09-28T00:00:00"/>
    <s v="Adult"/>
    <x v="44"/>
    <n v="3435"/>
    <n v="1709"/>
    <n v="706"/>
    <n v="1063"/>
    <n v="6912"/>
    <x v="33"/>
    <n v="1769"/>
    <x v="1"/>
  </r>
  <r>
    <d v="2023-09-28T00:00:00"/>
    <s v="Adult"/>
    <x v="5"/>
    <n v="506"/>
    <n v="222"/>
    <n v="113"/>
    <n v="51"/>
    <n v="893"/>
    <x v="33"/>
    <n v="164"/>
    <x v="1"/>
  </r>
  <r>
    <d v="2023-09-28T00:00:00"/>
    <s v="Adult"/>
    <x v="45"/>
    <n v="546"/>
    <n v="215"/>
    <n v="59"/>
    <n v="9"/>
    <n v="828"/>
    <x v="33"/>
    <n v="68"/>
    <x v="1"/>
  </r>
  <r>
    <d v="2023-09-28T00:00:00"/>
    <s v="Adult"/>
    <x v="46"/>
    <n v="2595"/>
    <n v="652"/>
    <n v="297"/>
    <n v="398"/>
    <n v="3942"/>
    <x v="33"/>
    <n v="695"/>
    <x v="1"/>
  </r>
  <r>
    <d v="2023-09-28T00:00:00"/>
    <s v="Adult"/>
    <x v="12"/>
    <n v="1925"/>
    <n v="344"/>
    <n v="147"/>
    <n v="113"/>
    <n v="2530"/>
    <x v="33"/>
    <n v="260"/>
    <x v="1"/>
  </r>
  <r>
    <d v="2023-09-28T00:00:00"/>
    <s v="Adult"/>
    <x v="34"/>
    <n v="1863"/>
    <n v="756"/>
    <n v="160"/>
    <n v="4"/>
    <n v="2784"/>
    <x v="33"/>
    <n v="164"/>
    <x v="1"/>
  </r>
  <r>
    <d v="2023-09-28T00:00:00"/>
    <s v="Adult"/>
    <x v="42"/>
    <n v="3072"/>
    <n v="1074"/>
    <n v="564"/>
    <n v="764"/>
    <n v="5474"/>
    <x v="33"/>
    <n v="1328"/>
    <x v="1"/>
  </r>
  <r>
    <d v="2023-09-28T00:00:00"/>
    <s v="Adult"/>
    <x v="24"/>
    <n v="440"/>
    <n v="150"/>
    <n v="66"/>
    <n v="35"/>
    <n v="692"/>
    <x v="33"/>
    <n v="101"/>
    <x v="1"/>
  </r>
  <r>
    <d v="2023-10-26T00:00:00"/>
    <s v="Adult"/>
    <x v="25"/>
    <n v="62"/>
    <n v="32"/>
    <n v="26"/>
    <n v="26"/>
    <n v="146"/>
    <x v="41"/>
    <n v="52"/>
    <x v="1"/>
  </r>
  <r>
    <d v="2023-10-26T00:00:00"/>
    <s v="Adult"/>
    <x v="23"/>
    <n v="4246"/>
    <n v="1405"/>
    <n v="599"/>
    <n v="291"/>
    <n v="6542"/>
    <x v="41"/>
    <n v="890"/>
    <x v="1"/>
  </r>
  <r>
    <d v="2023-10-26T00:00:00"/>
    <s v="Adult"/>
    <x v="9"/>
    <n v="71"/>
    <n v="60"/>
    <n v="12"/>
    <n v="4"/>
    <n v="147"/>
    <x v="41"/>
    <n v="16"/>
    <x v="1"/>
  </r>
  <r>
    <d v="2023-10-26T00:00:00"/>
    <s v="Adult"/>
    <x v="40"/>
    <n v="619"/>
    <n v="265"/>
    <n v="138"/>
    <n v="232"/>
    <n v="1254"/>
    <x v="41"/>
    <n v="370"/>
    <x v="1"/>
  </r>
  <r>
    <d v="2023-10-26T00:00:00"/>
    <s v="Adult"/>
    <x v="6"/>
    <n v="465"/>
    <n v="147"/>
    <n v="57"/>
    <n v="17"/>
    <n v="686"/>
    <x v="41"/>
    <n v="74"/>
    <x v="1"/>
  </r>
  <r>
    <d v="2023-10-26T00:00:00"/>
    <s v="Adult"/>
    <x v="41"/>
    <n v="5306"/>
    <n v="1941"/>
    <n v="849"/>
    <n v="1383"/>
    <n v="9479"/>
    <x v="41"/>
    <n v="2232"/>
    <x v="1"/>
  </r>
  <r>
    <d v="2023-10-26T00:00:00"/>
    <s v="Adult"/>
    <x v="31"/>
    <n v="568"/>
    <n v="107"/>
    <n v="17"/>
    <n v="5"/>
    <n v="697"/>
    <x v="41"/>
    <n v="22"/>
    <x v="1"/>
  </r>
  <r>
    <d v="2023-10-26T00:00:00"/>
    <s v="Adult"/>
    <x v="32"/>
    <n v="1159"/>
    <n v="226"/>
    <n v="173"/>
    <n v="184"/>
    <n v="1742"/>
    <x v="41"/>
    <n v="357"/>
    <x v="1"/>
  </r>
  <r>
    <d v="2023-10-26T00:00:00"/>
    <s v="Adult"/>
    <x v="43"/>
    <n v="3323"/>
    <n v="819"/>
    <n v="442"/>
    <n v="829"/>
    <n v="5412"/>
    <x v="41"/>
    <n v="1271"/>
    <x v="1"/>
  </r>
  <r>
    <d v="2023-10-26T00:00:00"/>
    <s v="Adult"/>
    <x v="22"/>
    <n v="593"/>
    <n v="96"/>
    <n v="35"/>
    <n v="19"/>
    <n v="744"/>
    <x v="41"/>
    <n v="54"/>
    <x v="1"/>
  </r>
  <r>
    <d v="2023-10-26T00:00:00"/>
    <s v="Adult"/>
    <x v="2"/>
    <n v="697"/>
    <n v="201"/>
    <n v="57"/>
    <n v="35"/>
    <n v="990"/>
    <x v="41"/>
    <n v="92"/>
    <x v="1"/>
  </r>
  <r>
    <d v="2023-10-26T00:00:00"/>
    <s v="Adult"/>
    <x v="26"/>
    <n v="782"/>
    <n v="192"/>
    <n v="17"/>
    <n v="13"/>
    <n v="1005"/>
    <x v="41"/>
    <n v="30"/>
    <x v="1"/>
  </r>
  <r>
    <d v="2023-10-26T00:00:00"/>
    <s v="Adult"/>
    <x v="20"/>
    <n v="185"/>
    <n v="23"/>
    <n v="13"/>
    <n v="4"/>
    <n v="226"/>
    <x v="41"/>
    <n v="17"/>
    <x v="1"/>
  </r>
  <r>
    <d v="2023-10-26T00:00:00"/>
    <s v="Adult"/>
    <x v="29"/>
    <n v="1539"/>
    <n v="329"/>
    <n v="35"/>
    <n v="33"/>
    <n v="1936"/>
    <x v="41"/>
    <n v="68"/>
    <x v="1"/>
  </r>
  <r>
    <d v="2023-10-26T00:00:00"/>
    <s v="Adult"/>
    <x v="0"/>
    <n v="570"/>
    <n v="73"/>
    <n v="18"/>
    <n v="6"/>
    <n v="668"/>
    <x v="41"/>
    <n v="24"/>
    <x v="1"/>
  </r>
  <r>
    <d v="2023-10-26T00:00:00"/>
    <s v="Adult"/>
    <x v="21"/>
    <n v="430"/>
    <n v="143"/>
    <n v="21"/>
    <n v="4"/>
    <n v="598"/>
    <x v="41"/>
    <n v="25"/>
    <x v="1"/>
  </r>
  <r>
    <d v="2023-10-26T00:00:00"/>
    <s v="Adult"/>
    <x v="7"/>
    <n v="577"/>
    <n v="168"/>
    <n v="45"/>
    <n v="40"/>
    <n v="830"/>
    <x v="41"/>
    <n v="85"/>
    <x v="1"/>
  </r>
  <r>
    <d v="2023-10-26T00:00:00"/>
    <s v="Adult"/>
    <x v="38"/>
    <n v="2013"/>
    <n v="776"/>
    <n v="228"/>
    <n v="59"/>
    <n v="3076"/>
    <x v="41"/>
    <n v="287"/>
    <x v="1"/>
  </r>
  <r>
    <d v="2023-10-26T00:00:00"/>
    <s v="Adult"/>
    <x v="35"/>
    <n v="1575"/>
    <n v="429"/>
    <n v="250"/>
    <n v="143"/>
    <n v="2398"/>
    <x v="41"/>
    <n v="393"/>
    <x v="1"/>
  </r>
  <r>
    <d v="2023-10-26T00:00:00"/>
    <s v="Adult"/>
    <x v="36"/>
    <n v="2459"/>
    <n v="749"/>
    <n v="245"/>
    <n v="279"/>
    <n v="3732"/>
    <x v="41"/>
    <n v="524"/>
    <x v="1"/>
  </r>
  <r>
    <d v="2023-10-26T00:00:00"/>
    <s v="Adult"/>
    <x v="37"/>
    <n v="418"/>
    <n v="88"/>
    <n v="70"/>
    <n v="24"/>
    <n v="601"/>
    <x v="41"/>
    <n v="94"/>
    <x v="1"/>
  </r>
  <r>
    <d v="2023-10-26T00:00:00"/>
    <s v="Adult"/>
    <x v="44"/>
    <n v="3485"/>
    <n v="1597"/>
    <n v="722"/>
    <n v="927"/>
    <n v="6731"/>
    <x v="41"/>
    <n v="1649"/>
    <x v="1"/>
  </r>
  <r>
    <d v="2023-10-26T00:00:00"/>
    <s v="Adult"/>
    <x v="5"/>
    <n v="574"/>
    <n v="192"/>
    <n v="113"/>
    <n v="49"/>
    <n v="928"/>
    <x v="41"/>
    <n v="162"/>
    <x v="1"/>
  </r>
  <r>
    <d v="2023-10-26T00:00:00"/>
    <s v="Adult"/>
    <x v="45"/>
    <n v="543"/>
    <n v="179"/>
    <n v="60"/>
    <n v="6"/>
    <n v="789"/>
    <x v="41"/>
    <n v="66"/>
    <x v="1"/>
  </r>
  <r>
    <d v="2023-10-26T00:00:00"/>
    <s v="Adult"/>
    <x v="46"/>
    <n v="2601"/>
    <n v="596"/>
    <n v="305"/>
    <n v="325"/>
    <n v="3827"/>
    <x v="41"/>
    <n v="630"/>
    <x v="1"/>
  </r>
  <r>
    <d v="2023-10-26T00:00:00"/>
    <s v="Adult"/>
    <x v="12"/>
    <n v="2043"/>
    <n v="342"/>
    <n v="145"/>
    <n v="118"/>
    <n v="2648"/>
    <x v="41"/>
    <n v="263"/>
    <x v="1"/>
  </r>
  <r>
    <d v="2023-10-26T00:00:00"/>
    <s v="Adult"/>
    <x v="42"/>
    <n v="3111"/>
    <n v="1060"/>
    <n v="571"/>
    <n v="763"/>
    <n v="5504"/>
    <x v="41"/>
    <n v="1334"/>
    <x v="1"/>
  </r>
  <r>
    <d v="2023-10-26T00:00:00"/>
    <s v="Adult"/>
    <x v="24"/>
    <n v="432"/>
    <n v="119"/>
    <n v="66"/>
    <n v="35"/>
    <n v="652"/>
    <x v="41"/>
    <n v="101"/>
    <x v="1"/>
  </r>
  <r>
    <d v="2023-11-30T00:00:00"/>
    <s v="Adult"/>
    <x v="25"/>
    <n v="86"/>
    <n v="38"/>
    <n v="22"/>
    <n v="23"/>
    <n v="169"/>
    <x v="42"/>
    <n v="45"/>
    <x v="1"/>
  </r>
  <r>
    <d v="2023-11-30T00:00:00"/>
    <s v="Adult"/>
    <x v="23"/>
    <n v="4779"/>
    <n v="1488"/>
    <n v="516"/>
    <n v="321"/>
    <n v="7104"/>
    <x v="42"/>
    <n v="837"/>
    <x v="1"/>
  </r>
  <r>
    <d v="2023-11-30T00:00:00"/>
    <s v="Adult"/>
    <x v="9"/>
    <n v="63"/>
    <n v="69"/>
    <n v="18"/>
    <n v="4"/>
    <n v="154"/>
    <x v="42"/>
    <n v="22"/>
    <x v="1"/>
  </r>
  <r>
    <d v="2023-11-30T00:00:00"/>
    <s v="Adult"/>
    <x v="40"/>
    <n v="742"/>
    <n v="254"/>
    <n v="134"/>
    <n v="213"/>
    <n v="1343"/>
    <x v="42"/>
    <n v="347"/>
    <x v="1"/>
  </r>
  <r>
    <d v="2023-11-30T00:00:00"/>
    <s v="Adult"/>
    <x v="6"/>
    <n v="517"/>
    <n v="147"/>
    <n v="54"/>
    <n v="20"/>
    <n v="738"/>
    <x v="42"/>
    <n v="74"/>
    <x v="1"/>
  </r>
  <r>
    <d v="2023-11-30T00:00:00"/>
    <s v="Adult"/>
    <x v="41"/>
    <n v="5164"/>
    <n v="1990"/>
    <n v="859"/>
    <n v="1391"/>
    <n v="9404"/>
    <x v="42"/>
    <n v="2250"/>
    <x v="1"/>
  </r>
  <r>
    <d v="2023-11-30T00:00:00"/>
    <s v="Adult"/>
    <x v="31"/>
    <n v="534"/>
    <n v="126"/>
    <n v="25"/>
    <n v="8"/>
    <n v="693"/>
    <x v="42"/>
    <n v="33"/>
    <x v="1"/>
  </r>
  <r>
    <d v="2023-11-30T00:00:00"/>
    <s v="Adult"/>
    <x v="32"/>
    <n v="1052"/>
    <n v="149"/>
    <n v="124"/>
    <n v="129"/>
    <n v="1454"/>
    <x v="42"/>
    <n v="253"/>
    <x v="1"/>
  </r>
  <r>
    <d v="2023-11-30T00:00:00"/>
    <s v="Adult"/>
    <x v="43"/>
    <n v="3290"/>
    <n v="860"/>
    <n v="436"/>
    <n v="838"/>
    <n v="5425"/>
    <x v="42"/>
    <n v="1274"/>
    <x v="1"/>
  </r>
  <r>
    <d v="2023-11-30T00:00:00"/>
    <s v="Adult"/>
    <x v="22"/>
    <n v="586"/>
    <n v="100"/>
    <n v="16"/>
    <n v="25"/>
    <n v="728"/>
    <x v="42"/>
    <n v="41"/>
    <x v="1"/>
  </r>
  <r>
    <d v="2023-11-30T00:00:00"/>
    <s v="Adult"/>
    <x v="2"/>
    <n v="678"/>
    <n v="171"/>
    <n v="64"/>
    <n v="32"/>
    <n v="946"/>
    <x v="42"/>
    <n v="96"/>
    <x v="1"/>
  </r>
  <r>
    <d v="2023-11-30T00:00:00"/>
    <s v="Adult"/>
    <x v="26"/>
    <n v="719"/>
    <n v="222"/>
    <n v="8"/>
    <n v="10"/>
    <n v="960"/>
    <x v="42"/>
    <n v="18"/>
    <x v="1"/>
  </r>
  <r>
    <d v="2023-11-30T00:00:00"/>
    <s v="Adult"/>
    <x v="20"/>
    <n v="203"/>
    <n v="28"/>
    <n v="13"/>
    <n v="4"/>
    <n v="249"/>
    <x v="42"/>
    <n v="17"/>
    <x v="1"/>
  </r>
  <r>
    <d v="2023-11-30T00:00:00"/>
    <s v="Adult"/>
    <x v="29"/>
    <n v="1554"/>
    <n v="334"/>
    <n v="51"/>
    <n v="32"/>
    <n v="1971"/>
    <x v="42"/>
    <n v="83"/>
    <x v="1"/>
  </r>
  <r>
    <d v="2023-11-30T00:00:00"/>
    <s v="Adult"/>
    <x v="0"/>
    <n v="652"/>
    <n v="78"/>
    <n v="10"/>
    <n v="4"/>
    <n v="745"/>
    <x v="42"/>
    <n v="14"/>
    <x v="1"/>
  </r>
  <r>
    <d v="2023-11-30T00:00:00"/>
    <s v="Adult"/>
    <x v="7"/>
    <n v="549"/>
    <n v="194"/>
    <n v="43"/>
    <n v="45"/>
    <n v="831"/>
    <x v="42"/>
    <n v="88"/>
    <x v="1"/>
  </r>
  <r>
    <d v="2023-11-30T00:00:00"/>
    <s v="Adult"/>
    <x v="38"/>
    <n v="2038"/>
    <n v="541"/>
    <n v="184"/>
    <n v="88"/>
    <n v="2851"/>
    <x v="42"/>
    <n v="272"/>
    <x v="1"/>
  </r>
  <r>
    <d v="2023-11-30T00:00:00"/>
    <s v="Adult"/>
    <x v="35"/>
    <n v="1463"/>
    <n v="446"/>
    <n v="199"/>
    <n v="138"/>
    <n v="2246"/>
    <x v="42"/>
    <n v="337"/>
    <x v="1"/>
  </r>
  <r>
    <d v="2023-11-30T00:00:00"/>
    <s v="Adult"/>
    <x v="36"/>
    <n v="2585"/>
    <n v="773"/>
    <n v="214"/>
    <n v="283"/>
    <n v="3855"/>
    <x v="42"/>
    <n v="497"/>
    <x v="1"/>
  </r>
  <r>
    <d v="2023-11-30T00:00:00"/>
    <s v="Adult"/>
    <x v="37"/>
    <n v="358"/>
    <n v="97"/>
    <n v="73"/>
    <n v="27"/>
    <n v="555"/>
    <x v="42"/>
    <n v="100"/>
    <x v="1"/>
  </r>
  <r>
    <d v="2023-11-30T00:00:00"/>
    <s v="Adult"/>
    <x v="44"/>
    <n v="3767"/>
    <n v="1493"/>
    <n v="762"/>
    <n v="828"/>
    <n v="6850"/>
    <x v="42"/>
    <n v="1590"/>
    <x v="1"/>
  </r>
  <r>
    <d v="2023-11-30T00:00:00"/>
    <s v="Adult"/>
    <x v="5"/>
    <n v="586"/>
    <n v="203"/>
    <n v="102"/>
    <n v="62"/>
    <n v="953"/>
    <x v="42"/>
    <n v="164"/>
    <x v="1"/>
  </r>
  <r>
    <d v="2023-11-30T00:00:00"/>
    <s v="Adult"/>
    <x v="45"/>
    <n v="540"/>
    <n v="178"/>
    <n v="67"/>
    <n v="13"/>
    <n v="799"/>
    <x v="42"/>
    <n v="80"/>
    <x v="1"/>
  </r>
  <r>
    <d v="2023-11-30T00:00:00"/>
    <s v="Adult"/>
    <x v="46"/>
    <n v="2675"/>
    <n v="595"/>
    <n v="319"/>
    <n v="328"/>
    <n v="3918"/>
    <x v="42"/>
    <n v="647"/>
    <x v="1"/>
  </r>
  <r>
    <d v="2023-11-30T00:00:00"/>
    <s v="Adult"/>
    <x v="12"/>
    <n v="2482"/>
    <n v="338"/>
    <n v="133"/>
    <n v="111"/>
    <n v="3064"/>
    <x v="42"/>
    <n v="244"/>
    <x v="1"/>
  </r>
  <r>
    <d v="2023-11-30T00:00:00"/>
    <s v="Adult"/>
    <x v="19"/>
    <n v="191"/>
    <n v="0"/>
    <n v="2"/>
    <n v="6"/>
    <n v="200"/>
    <x v="42"/>
    <n v="8"/>
    <x v="1"/>
  </r>
  <r>
    <d v="2023-11-30T00:00:00"/>
    <s v="Adult"/>
    <x v="34"/>
    <n v="1761"/>
    <n v="769"/>
    <n v="157"/>
    <n v="4"/>
    <n v="2691"/>
    <x v="42"/>
    <n v="161"/>
    <x v="1"/>
  </r>
  <r>
    <d v="2023-11-30T00:00:00"/>
    <s v="Adult"/>
    <x v="42"/>
    <n v="3111"/>
    <n v="973"/>
    <n v="597"/>
    <n v="747"/>
    <n v="5427"/>
    <x v="42"/>
    <n v="1344"/>
    <x v="1"/>
  </r>
  <r>
    <d v="2023-11-30T00:00:00"/>
    <s v="Adult"/>
    <x v="24"/>
    <n v="466"/>
    <n v="97"/>
    <n v="55"/>
    <n v="39"/>
    <n v="657"/>
    <x v="42"/>
    <n v="94"/>
    <x v="1"/>
  </r>
  <r>
    <d v="2023-12-28T00:00:00"/>
    <s v="Adult"/>
    <x v="25"/>
    <n v="99"/>
    <n v="39"/>
    <n v="10"/>
    <n v="21"/>
    <n v="169"/>
    <x v="43"/>
    <n v="31"/>
    <x v="1"/>
  </r>
  <r>
    <d v="2023-12-28T00:00:00"/>
    <s v="Adult"/>
    <x v="23"/>
    <n v="4895"/>
    <n v="1546"/>
    <n v="393"/>
    <n v="250"/>
    <n v="7084"/>
    <x v="43"/>
    <n v="643"/>
    <x v="1"/>
  </r>
  <r>
    <d v="2023-12-28T00:00:00"/>
    <s v="Adult"/>
    <x v="40"/>
    <n v="791"/>
    <n v="245"/>
    <n v="140"/>
    <n v="211"/>
    <n v="1388"/>
    <x v="43"/>
    <n v="351"/>
    <x v="1"/>
  </r>
  <r>
    <d v="2023-12-28T00:00:00"/>
    <s v="Adult"/>
    <x v="6"/>
    <n v="525"/>
    <n v="157"/>
    <n v="57"/>
    <n v="18"/>
    <n v="757"/>
    <x v="43"/>
    <n v="75"/>
    <x v="1"/>
  </r>
  <r>
    <d v="2023-12-28T00:00:00"/>
    <s v="Adult"/>
    <x v="41"/>
    <n v="5439"/>
    <n v="2026"/>
    <n v="760"/>
    <n v="1402"/>
    <n v="9627"/>
    <x v="43"/>
    <n v="2162"/>
    <x v="1"/>
  </r>
  <r>
    <d v="2023-12-28T00:00:00"/>
    <s v="Adult"/>
    <x v="31"/>
    <n v="502"/>
    <n v="136"/>
    <n v="31"/>
    <n v="9"/>
    <n v="678"/>
    <x v="43"/>
    <n v="40"/>
    <x v="1"/>
  </r>
  <r>
    <d v="2023-12-28T00:00:00"/>
    <s v="Adult"/>
    <x v="32"/>
    <n v="1049"/>
    <n v="204"/>
    <n v="111"/>
    <n v="126"/>
    <n v="1490"/>
    <x v="43"/>
    <n v="237"/>
    <x v="1"/>
  </r>
  <r>
    <d v="2023-12-28T00:00:00"/>
    <s v="Adult"/>
    <x v="43"/>
    <n v="3504"/>
    <n v="905"/>
    <n v="447"/>
    <n v="856"/>
    <n v="5713"/>
    <x v="43"/>
    <n v="1303"/>
    <x v="1"/>
  </r>
  <r>
    <d v="2023-12-28T00:00:00"/>
    <s v="Adult"/>
    <x v="2"/>
    <n v="629"/>
    <n v="197"/>
    <n v="57"/>
    <n v="15"/>
    <n v="898"/>
    <x v="43"/>
    <n v="72"/>
    <x v="1"/>
  </r>
  <r>
    <d v="2023-12-28T00:00:00"/>
    <s v="Adult"/>
    <x v="20"/>
    <n v="229"/>
    <n v="33"/>
    <n v="12"/>
    <n v="8"/>
    <n v="282"/>
    <x v="43"/>
    <n v="20"/>
    <x v="1"/>
  </r>
  <r>
    <d v="2023-12-28T00:00:00"/>
    <s v="Adult"/>
    <x v="29"/>
    <n v="1579"/>
    <n v="354"/>
    <n v="57"/>
    <n v="30"/>
    <n v="2020"/>
    <x v="43"/>
    <n v="87"/>
    <x v="1"/>
  </r>
  <r>
    <d v="2023-12-28T00:00:00"/>
    <s v="Adult"/>
    <x v="7"/>
    <n v="539"/>
    <n v="202"/>
    <n v="55"/>
    <n v="43"/>
    <n v="839"/>
    <x v="43"/>
    <n v="98"/>
    <x v="1"/>
  </r>
  <r>
    <d v="2023-12-28T00:00:00"/>
    <s v="Adult"/>
    <x v="38"/>
    <n v="2267"/>
    <n v="584"/>
    <n v="176"/>
    <n v="101"/>
    <n v="3128"/>
    <x v="43"/>
    <n v="277"/>
    <x v="1"/>
  </r>
  <r>
    <d v="2023-12-28T00:00:00"/>
    <s v="Adult"/>
    <x v="35"/>
    <n v="1498"/>
    <n v="422"/>
    <n v="165"/>
    <n v="109"/>
    <n v="2194"/>
    <x v="43"/>
    <n v="274"/>
    <x v="1"/>
  </r>
  <r>
    <d v="2023-12-28T00:00:00"/>
    <s v="Adult"/>
    <x v="36"/>
    <n v="2631"/>
    <n v="734"/>
    <n v="239"/>
    <n v="297"/>
    <n v="3901"/>
    <x v="43"/>
    <n v="536"/>
    <x v="1"/>
  </r>
  <r>
    <d v="2023-12-28T00:00:00"/>
    <s v="Adult"/>
    <x v="37"/>
    <n v="308"/>
    <n v="86"/>
    <n v="74"/>
    <n v="24"/>
    <n v="492"/>
    <x v="43"/>
    <n v="98"/>
    <x v="1"/>
  </r>
  <r>
    <d v="2023-12-28T00:00:00"/>
    <s v="Adult"/>
    <x v="44"/>
    <n v="3633"/>
    <n v="1585"/>
    <n v="902"/>
    <n v="767"/>
    <n v="6887"/>
    <x v="43"/>
    <n v="1669"/>
    <x v="1"/>
  </r>
  <r>
    <d v="2023-12-28T00:00:00"/>
    <s v="Adult"/>
    <x v="5"/>
    <n v="652"/>
    <n v="212"/>
    <n v="107"/>
    <n v="70"/>
    <n v="1041"/>
    <x v="43"/>
    <n v="177"/>
    <x v="1"/>
  </r>
  <r>
    <d v="2023-12-28T00:00:00"/>
    <s v="Adult"/>
    <x v="45"/>
    <n v="535"/>
    <n v="173"/>
    <n v="85"/>
    <n v="15"/>
    <n v="808"/>
    <x v="43"/>
    <n v="100"/>
    <x v="1"/>
  </r>
  <r>
    <d v="2023-12-28T00:00:00"/>
    <s v="Adult"/>
    <x v="46"/>
    <n v="2625"/>
    <n v="603"/>
    <n v="299"/>
    <n v="331"/>
    <n v="3859"/>
    <x v="43"/>
    <n v="630"/>
    <x v="1"/>
  </r>
  <r>
    <d v="2023-12-28T00:00:00"/>
    <s v="Adult"/>
    <x v="12"/>
    <n v="2759"/>
    <n v="365"/>
    <n v="127"/>
    <n v="91"/>
    <n v="3342"/>
    <x v="43"/>
    <n v="218"/>
    <x v="1"/>
  </r>
  <r>
    <d v="2023-12-28T00:00:00"/>
    <s v="Adult"/>
    <x v="42"/>
    <n v="3108"/>
    <n v="968"/>
    <n v="555"/>
    <n v="766"/>
    <n v="5397"/>
    <x v="43"/>
    <n v="1321"/>
    <x v="1"/>
  </r>
  <r>
    <d v="2023-12-28T00:00:00"/>
    <s v="Adult"/>
    <x v="24"/>
    <n v="472"/>
    <n v="90"/>
    <n v="56"/>
    <n v="40"/>
    <n v="658"/>
    <x v="43"/>
    <n v="96"/>
    <x v="1"/>
  </r>
  <r>
    <d v="2024-01-25T00:00:00"/>
    <s v="Adult"/>
    <x v="25"/>
    <n v="96"/>
    <n v="38"/>
    <n v="8"/>
    <n v="24"/>
    <n v="165"/>
    <x v="12"/>
    <n v="32"/>
    <x v="1"/>
  </r>
  <r>
    <d v="2024-01-25T00:00:00"/>
    <s v="Adult"/>
    <x v="23"/>
    <n v="4773"/>
    <n v="1652"/>
    <n v="472"/>
    <n v="304"/>
    <n v="7200"/>
    <x v="12"/>
    <n v="776"/>
    <x v="1"/>
  </r>
  <r>
    <d v="2024-01-25T00:00:00"/>
    <s v="Adult"/>
    <x v="16"/>
    <n v="545"/>
    <n v="7"/>
    <n v="0"/>
    <n v="5"/>
    <n v="557"/>
    <x v="12"/>
    <n v="5"/>
    <x v="1"/>
  </r>
  <r>
    <d v="2024-01-25T00:00:00"/>
    <s v="Adult"/>
    <x v="9"/>
    <n v="117"/>
    <n v="61"/>
    <n v="17"/>
    <n v="4"/>
    <n v="198"/>
    <x v="12"/>
    <n v="21"/>
    <x v="1"/>
  </r>
  <r>
    <d v="2024-01-25T00:00:00"/>
    <s v="Adult"/>
    <x v="40"/>
    <n v="793"/>
    <n v="246"/>
    <n v="141"/>
    <n v="209"/>
    <n v="1389"/>
    <x v="12"/>
    <n v="350"/>
    <x v="1"/>
  </r>
  <r>
    <d v="2024-01-25T00:00:00"/>
    <s v="Adult"/>
    <x v="6"/>
    <n v="510"/>
    <n v="145"/>
    <n v="50"/>
    <n v="16"/>
    <n v="721"/>
    <x v="12"/>
    <n v="66"/>
    <x v="1"/>
  </r>
  <r>
    <d v="2024-01-25T00:00:00"/>
    <s v="Adult"/>
    <x v="41"/>
    <n v="5311"/>
    <n v="2079"/>
    <n v="767"/>
    <n v="1476"/>
    <n v="9633"/>
    <x v="12"/>
    <n v="2243"/>
    <x v="1"/>
  </r>
  <r>
    <d v="2024-01-25T00:00:00"/>
    <s v="Adult"/>
    <x v="31"/>
    <n v="587"/>
    <n v="132"/>
    <n v="31"/>
    <n v="10"/>
    <n v="760"/>
    <x v="12"/>
    <n v="41"/>
    <x v="1"/>
  </r>
  <r>
    <d v="2024-01-25T00:00:00"/>
    <s v="Adult"/>
    <x v="32"/>
    <n v="1053"/>
    <n v="186"/>
    <n v="92"/>
    <n v="162"/>
    <n v="1493"/>
    <x v="12"/>
    <n v="254"/>
    <x v="1"/>
  </r>
  <r>
    <d v="2024-01-25T00:00:00"/>
    <s v="Adult"/>
    <x v="43"/>
    <n v="3452"/>
    <n v="940"/>
    <n v="442"/>
    <n v="832"/>
    <n v="5666"/>
    <x v="12"/>
    <n v="1274"/>
    <x v="1"/>
  </r>
  <r>
    <d v="2024-01-25T00:00:00"/>
    <s v="Adult"/>
    <x v="22"/>
    <n v="601"/>
    <n v="137"/>
    <n v="11"/>
    <n v="13"/>
    <n v="762"/>
    <x v="12"/>
    <n v="24"/>
    <x v="1"/>
  </r>
  <r>
    <d v="2024-01-25T00:00:00"/>
    <s v="Adult"/>
    <x v="2"/>
    <n v="596"/>
    <n v="207"/>
    <n v="60"/>
    <n v="15"/>
    <n v="878"/>
    <x v="12"/>
    <n v="75"/>
    <x v="1"/>
  </r>
  <r>
    <d v="2024-01-25T00:00:00"/>
    <s v="Adult"/>
    <x v="20"/>
    <n v="302"/>
    <n v="52"/>
    <n v="14"/>
    <n v="18"/>
    <n v="386"/>
    <x v="12"/>
    <n v="32"/>
    <x v="1"/>
  </r>
  <r>
    <d v="2024-01-25T00:00:00"/>
    <s v="Adult"/>
    <x v="29"/>
    <n v="1488"/>
    <n v="402"/>
    <n v="38"/>
    <n v="8"/>
    <n v="1935"/>
    <x v="12"/>
    <n v="46"/>
    <x v="1"/>
  </r>
  <r>
    <d v="2024-01-25T00:00:00"/>
    <s v="Adult"/>
    <x v="0"/>
    <n v="698"/>
    <n v="76"/>
    <n v="7"/>
    <n v="4"/>
    <n v="785"/>
    <x v="12"/>
    <n v="11"/>
    <x v="1"/>
  </r>
  <r>
    <d v="2024-01-25T00:00:00"/>
    <s v="Adult"/>
    <x v="7"/>
    <n v="546"/>
    <n v="210"/>
    <n v="42"/>
    <n v="44"/>
    <n v="842"/>
    <x v="12"/>
    <n v="86"/>
    <x v="1"/>
  </r>
  <r>
    <d v="2024-01-25T00:00:00"/>
    <s v="Adult"/>
    <x v="38"/>
    <n v="2132"/>
    <n v="679"/>
    <n v="189"/>
    <n v="100"/>
    <n v="3100"/>
    <x v="12"/>
    <n v="289"/>
    <x v="1"/>
  </r>
  <r>
    <d v="2024-01-25T00:00:00"/>
    <s v="Adult"/>
    <x v="35"/>
    <n v="1580"/>
    <n v="449"/>
    <n v="134"/>
    <n v="102"/>
    <n v="2265"/>
    <x v="12"/>
    <n v="236"/>
    <x v="1"/>
  </r>
  <r>
    <d v="2024-01-25T00:00:00"/>
    <s v="Adult"/>
    <x v="36"/>
    <n v="2659"/>
    <n v="788"/>
    <n v="223"/>
    <n v="294"/>
    <n v="3965"/>
    <x v="12"/>
    <n v="517"/>
    <x v="1"/>
  </r>
  <r>
    <d v="2024-01-25T00:00:00"/>
    <s v="Adult"/>
    <x v="37"/>
    <n v="320"/>
    <n v="85"/>
    <n v="69"/>
    <n v="22"/>
    <n v="495"/>
    <x v="12"/>
    <n v="91"/>
    <x v="1"/>
  </r>
  <r>
    <d v="2024-01-25T00:00:00"/>
    <s v="Adult"/>
    <x v="44"/>
    <n v="3612"/>
    <n v="1655"/>
    <n v="893"/>
    <n v="841"/>
    <n v="7001"/>
    <x v="12"/>
    <n v="1734"/>
    <x v="1"/>
  </r>
  <r>
    <d v="2024-01-25T00:00:00"/>
    <s v="Adult"/>
    <x v="5"/>
    <n v="592"/>
    <n v="212"/>
    <n v="91"/>
    <n v="59"/>
    <n v="953"/>
    <x v="12"/>
    <n v="150"/>
    <x v="1"/>
  </r>
  <r>
    <d v="2024-01-25T00:00:00"/>
    <s v="Adult"/>
    <x v="45"/>
    <n v="602"/>
    <n v="169"/>
    <n v="89"/>
    <n v="19"/>
    <n v="880"/>
    <x v="12"/>
    <n v="108"/>
    <x v="1"/>
  </r>
  <r>
    <d v="2024-01-25T00:00:00"/>
    <s v="Adult"/>
    <x v="46"/>
    <n v="2579"/>
    <n v="625"/>
    <n v="281"/>
    <n v="332"/>
    <n v="3817"/>
    <x v="12"/>
    <n v="613"/>
    <x v="1"/>
  </r>
  <r>
    <d v="2024-01-25T00:00:00"/>
    <s v="Adult"/>
    <x v="12"/>
    <n v="2556"/>
    <n v="400"/>
    <n v="114"/>
    <n v="98"/>
    <n v="3168"/>
    <x v="12"/>
    <n v="212"/>
    <x v="1"/>
  </r>
  <r>
    <d v="2024-01-25T00:00:00"/>
    <s v="Adult"/>
    <x v="34"/>
    <n v="1716"/>
    <n v="836"/>
    <n v="81"/>
    <n v="7"/>
    <n v="2639"/>
    <x v="12"/>
    <n v="88"/>
    <x v="1"/>
  </r>
  <r>
    <d v="2024-01-25T00:00:00"/>
    <s v="Adult"/>
    <x v="42"/>
    <n v="2987"/>
    <n v="969"/>
    <n v="540"/>
    <n v="758"/>
    <n v="5254"/>
    <x v="12"/>
    <n v="1298"/>
    <x v="1"/>
  </r>
  <r>
    <d v="2024-01-25T00:00:00"/>
    <s v="Adult"/>
    <x v="24"/>
    <n v="474"/>
    <n v="127"/>
    <n v="53"/>
    <n v="43"/>
    <n v="697"/>
    <x v="12"/>
    <n v="96"/>
    <x v="1"/>
  </r>
  <r>
    <d v="2024-02-29T00:00:00"/>
    <s v="Adult"/>
    <x v="25"/>
    <n v="97"/>
    <n v="33"/>
    <n v="14"/>
    <n v="27"/>
    <n v="171"/>
    <x v="13"/>
    <n v="41"/>
    <x v="1"/>
  </r>
  <r>
    <d v="2024-02-29T00:00:00"/>
    <s v="Adult"/>
    <x v="23"/>
    <n v="5153"/>
    <n v="1707"/>
    <n v="568"/>
    <n v="378"/>
    <n v="7806"/>
    <x v="13"/>
    <n v="946"/>
    <x v="1"/>
  </r>
  <r>
    <d v="2024-02-29T00:00:00"/>
    <s v="Adult"/>
    <x v="40"/>
    <n v="821"/>
    <n v="240"/>
    <n v="134"/>
    <n v="213"/>
    <n v="1408"/>
    <x v="13"/>
    <n v="347"/>
    <x v="1"/>
  </r>
  <r>
    <d v="2024-02-29T00:00:00"/>
    <s v="Adult"/>
    <x v="6"/>
    <n v="453"/>
    <n v="119"/>
    <n v="37"/>
    <n v="8"/>
    <n v="617"/>
    <x v="13"/>
    <n v="45"/>
    <x v="1"/>
  </r>
  <r>
    <d v="2024-02-29T00:00:00"/>
    <s v="Adult"/>
    <x v="3"/>
    <n v="503"/>
    <n v="0"/>
    <n v="0"/>
    <n v="1"/>
    <n v="504"/>
    <x v="13"/>
    <n v="1"/>
    <x v="1"/>
  </r>
  <r>
    <d v="2024-02-29T00:00:00"/>
    <s v="Adult"/>
    <x v="41"/>
    <n v="5253"/>
    <n v="2077"/>
    <n v="755"/>
    <n v="1454"/>
    <n v="9539"/>
    <x v="13"/>
    <n v="2209"/>
    <x v="1"/>
  </r>
  <r>
    <d v="2024-02-29T00:00:00"/>
    <s v="Adult"/>
    <x v="31"/>
    <n v="605"/>
    <n v="132"/>
    <n v="32"/>
    <n v="15"/>
    <n v="784"/>
    <x v="13"/>
    <n v="47"/>
    <x v="1"/>
  </r>
  <r>
    <d v="2024-02-29T00:00:00"/>
    <s v="Adult"/>
    <x v="32"/>
    <n v="853"/>
    <n v="196"/>
    <n v="92"/>
    <n v="154"/>
    <n v="1295"/>
    <x v="13"/>
    <n v="246"/>
    <x v="1"/>
  </r>
  <r>
    <d v="2024-02-29T00:00:00"/>
    <s v="Adult"/>
    <x v="43"/>
    <n v="3761"/>
    <n v="906"/>
    <n v="466"/>
    <n v="818"/>
    <n v="5951"/>
    <x v="13"/>
    <n v="1284"/>
    <x v="1"/>
  </r>
  <r>
    <d v="2024-02-29T00:00:00"/>
    <s v="Adult"/>
    <x v="22"/>
    <n v="643"/>
    <n v="141"/>
    <n v="18"/>
    <n v="17"/>
    <n v="820"/>
    <x v="13"/>
    <n v="35"/>
    <x v="1"/>
  </r>
  <r>
    <d v="2024-02-29T00:00:00"/>
    <s v="Adult"/>
    <x v="2"/>
    <n v="579"/>
    <n v="209"/>
    <n v="55"/>
    <n v="17"/>
    <n v="860"/>
    <x v="13"/>
    <n v="72"/>
    <x v="1"/>
  </r>
  <r>
    <d v="2024-02-29T00:00:00"/>
    <s v="Adult"/>
    <x v="26"/>
    <n v="749"/>
    <n v="231"/>
    <n v="17"/>
    <n v="7"/>
    <n v="1003"/>
    <x v="13"/>
    <n v="24"/>
    <x v="1"/>
  </r>
  <r>
    <d v="2024-02-29T00:00:00"/>
    <s v="Adult"/>
    <x v="20"/>
    <n v="368"/>
    <n v="70"/>
    <n v="17"/>
    <n v="15"/>
    <n v="470"/>
    <x v="13"/>
    <n v="32"/>
    <x v="1"/>
  </r>
  <r>
    <d v="2024-02-29T00:00:00"/>
    <s v="Adult"/>
    <x v="7"/>
    <n v="524"/>
    <n v="206"/>
    <n v="44"/>
    <n v="39"/>
    <n v="812"/>
    <x v="13"/>
    <n v="83"/>
    <x v="1"/>
  </r>
  <r>
    <d v="2024-02-29T00:00:00"/>
    <s v="Adult"/>
    <x v="38"/>
    <n v="2186"/>
    <n v="753"/>
    <n v="204"/>
    <n v="117"/>
    <n v="3260"/>
    <x v="13"/>
    <n v="321"/>
    <x v="1"/>
  </r>
  <r>
    <d v="2024-02-29T00:00:00"/>
    <s v="Adult"/>
    <x v="35"/>
    <n v="1334"/>
    <n v="496"/>
    <n v="134"/>
    <n v="121"/>
    <n v="2086"/>
    <x v="13"/>
    <n v="255"/>
    <x v="1"/>
  </r>
  <r>
    <d v="2024-02-29T00:00:00"/>
    <s v="Adult"/>
    <x v="36"/>
    <n v="2700"/>
    <n v="788"/>
    <n v="229"/>
    <n v="314"/>
    <n v="4031"/>
    <x v="13"/>
    <n v="543"/>
    <x v="1"/>
  </r>
  <r>
    <d v="2024-02-29T00:00:00"/>
    <s v="Adult"/>
    <x v="37"/>
    <n v="358"/>
    <n v="85"/>
    <n v="57"/>
    <n v="19"/>
    <n v="519"/>
    <x v="13"/>
    <n v="76"/>
    <x v="1"/>
  </r>
  <r>
    <d v="2024-02-29T00:00:00"/>
    <s v="Adult"/>
    <x v="44"/>
    <n v="3719"/>
    <n v="1526"/>
    <n v="815"/>
    <n v="856"/>
    <n v="6916"/>
    <x v="13"/>
    <n v="1671"/>
    <x v="1"/>
  </r>
  <r>
    <d v="2024-02-29T00:00:00"/>
    <s v="Adult"/>
    <x v="5"/>
    <n v="498"/>
    <n v="208"/>
    <n v="81"/>
    <n v="41"/>
    <n v="828"/>
    <x v="13"/>
    <n v="122"/>
    <x v="1"/>
  </r>
  <r>
    <d v="2024-02-29T00:00:00"/>
    <s v="Adult"/>
    <x v="45"/>
    <n v="633"/>
    <n v="140"/>
    <n v="54"/>
    <n v="16"/>
    <n v="843"/>
    <x v="13"/>
    <n v="70"/>
    <x v="1"/>
  </r>
  <r>
    <d v="2024-02-29T00:00:00"/>
    <s v="Adult"/>
    <x v="46"/>
    <n v="2427"/>
    <n v="642"/>
    <n v="269"/>
    <n v="314"/>
    <n v="3652"/>
    <x v="13"/>
    <n v="583"/>
    <x v="1"/>
  </r>
  <r>
    <d v="2024-02-29T00:00:00"/>
    <s v="Adult"/>
    <x v="12"/>
    <n v="2468"/>
    <n v="424"/>
    <n v="124"/>
    <n v="111"/>
    <n v="3126"/>
    <x v="13"/>
    <n v="235"/>
    <x v="1"/>
  </r>
  <r>
    <d v="2024-02-29T00:00:00"/>
    <s v="Adult"/>
    <x v="42"/>
    <n v="2973"/>
    <n v="870"/>
    <n v="540"/>
    <n v="759"/>
    <n v="5142"/>
    <x v="13"/>
    <n v="1299"/>
    <x v="1"/>
  </r>
  <r>
    <d v="2024-02-29T00:00:00"/>
    <s v="Adult"/>
    <x v="24"/>
    <n v="509"/>
    <n v="162"/>
    <n v="51"/>
    <n v="41"/>
    <n v="763"/>
    <x v="13"/>
    <n v="92"/>
    <x v="1"/>
  </r>
  <r>
    <d v="2024-03-28T00:00:00"/>
    <s v="Adult"/>
    <x v="25"/>
    <n v="93"/>
    <n v="25"/>
    <n v="12"/>
    <n v="28"/>
    <n v="158"/>
    <x v="14"/>
    <n v="40"/>
    <x v="1"/>
  </r>
  <r>
    <d v="2024-03-28T00:00:00"/>
    <s v="Adult"/>
    <x v="23"/>
    <n v="5032"/>
    <n v="1752"/>
    <n v="604"/>
    <n v="398"/>
    <n v="7786"/>
    <x v="14"/>
    <n v="1002"/>
    <x v="1"/>
  </r>
  <r>
    <d v="2024-03-28T00:00:00"/>
    <s v="Adult"/>
    <x v="40"/>
    <n v="851"/>
    <n v="234"/>
    <n v="137"/>
    <n v="207"/>
    <n v="1429"/>
    <x v="14"/>
    <n v="344"/>
    <x v="1"/>
  </r>
  <r>
    <d v="2024-03-28T00:00:00"/>
    <s v="Adult"/>
    <x v="6"/>
    <n v="520"/>
    <n v="105"/>
    <n v="35"/>
    <n v="10"/>
    <n v="670"/>
    <x v="14"/>
    <n v="45"/>
    <x v="1"/>
  </r>
  <r>
    <d v="2024-03-28T00:00:00"/>
    <s v="Adult"/>
    <x v="41"/>
    <n v="4991"/>
    <n v="2214"/>
    <n v="789"/>
    <n v="1444"/>
    <n v="9438"/>
    <x v="14"/>
    <n v="2233"/>
    <x v="1"/>
  </r>
  <r>
    <d v="2024-03-28T00:00:00"/>
    <s v="Adult"/>
    <x v="31"/>
    <n v="585"/>
    <n v="104"/>
    <n v="32"/>
    <n v="15"/>
    <n v="736"/>
    <x v="14"/>
    <n v="47"/>
    <x v="1"/>
  </r>
  <r>
    <d v="2024-03-28T00:00:00"/>
    <s v="Adult"/>
    <x v="32"/>
    <n v="983"/>
    <n v="185"/>
    <n v="82"/>
    <n v="141"/>
    <n v="1392"/>
    <x v="14"/>
    <n v="223"/>
    <x v="1"/>
  </r>
  <r>
    <d v="2024-03-28T00:00:00"/>
    <s v="Adult"/>
    <x v="43"/>
    <n v="3906"/>
    <n v="913"/>
    <n v="465"/>
    <n v="813"/>
    <n v="6097"/>
    <x v="14"/>
    <n v="1278"/>
    <x v="1"/>
  </r>
  <r>
    <d v="2024-03-28T00:00:00"/>
    <s v="Adult"/>
    <x v="22"/>
    <n v="718"/>
    <n v="117"/>
    <n v="10"/>
    <n v="6"/>
    <n v="851"/>
    <x v="14"/>
    <n v="16"/>
    <x v="1"/>
  </r>
  <r>
    <d v="2024-03-28T00:00:00"/>
    <s v="Adult"/>
    <x v="2"/>
    <n v="568"/>
    <n v="190"/>
    <n v="60"/>
    <n v="21"/>
    <n v="839"/>
    <x v="14"/>
    <n v="81"/>
    <x v="1"/>
  </r>
  <r>
    <d v="2024-03-28T00:00:00"/>
    <s v="Adult"/>
    <x v="26"/>
    <n v="699"/>
    <n v="205"/>
    <n v="19"/>
    <n v="8"/>
    <n v="930"/>
    <x v="14"/>
    <n v="27"/>
    <x v="1"/>
  </r>
  <r>
    <d v="2024-03-28T00:00:00"/>
    <s v="Adult"/>
    <x v="20"/>
    <n v="290"/>
    <n v="78"/>
    <n v="19"/>
    <n v="18"/>
    <n v="405"/>
    <x v="14"/>
    <n v="37"/>
    <x v="1"/>
  </r>
  <r>
    <d v="2024-03-28T00:00:00"/>
    <s v="Adult"/>
    <x v="7"/>
    <n v="521"/>
    <n v="163"/>
    <n v="55"/>
    <n v="36"/>
    <n v="775"/>
    <x v="14"/>
    <n v="91"/>
    <x v="1"/>
  </r>
  <r>
    <d v="2024-03-28T00:00:00"/>
    <s v="Adult"/>
    <x v="38"/>
    <n v="2009"/>
    <n v="898"/>
    <n v="207"/>
    <n v="113"/>
    <n v="3227"/>
    <x v="14"/>
    <n v="320"/>
    <x v="1"/>
  </r>
  <r>
    <d v="2024-03-28T00:00:00"/>
    <s v="Adult"/>
    <x v="35"/>
    <n v="1333"/>
    <n v="527"/>
    <n v="128"/>
    <n v="124"/>
    <n v="2113"/>
    <x v="14"/>
    <n v="252"/>
    <x v="1"/>
  </r>
  <r>
    <d v="2024-03-28T00:00:00"/>
    <s v="Adult"/>
    <x v="36"/>
    <n v="2663"/>
    <n v="808"/>
    <n v="273"/>
    <n v="314"/>
    <n v="4058"/>
    <x v="14"/>
    <n v="587"/>
    <x v="1"/>
  </r>
  <r>
    <d v="2024-03-28T00:00:00"/>
    <s v="Adult"/>
    <x v="37"/>
    <n v="313"/>
    <n v="110"/>
    <n v="44"/>
    <n v="19"/>
    <n v="486"/>
    <x v="14"/>
    <n v="63"/>
    <x v="1"/>
  </r>
  <r>
    <d v="2024-03-28T00:00:00"/>
    <s v="Adult"/>
    <x v="44"/>
    <n v="3772"/>
    <n v="1539"/>
    <n v="781"/>
    <n v="828"/>
    <n v="6920"/>
    <x v="14"/>
    <n v="1609"/>
    <x v="1"/>
  </r>
  <r>
    <d v="2024-03-28T00:00:00"/>
    <s v="Adult"/>
    <x v="5"/>
    <n v="506"/>
    <n v="208"/>
    <n v="83"/>
    <n v="46"/>
    <n v="843"/>
    <x v="14"/>
    <n v="129"/>
    <x v="1"/>
  </r>
  <r>
    <d v="2024-03-28T00:00:00"/>
    <s v="Adult"/>
    <x v="45"/>
    <n v="683"/>
    <n v="143"/>
    <n v="45"/>
    <n v="20"/>
    <n v="890"/>
    <x v="14"/>
    <n v="65"/>
    <x v="1"/>
  </r>
  <r>
    <d v="2024-03-28T00:00:00"/>
    <s v="Adult"/>
    <x v="46"/>
    <n v="2447"/>
    <n v="671"/>
    <n v="248"/>
    <n v="322"/>
    <n v="3689"/>
    <x v="14"/>
    <n v="570"/>
    <x v="1"/>
  </r>
  <r>
    <d v="2024-03-28T00:00:00"/>
    <s v="Adult"/>
    <x v="12"/>
    <n v="2536"/>
    <n v="473"/>
    <n v="121"/>
    <n v="149"/>
    <n v="3279"/>
    <x v="14"/>
    <n v="270"/>
    <x v="1"/>
  </r>
  <r>
    <d v="2024-03-28T00:00:00"/>
    <s v="Adult"/>
    <x v="42"/>
    <n v="2747"/>
    <n v="851"/>
    <n v="572"/>
    <n v="739"/>
    <n v="4908"/>
    <x v="14"/>
    <n v="1311"/>
    <x v="1"/>
  </r>
  <r>
    <d v="2024-03-28T00:00:00"/>
    <s v="Adult"/>
    <x v="24"/>
    <n v="499"/>
    <n v="185"/>
    <n v="44"/>
    <n v="46"/>
    <n v="774"/>
    <x v="14"/>
    <n v="90"/>
    <x v="1"/>
  </r>
  <r>
    <d v="2024-04-25T00:00:00"/>
    <s v="Adult"/>
    <x v="25"/>
    <n v="96"/>
    <n v="22"/>
    <n v="20"/>
    <n v="29"/>
    <n v="166"/>
    <x v="15"/>
    <n v="49"/>
    <x v="1"/>
  </r>
  <r>
    <d v="2024-04-25T00:00:00"/>
    <s v="Adult"/>
    <x v="23"/>
    <n v="5319"/>
    <n v="1814"/>
    <n v="659"/>
    <n v="468"/>
    <n v="8259"/>
    <x v="15"/>
    <n v="1127"/>
    <x v="1"/>
  </r>
  <r>
    <d v="2024-04-25T00:00:00"/>
    <s v="Adult"/>
    <x v="40"/>
    <n v="894"/>
    <n v="220"/>
    <n v="132"/>
    <n v="196"/>
    <n v="1442"/>
    <x v="15"/>
    <n v="328"/>
    <x v="1"/>
  </r>
  <r>
    <d v="2024-04-25T00:00:00"/>
    <s v="Adult"/>
    <x v="6"/>
    <n v="478"/>
    <n v="118"/>
    <n v="28"/>
    <n v="6"/>
    <n v="630"/>
    <x v="15"/>
    <n v="34"/>
    <x v="1"/>
  </r>
  <r>
    <d v="2024-04-25T00:00:00"/>
    <s v="Adult"/>
    <x v="41"/>
    <n v="4971"/>
    <n v="2295"/>
    <n v="723"/>
    <n v="1439"/>
    <n v="9428"/>
    <x v="15"/>
    <n v="2162"/>
    <x v="1"/>
  </r>
  <r>
    <d v="2024-04-25T00:00:00"/>
    <s v="Adult"/>
    <x v="31"/>
    <n v="594"/>
    <n v="116"/>
    <n v="32"/>
    <n v="19"/>
    <n v="761"/>
    <x v="15"/>
    <n v="51"/>
    <x v="1"/>
  </r>
  <r>
    <d v="2024-04-25T00:00:00"/>
    <s v="Adult"/>
    <x v="32"/>
    <n v="1144"/>
    <n v="216"/>
    <n v="83"/>
    <n v="115"/>
    <n v="1558"/>
    <x v="15"/>
    <n v="198"/>
    <x v="1"/>
  </r>
  <r>
    <d v="2024-04-25T00:00:00"/>
    <s v="Adult"/>
    <x v="43"/>
    <n v="3969"/>
    <n v="895"/>
    <n v="428"/>
    <n v="848"/>
    <n v="6140"/>
    <x v="15"/>
    <n v="1276"/>
    <x v="1"/>
  </r>
  <r>
    <d v="2024-04-25T00:00:00"/>
    <s v="Adult"/>
    <x v="22"/>
    <n v="611"/>
    <n v="136"/>
    <n v="10"/>
    <n v="9"/>
    <n v="765"/>
    <x v="15"/>
    <n v="19"/>
    <x v="1"/>
  </r>
  <r>
    <d v="2024-04-25T00:00:00"/>
    <s v="Adult"/>
    <x v="2"/>
    <n v="485"/>
    <n v="175"/>
    <n v="54"/>
    <n v="18"/>
    <n v="733"/>
    <x v="15"/>
    <n v="72"/>
    <x v="1"/>
  </r>
  <r>
    <d v="2024-04-25T00:00:00"/>
    <s v="Adult"/>
    <x v="26"/>
    <n v="617"/>
    <n v="210"/>
    <n v="11"/>
    <n v="5"/>
    <n v="843"/>
    <x v="15"/>
    <n v="16"/>
    <x v="1"/>
  </r>
  <r>
    <d v="2024-04-25T00:00:00"/>
    <s v="Adult"/>
    <x v="20"/>
    <n v="276"/>
    <n v="89"/>
    <n v="19"/>
    <n v="18"/>
    <n v="402"/>
    <x v="15"/>
    <n v="37"/>
    <x v="1"/>
  </r>
  <r>
    <d v="2024-04-25T00:00:00"/>
    <s v="Adult"/>
    <x v="29"/>
    <n v="1428"/>
    <n v="287"/>
    <n v="46"/>
    <n v="6"/>
    <n v="1766"/>
    <x v="15"/>
    <n v="52"/>
    <x v="1"/>
  </r>
  <r>
    <d v="2024-04-25T00:00:00"/>
    <s v="Adult"/>
    <x v="21"/>
    <n v="355"/>
    <n v="143"/>
    <n v="32"/>
    <n v="1"/>
    <n v="532"/>
    <x v="15"/>
    <n v="33"/>
    <x v="1"/>
  </r>
  <r>
    <d v="2024-04-25T00:00:00"/>
    <s v="Adult"/>
    <x v="7"/>
    <n v="506"/>
    <n v="168"/>
    <n v="62"/>
    <n v="40"/>
    <n v="776"/>
    <x v="15"/>
    <n v="102"/>
    <x v="1"/>
  </r>
  <r>
    <d v="2024-04-25T00:00:00"/>
    <s v="Adult"/>
    <x v="38"/>
    <n v="2026"/>
    <n v="950"/>
    <n v="178"/>
    <n v="115"/>
    <n v="3269"/>
    <x v="15"/>
    <n v="293"/>
    <x v="1"/>
  </r>
  <r>
    <d v="2024-04-25T00:00:00"/>
    <s v="Adult"/>
    <x v="35"/>
    <n v="1350"/>
    <n v="498"/>
    <n v="129"/>
    <n v="125"/>
    <n v="2102"/>
    <x v="15"/>
    <n v="254"/>
    <x v="1"/>
  </r>
  <r>
    <d v="2024-04-25T00:00:00"/>
    <s v="Adult"/>
    <x v="36"/>
    <n v="2679"/>
    <n v="845"/>
    <n v="321"/>
    <n v="330"/>
    <n v="4174"/>
    <x v="15"/>
    <n v="651"/>
    <x v="1"/>
  </r>
  <r>
    <d v="2024-04-25T00:00:00"/>
    <s v="Adult"/>
    <x v="37"/>
    <n v="281"/>
    <n v="115"/>
    <n v="44"/>
    <n v="27"/>
    <n v="467"/>
    <x v="15"/>
    <n v="71"/>
    <x v="1"/>
  </r>
  <r>
    <d v="2024-04-25T00:00:00"/>
    <s v="Adult"/>
    <x v="44"/>
    <n v="3591"/>
    <n v="1569"/>
    <n v="744"/>
    <n v="785"/>
    <n v="6689"/>
    <x v="15"/>
    <n v="1529"/>
    <x v="1"/>
  </r>
  <r>
    <d v="2024-04-25T00:00:00"/>
    <s v="Adult"/>
    <x v="5"/>
    <n v="492"/>
    <n v="220"/>
    <n v="79"/>
    <n v="43"/>
    <n v="833"/>
    <x v="15"/>
    <n v="122"/>
    <x v="1"/>
  </r>
  <r>
    <d v="2024-04-25T00:00:00"/>
    <s v="Adult"/>
    <x v="45"/>
    <n v="698"/>
    <n v="152"/>
    <n v="36"/>
    <n v="18"/>
    <n v="903"/>
    <x v="15"/>
    <n v="54"/>
    <x v="1"/>
  </r>
  <r>
    <d v="2024-04-25T00:00:00"/>
    <s v="Adult"/>
    <x v="46"/>
    <n v="2501"/>
    <n v="734"/>
    <n v="247"/>
    <n v="329"/>
    <n v="3811"/>
    <x v="15"/>
    <n v="576"/>
    <x v="1"/>
  </r>
  <r>
    <d v="2024-04-25T00:00:00"/>
    <s v="Adult"/>
    <x v="12"/>
    <n v="2465"/>
    <n v="520"/>
    <n v="134"/>
    <n v="144"/>
    <n v="3263"/>
    <x v="15"/>
    <n v="278"/>
    <x v="1"/>
  </r>
  <r>
    <d v="2024-04-25T00:00:00"/>
    <s v="Adult"/>
    <x v="42"/>
    <n v="2730"/>
    <n v="860"/>
    <n v="579"/>
    <n v="774"/>
    <n v="4944"/>
    <x v="15"/>
    <n v="1353"/>
    <x v="1"/>
  </r>
  <r>
    <d v="2024-04-25T00:00:00"/>
    <s v="Adult"/>
    <x v="24"/>
    <n v="449"/>
    <n v="201"/>
    <n v="41"/>
    <n v="39"/>
    <n v="730"/>
    <x v="15"/>
    <n v="80"/>
    <x v="1"/>
  </r>
  <r>
    <d v="2024-05-30T00:00:00"/>
    <s v="Adult"/>
    <x v="25"/>
    <n v="104"/>
    <n v="20"/>
    <n v="28"/>
    <n v="28"/>
    <n v="180"/>
    <x v="0"/>
    <n v="56"/>
    <x v="1"/>
  </r>
  <r>
    <d v="2024-05-30T00:00:00"/>
    <s v="Adult"/>
    <x v="23"/>
    <n v="5657"/>
    <n v="1994"/>
    <n v="735"/>
    <n v="521"/>
    <n v="8907"/>
    <x v="0"/>
    <n v="1256"/>
    <x v="1"/>
  </r>
  <r>
    <d v="2024-05-30T00:00:00"/>
    <s v="Adult"/>
    <x v="16"/>
    <n v="243"/>
    <n v="4"/>
    <n v="2"/>
    <n v="4"/>
    <n v="253"/>
    <x v="0"/>
    <n v="6"/>
    <x v="1"/>
  </r>
  <r>
    <d v="2024-05-30T00:00:00"/>
    <s v="Adult"/>
    <x v="9"/>
    <n v="133"/>
    <n v="48"/>
    <n v="11"/>
    <n v="4"/>
    <n v="195"/>
    <x v="0"/>
    <n v="15"/>
    <x v="1"/>
  </r>
  <r>
    <d v="2024-05-30T00:00:00"/>
    <s v="Adult"/>
    <x v="40"/>
    <n v="970"/>
    <n v="256"/>
    <n v="123"/>
    <n v="181"/>
    <n v="1531"/>
    <x v="0"/>
    <n v="304"/>
    <x v="1"/>
  </r>
  <r>
    <d v="2024-05-30T00:00:00"/>
    <s v="Adult"/>
    <x v="6"/>
    <n v="467"/>
    <n v="98"/>
    <n v="16"/>
    <n v="3"/>
    <n v="584"/>
    <x v="0"/>
    <n v="19"/>
    <x v="1"/>
  </r>
  <r>
    <d v="2024-05-30T00:00:00"/>
    <s v="Adult"/>
    <x v="41"/>
    <n v="4965"/>
    <n v="2428"/>
    <n v="764"/>
    <n v="1472"/>
    <n v="9630"/>
    <x v="0"/>
    <n v="2236"/>
    <x v="1"/>
  </r>
  <r>
    <d v="2024-05-30T00:00:00"/>
    <s v="Adult"/>
    <x v="31"/>
    <n v="576"/>
    <n v="122"/>
    <n v="25"/>
    <n v="23"/>
    <n v="746"/>
    <x v="0"/>
    <n v="48"/>
    <x v="1"/>
  </r>
  <r>
    <d v="2024-05-30T00:00:00"/>
    <s v="Adult"/>
    <x v="32"/>
    <n v="1163"/>
    <n v="227"/>
    <n v="79"/>
    <n v="112"/>
    <n v="1580"/>
    <x v="0"/>
    <n v="191"/>
    <x v="1"/>
  </r>
  <r>
    <d v="2024-05-30T00:00:00"/>
    <s v="Adult"/>
    <x v="43"/>
    <n v="4099"/>
    <n v="850"/>
    <n v="461"/>
    <n v="859"/>
    <n v="6269"/>
    <x v="0"/>
    <n v="1320"/>
    <x v="1"/>
  </r>
  <r>
    <d v="2024-05-30T00:00:00"/>
    <s v="Adult"/>
    <x v="22"/>
    <n v="599"/>
    <n v="137"/>
    <n v="14"/>
    <n v="15"/>
    <n v="765"/>
    <x v="0"/>
    <n v="29"/>
    <x v="1"/>
  </r>
  <r>
    <d v="2024-05-30T00:00:00"/>
    <s v="Adult"/>
    <x v="2"/>
    <n v="445"/>
    <n v="150"/>
    <n v="42"/>
    <n v="19"/>
    <n v="656"/>
    <x v="0"/>
    <n v="61"/>
    <x v="1"/>
  </r>
  <r>
    <d v="2024-05-30T00:00:00"/>
    <s v="Adult"/>
    <x v="20"/>
    <n v="244"/>
    <n v="125"/>
    <n v="16"/>
    <n v="17"/>
    <n v="403"/>
    <x v="0"/>
    <n v="33"/>
    <x v="1"/>
  </r>
  <r>
    <d v="2024-05-30T00:00:00"/>
    <s v="Adult"/>
    <x v="29"/>
    <n v="1472"/>
    <n v="305"/>
    <n v="32"/>
    <n v="4"/>
    <n v="1813"/>
    <x v="0"/>
    <n v="36"/>
    <x v="1"/>
  </r>
  <r>
    <d v="2024-05-30T00:00:00"/>
    <s v="Adult"/>
    <x v="7"/>
    <n v="515"/>
    <n v="196"/>
    <n v="67"/>
    <n v="30"/>
    <n v="808"/>
    <x v="0"/>
    <n v="97"/>
    <x v="1"/>
  </r>
  <r>
    <d v="2024-05-30T00:00:00"/>
    <s v="Adult"/>
    <x v="38"/>
    <n v="2024"/>
    <n v="831"/>
    <n v="184"/>
    <n v="112"/>
    <n v="3151"/>
    <x v="0"/>
    <n v="296"/>
    <x v="1"/>
  </r>
  <r>
    <d v="2024-05-30T00:00:00"/>
    <s v="Adult"/>
    <x v="35"/>
    <n v="1283"/>
    <n v="430"/>
    <n v="153"/>
    <n v="130"/>
    <n v="1996"/>
    <x v="0"/>
    <n v="283"/>
    <x v="1"/>
  </r>
  <r>
    <d v="2024-05-30T00:00:00"/>
    <s v="Adult"/>
    <x v="36"/>
    <n v="2629"/>
    <n v="843"/>
    <n v="354"/>
    <n v="319"/>
    <n v="4144"/>
    <x v="0"/>
    <n v="673"/>
    <x v="1"/>
  </r>
  <r>
    <d v="2024-05-30T00:00:00"/>
    <s v="Adult"/>
    <x v="37"/>
    <n v="272"/>
    <n v="113"/>
    <n v="45"/>
    <n v="25"/>
    <n v="455"/>
    <x v="0"/>
    <n v="70"/>
    <x v="1"/>
  </r>
  <r>
    <d v="2024-05-30T00:00:00"/>
    <s v="Adult"/>
    <x v="44"/>
    <n v="3764"/>
    <n v="1649"/>
    <n v="701"/>
    <n v="760"/>
    <n v="6875"/>
    <x v="0"/>
    <n v="1461"/>
    <x v="1"/>
  </r>
  <r>
    <d v="2024-05-30T00:00:00"/>
    <s v="Adult"/>
    <x v="5"/>
    <n v="500"/>
    <n v="216"/>
    <n v="87"/>
    <n v="48"/>
    <n v="851"/>
    <x v="0"/>
    <n v="135"/>
    <x v="1"/>
  </r>
  <r>
    <d v="2024-05-30T00:00:00"/>
    <s v="Adult"/>
    <x v="45"/>
    <n v="707"/>
    <n v="127"/>
    <n v="37"/>
    <n v="13"/>
    <n v="884"/>
    <x v="0"/>
    <n v="50"/>
    <x v="1"/>
  </r>
  <r>
    <d v="2024-05-30T00:00:00"/>
    <s v="Adult"/>
    <x v="46"/>
    <n v="2469"/>
    <n v="632"/>
    <n v="244"/>
    <n v="315"/>
    <n v="3660"/>
    <x v="0"/>
    <n v="559"/>
    <x v="1"/>
  </r>
  <r>
    <d v="2024-05-30T00:00:00"/>
    <s v="Adult"/>
    <x v="12"/>
    <n v="2456"/>
    <n v="590"/>
    <n v="129"/>
    <n v="139"/>
    <n v="3314"/>
    <x v="0"/>
    <n v="268"/>
    <x v="1"/>
  </r>
  <r>
    <d v="2024-05-30T00:00:00"/>
    <s v="Adult"/>
    <x v="42"/>
    <n v="2593"/>
    <n v="849"/>
    <n v="547"/>
    <n v="831"/>
    <n v="4821"/>
    <x v="0"/>
    <n v="1378"/>
    <x v="1"/>
  </r>
  <r>
    <d v="2024-05-30T00:00:00"/>
    <s v="Adult"/>
    <x v="24"/>
    <n v="477"/>
    <n v="172"/>
    <n v="37"/>
    <n v="38"/>
    <n v="723"/>
    <x v="0"/>
    <n v="75"/>
    <x v="1"/>
  </r>
  <r>
    <d v="2024-06-27T00:00:00"/>
    <s v="Adult"/>
    <x v="25"/>
    <n v="130"/>
    <n v="19"/>
    <n v="31"/>
    <n v="29"/>
    <n v="209"/>
    <x v="1"/>
    <n v="60"/>
    <x v="1"/>
  </r>
  <r>
    <d v="2024-06-27T00:00:00"/>
    <s v="Adult"/>
    <x v="23"/>
    <n v="5579"/>
    <n v="2045"/>
    <n v="770"/>
    <n v="512"/>
    <n v="8906"/>
    <x v="1"/>
    <n v="1282"/>
    <x v="1"/>
  </r>
  <r>
    <d v="2024-06-27T00:00:00"/>
    <s v="Adult"/>
    <x v="16"/>
    <n v="224"/>
    <n v="6"/>
    <n v="0"/>
    <n v="4"/>
    <n v="234"/>
    <x v="1"/>
    <n v="4"/>
    <x v="1"/>
  </r>
  <r>
    <d v="2024-06-27T00:00:00"/>
    <s v="Adult"/>
    <x v="9"/>
    <n v="135"/>
    <n v="50"/>
    <n v="11"/>
    <n v="3"/>
    <n v="199"/>
    <x v="1"/>
    <n v="14"/>
    <x v="1"/>
  </r>
  <r>
    <d v="2024-06-27T00:00:00"/>
    <s v="Adult"/>
    <x v="40"/>
    <n v="954"/>
    <n v="300"/>
    <n v="113"/>
    <n v="184"/>
    <n v="1552"/>
    <x v="1"/>
    <n v="297"/>
    <x v="1"/>
  </r>
  <r>
    <d v="2024-06-27T00:00:00"/>
    <s v="Adult"/>
    <x v="41"/>
    <n v="5007"/>
    <n v="2485"/>
    <n v="749"/>
    <n v="1478"/>
    <n v="9720"/>
    <x v="1"/>
    <n v="2227"/>
    <x v="1"/>
  </r>
  <r>
    <d v="2024-06-27T00:00:00"/>
    <s v="Adult"/>
    <x v="31"/>
    <n v="593"/>
    <n v="108"/>
    <n v="27"/>
    <n v="23"/>
    <n v="751"/>
    <x v="1"/>
    <n v="50"/>
    <x v="1"/>
  </r>
  <r>
    <d v="2024-06-27T00:00:00"/>
    <s v="Adult"/>
    <x v="32"/>
    <n v="1473"/>
    <n v="209"/>
    <n v="81"/>
    <n v="120"/>
    <n v="1884"/>
    <x v="1"/>
    <n v="201"/>
    <x v="1"/>
  </r>
  <r>
    <d v="2024-06-27T00:00:00"/>
    <s v="Adult"/>
    <x v="43"/>
    <n v="4501"/>
    <n v="851"/>
    <n v="454"/>
    <n v="862"/>
    <n v="6668"/>
    <x v="1"/>
    <n v="1316"/>
    <x v="1"/>
  </r>
  <r>
    <d v="2024-06-27T00:00:00"/>
    <s v="Adult"/>
    <x v="22"/>
    <n v="600"/>
    <n v="110"/>
    <n v="42"/>
    <n v="12"/>
    <n v="765"/>
    <x v="1"/>
    <n v="54"/>
    <x v="1"/>
  </r>
  <r>
    <d v="2024-06-27T00:00:00"/>
    <s v="Adult"/>
    <x v="2"/>
    <n v="491"/>
    <n v="136"/>
    <n v="49"/>
    <n v="16"/>
    <n v="693"/>
    <x v="1"/>
    <n v="65"/>
    <x v="1"/>
  </r>
  <r>
    <d v="2024-06-27T00:00:00"/>
    <s v="Adult"/>
    <x v="20"/>
    <n v="188"/>
    <n v="110"/>
    <n v="21"/>
    <n v="13"/>
    <n v="331"/>
    <x v="1"/>
    <n v="34"/>
    <x v="1"/>
  </r>
  <r>
    <d v="2024-06-27T00:00:00"/>
    <s v="Adult"/>
    <x v="18"/>
    <n v="914"/>
    <n v="217"/>
    <n v="37"/>
    <n v="1"/>
    <n v="1169"/>
    <x v="1"/>
    <n v="38"/>
    <x v="1"/>
  </r>
  <r>
    <d v="2024-06-27T00:00:00"/>
    <s v="Adult"/>
    <x v="29"/>
    <n v="1439"/>
    <n v="299"/>
    <n v="25"/>
    <n v="1"/>
    <n v="1765"/>
    <x v="1"/>
    <n v="26"/>
    <x v="1"/>
  </r>
  <r>
    <d v="2024-06-27T00:00:00"/>
    <s v="Adult"/>
    <x v="7"/>
    <n v="521"/>
    <n v="171"/>
    <n v="64"/>
    <n v="37"/>
    <n v="793"/>
    <x v="1"/>
    <n v="101"/>
    <x v="1"/>
  </r>
  <r>
    <d v="2024-06-27T00:00:00"/>
    <s v="Adult"/>
    <x v="38"/>
    <n v="1791"/>
    <n v="831"/>
    <n v="199"/>
    <n v="103"/>
    <n v="2924"/>
    <x v="1"/>
    <n v="302"/>
    <x v="1"/>
  </r>
  <r>
    <d v="2024-06-27T00:00:00"/>
    <s v="Adult"/>
    <x v="35"/>
    <n v="1533"/>
    <n v="583"/>
    <n v="166"/>
    <n v="124"/>
    <n v="2407"/>
    <x v="1"/>
    <n v="290"/>
    <x v="1"/>
  </r>
  <r>
    <d v="2024-06-27T00:00:00"/>
    <s v="Adult"/>
    <x v="36"/>
    <n v="2671"/>
    <n v="846"/>
    <n v="343"/>
    <n v="337"/>
    <n v="4196"/>
    <x v="1"/>
    <n v="680"/>
    <x v="1"/>
  </r>
  <r>
    <d v="2024-06-27T00:00:00"/>
    <s v="Adult"/>
    <x v="37"/>
    <n v="274"/>
    <n v="102"/>
    <n v="29"/>
    <n v="31"/>
    <n v="437"/>
    <x v="1"/>
    <n v="60"/>
    <x v="1"/>
  </r>
  <r>
    <d v="2024-06-27T00:00:00"/>
    <s v="Adult"/>
    <x v="44"/>
    <n v="3704"/>
    <n v="1601"/>
    <n v="617"/>
    <n v="805"/>
    <n v="6727"/>
    <x v="1"/>
    <n v="1422"/>
    <x v="1"/>
  </r>
  <r>
    <d v="2024-06-27T00:00:00"/>
    <s v="Adult"/>
    <x v="5"/>
    <n v="476"/>
    <n v="198"/>
    <n v="113"/>
    <n v="68"/>
    <n v="855"/>
    <x v="1"/>
    <n v="181"/>
    <x v="1"/>
  </r>
  <r>
    <d v="2024-06-27T00:00:00"/>
    <s v="Adult"/>
    <x v="45"/>
    <n v="692"/>
    <n v="127"/>
    <n v="33"/>
    <n v="13"/>
    <n v="865"/>
    <x v="1"/>
    <n v="46"/>
    <x v="1"/>
  </r>
  <r>
    <d v="2024-06-27T00:00:00"/>
    <s v="Adult"/>
    <x v="46"/>
    <n v="2710"/>
    <n v="605"/>
    <n v="248"/>
    <n v="298"/>
    <n v="3861"/>
    <x v="1"/>
    <n v="546"/>
    <x v="1"/>
  </r>
  <r>
    <d v="2024-06-27T00:00:00"/>
    <s v="Adult"/>
    <x v="12"/>
    <n v="2693"/>
    <n v="620"/>
    <n v="165"/>
    <n v="152"/>
    <n v="3629"/>
    <x v="1"/>
    <n v="317"/>
    <x v="1"/>
  </r>
  <r>
    <d v="2024-06-27T00:00:00"/>
    <s v="Adult"/>
    <x v="34"/>
    <n v="1819"/>
    <n v="865"/>
    <n v="280"/>
    <n v="4"/>
    <n v="2968"/>
    <x v="1"/>
    <n v="284"/>
    <x v="1"/>
  </r>
  <r>
    <d v="2024-06-27T00:00:00"/>
    <s v="Adult"/>
    <x v="42"/>
    <n v="2656"/>
    <n v="809"/>
    <n v="550"/>
    <n v="840"/>
    <n v="4855"/>
    <x v="1"/>
    <n v="1390"/>
    <x v="1"/>
  </r>
  <r>
    <d v="2024-06-27T00:00:00"/>
    <s v="Adult"/>
    <x v="24"/>
    <n v="493"/>
    <n v="142"/>
    <n v="40"/>
    <n v="34"/>
    <n v="709"/>
    <x v="1"/>
    <n v="74"/>
    <x v="1"/>
  </r>
  <r>
    <d v="2024-07-25T00:00:00"/>
    <s v="Adult"/>
    <x v="25"/>
    <n v="145"/>
    <n v="27"/>
    <n v="30"/>
    <n v="30"/>
    <n v="232"/>
    <x v="16"/>
    <n v="60"/>
    <x v="1"/>
  </r>
  <r>
    <d v="2024-07-25T00:00:00"/>
    <s v="Adult"/>
    <x v="23"/>
    <n v="5591"/>
    <n v="1929"/>
    <n v="756"/>
    <n v="514"/>
    <n v="8791"/>
    <x v="16"/>
    <n v="1270"/>
    <x v="1"/>
  </r>
  <r>
    <d v="2024-07-25T00:00:00"/>
    <s v="Adult"/>
    <x v="9"/>
    <n v="154"/>
    <n v="52"/>
    <n v="13"/>
    <n v="4"/>
    <n v="222"/>
    <x v="16"/>
    <n v="17"/>
    <x v="1"/>
  </r>
  <r>
    <d v="2024-07-25T00:00:00"/>
    <s v="Adult"/>
    <x v="40"/>
    <n v="938"/>
    <n v="315"/>
    <n v="104"/>
    <n v="183"/>
    <n v="1541"/>
    <x v="16"/>
    <n v="287"/>
    <x v="1"/>
  </r>
  <r>
    <d v="2024-07-25T00:00:00"/>
    <s v="Adult"/>
    <x v="6"/>
    <n v="458"/>
    <n v="72"/>
    <n v="14"/>
    <n v="4"/>
    <n v="547"/>
    <x v="16"/>
    <n v="18"/>
    <x v="1"/>
  </r>
  <r>
    <d v="2024-07-25T00:00:00"/>
    <s v="Adult"/>
    <x v="41"/>
    <n v="5127"/>
    <n v="2465"/>
    <n v="795"/>
    <n v="1473"/>
    <n v="9859"/>
    <x v="16"/>
    <n v="2268"/>
    <x v="1"/>
  </r>
  <r>
    <d v="2024-07-25T00:00:00"/>
    <s v="Adult"/>
    <x v="31"/>
    <n v="639"/>
    <n v="93"/>
    <n v="26"/>
    <n v="16"/>
    <n v="774"/>
    <x v="16"/>
    <n v="42"/>
    <x v="1"/>
  </r>
  <r>
    <d v="2024-07-25T00:00:00"/>
    <s v="Adult"/>
    <x v="32"/>
    <n v="1214"/>
    <n v="167"/>
    <n v="77"/>
    <n v="113"/>
    <n v="1571"/>
    <x v="16"/>
    <n v="190"/>
    <x v="1"/>
  </r>
  <r>
    <d v="2024-07-25T00:00:00"/>
    <s v="Adult"/>
    <x v="4"/>
    <n v="294"/>
    <n v="77"/>
    <n v="37"/>
    <n v="4"/>
    <n v="413"/>
    <x v="16"/>
    <n v="41"/>
    <x v="1"/>
  </r>
  <r>
    <d v="2024-07-25T00:00:00"/>
    <s v="Adult"/>
    <x v="43"/>
    <n v="4748"/>
    <n v="834"/>
    <n v="455"/>
    <n v="823"/>
    <n v="6860"/>
    <x v="16"/>
    <n v="1278"/>
    <x v="1"/>
  </r>
  <r>
    <d v="2024-07-25T00:00:00"/>
    <s v="Adult"/>
    <x v="22"/>
    <n v="560"/>
    <n v="98"/>
    <n v="17"/>
    <n v="10"/>
    <n v="686"/>
    <x v="16"/>
    <n v="27"/>
    <x v="1"/>
  </r>
  <r>
    <d v="2024-07-25T00:00:00"/>
    <s v="Adult"/>
    <x v="2"/>
    <n v="464"/>
    <n v="131"/>
    <n v="31"/>
    <n v="11"/>
    <n v="636"/>
    <x v="16"/>
    <n v="42"/>
    <x v="1"/>
  </r>
  <r>
    <d v="2024-07-25T00:00:00"/>
    <s v="Adult"/>
    <x v="20"/>
    <n v="186"/>
    <n v="82"/>
    <n v="30"/>
    <n v="14"/>
    <n v="311"/>
    <x v="16"/>
    <n v="44"/>
    <x v="1"/>
  </r>
  <r>
    <d v="2024-07-25T00:00:00"/>
    <s v="Adult"/>
    <x v="15"/>
    <n v="148"/>
    <n v="53"/>
    <n v="7"/>
    <n v="1"/>
    <n v="209"/>
    <x v="16"/>
    <n v="8"/>
    <x v="1"/>
  </r>
  <r>
    <d v="2024-07-25T00:00:00"/>
    <s v="Adult"/>
    <x v="7"/>
    <n v="522"/>
    <n v="147"/>
    <n v="76"/>
    <n v="40"/>
    <n v="784"/>
    <x v="16"/>
    <n v="116"/>
    <x v="1"/>
  </r>
  <r>
    <d v="2024-07-25T00:00:00"/>
    <s v="Adult"/>
    <x v="38"/>
    <n v="1825"/>
    <n v="777"/>
    <n v="194"/>
    <n v="104"/>
    <n v="2900"/>
    <x v="16"/>
    <n v="298"/>
    <x v="1"/>
  </r>
  <r>
    <d v="2024-07-25T00:00:00"/>
    <s v="Adult"/>
    <x v="35"/>
    <n v="1543"/>
    <n v="500"/>
    <n v="185"/>
    <n v="120"/>
    <n v="2349"/>
    <x v="16"/>
    <n v="305"/>
    <x v="1"/>
  </r>
  <r>
    <d v="2024-07-25T00:00:00"/>
    <s v="Adult"/>
    <x v="36"/>
    <n v="2604"/>
    <n v="755"/>
    <n v="377"/>
    <n v="328"/>
    <n v="4065"/>
    <x v="16"/>
    <n v="705"/>
    <x v="1"/>
  </r>
  <r>
    <d v="2024-07-25T00:00:00"/>
    <s v="Adult"/>
    <x v="37"/>
    <n v="275"/>
    <n v="103"/>
    <n v="29"/>
    <n v="9"/>
    <n v="414"/>
    <x v="16"/>
    <n v="38"/>
    <x v="1"/>
  </r>
  <r>
    <d v="2024-07-25T00:00:00"/>
    <s v="Adult"/>
    <x v="44"/>
    <n v="3708"/>
    <n v="1417"/>
    <n v="517"/>
    <n v="758"/>
    <n v="6401"/>
    <x v="16"/>
    <n v="1275"/>
    <x v="1"/>
  </r>
  <r>
    <d v="2024-07-25T00:00:00"/>
    <s v="Adult"/>
    <x v="5"/>
    <n v="550"/>
    <n v="188"/>
    <n v="119"/>
    <n v="65"/>
    <n v="921"/>
    <x v="16"/>
    <n v="184"/>
    <x v="1"/>
  </r>
  <r>
    <d v="2024-07-25T00:00:00"/>
    <s v="Adult"/>
    <x v="45"/>
    <n v="770"/>
    <n v="151"/>
    <n v="33"/>
    <n v="14"/>
    <n v="968"/>
    <x v="16"/>
    <n v="47"/>
    <x v="1"/>
  </r>
  <r>
    <d v="2024-07-25T00:00:00"/>
    <s v="Adult"/>
    <x v="46"/>
    <n v="2873"/>
    <n v="584"/>
    <n v="286"/>
    <n v="277"/>
    <n v="4020"/>
    <x v="16"/>
    <n v="563"/>
    <x v="1"/>
  </r>
  <r>
    <d v="2024-07-25T00:00:00"/>
    <s v="Adult"/>
    <x v="12"/>
    <n v="2875"/>
    <n v="628"/>
    <n v="192"/>
    <n v="140"/>
    <n v="3834"/>
    <x v="16"/>
    <n v="332"/>
    <x v="1"/>
  </r>
  <r>
    <d v="2024-07-25T00:00:00"/>
    <s v="Adult"/>
    <x v="34"/>
    <n v="1640"/>
    <n v="839"/>
    <n v="297"/>
    <n v="7"/>
    <n v="2783"/>
    <x v="16"/>
    <n v="304"/>
    <x v="1"/>
  </r>
  <r>
    <d v="2024-07-25T00:00:00"/>
    <s v="Adult"/>
    <x v="42"/>
    <n v="2886"/>
    <n v="794"/>
    <n v="529"/>
    <n v="881"/>
    <n v="5090"/>
    <x v="16"/>
    <n v="1410"/>
    <x v="1"/>
  </r>
  <r>
    <d v="2024-07-25T00:00:00"/>
    <s v="Adult"/>
    <x v="24"/>
    <n v="412"/>
    <n v="127"/>
    <n v="50"/>
    <n v="30"/>
    <n v="619"/>
    <x v="16"/>
    <n v="80"/>
    <x v="1"/>
  </r>
  <r>
    <d v="2024-08-29T00:00:00"/>
    <s v="Adult"/>
    <x v="25"/>
    <n v="155"/>
    <n v="33"/>
    <n v="27"/>
    <n v="37"/>
    <n v="251"/>
    <x v="2"/>
    <n v="64"/>
    <x v="1"/>
  </r>
  <r>
    <d v="2024-08-29T00:00:00"/>
    <s v="Adult"/>
    <x v="23"/>
    <n v="5393"/>
    <n v="2186"/>
    <n v="745"/>
    <n v="586"/>
    <n v="8910"/>
    <x v="2"/>
    <n v="1331"/>
    <x v="1"/>
  </r>
  <r>
    <d v="2024-08-29T00:00:00"/>
    <s v="Adult"/>
    <x v="9"/>
    <n v="133"/>
    <n v="51"/>
    <n v="16"/>
    <n v="3"/>
    <n v="203"/>
    <x v="2"/>
    <n v="19"/>
    <x v="1"/>
  </r>
  <r>
    <d v="2024-08-29T00:00:00"/>
    <s v="Adult"/>
    <x v="40"/>
    <n v="841"/>
    <n v="349"/>
    <n v="98"/>
    <n v="153"/>
    <n v="1441"/>
    <x v="2"/>
    <n v="251"/>
    <x v="1"/>
  </r>
  <r>
    <d v="2024-08-29T00:00:00"/>
    <s v="Adult"/>
    <x v="6"/>
    <n v="465"/>
    <n v="79"/>
    <n v="19"/>
    <n v="3"/>
    <n v="566"/>
    <x v="2"/>
    <n v="22"/>
    <x v="1"/>
  </r>
  <r>
    <d v="2024-08-29T00:00:00"/>
    <s v="Adult"/>
    <x v="41"/>
    <n v="5188"/>
    <n v="2473"/>
    <n v="830"/>
    <n v="1495"/>
    <n v="9986"/>
    <x v="2"/>
    <n v="2325"/>
    <x v="1"/>
  </r>
  <r>
    <d v="2024-08-29T00:00:00"/>
    <s v="Adult"/>
    <x v="31"/>
    <n v="626"/>
    <n v="119"/>
    <n v="27"/>
    <n v="14"/>
    <n v="786"/>
    <x v="2"/>
    <n v="41"/>
    <x v="1"/>
  </r>
  <r>
    <d v="2024-08-29T00:00:00"/>
    <s v="Adult"/>
    <x v="32"/>
    <n v="947"/>
    <n v="146"/>
    <n v="70"/>
    <n v="100"/>
    <n v="1262"/>
    <x v="2"/>
    <n v="170"/>
    <x v="1"/>
  </r>
  <r>
    <d v="2024-08-29T00:00:00"/>
    <s v="Adult"/>
    <x v="4"/>
    <n v="289"/>
    <n v="84"/>
    <n v="40"/>
    <n v="4"/>
    <n v="417"/>
    <x v="2"/>
    <n v="44"/>
    <x v="1"/>
  </r>
  <r>
    <d v="2024-08-29T00:00:00"/>
    <s v="Adult"/>
    <x v="43"/>
    <n v="4732"/>
    <n v="994"/>
    <n v="427"/>
    <n v="786"/>
    <n v="6939"/>
    <x v="2"/>
    <n v="1213"/>
    <x v="1"/>
  </r>
  <r>
    <d v="2024-08-29T00:00:00"/>
    <s v="Adult"/>
    <x v="2"/>
    <n v="453"/>
    <n v="111"/>
    <n v="33"/>
    <n v="9"/>
    <n v="606"/>
    <x v="2"/>
    <n v="42"/>
    <x v="1"/>
  </r>
  <r>
    <d v="2024-08-29T00:00:00"/>
    <s v="Adult"/>
    <x v="20"/>
    <n v="179"/>
    <n v="68"/>
    <n v="20"/>
    <n v="12"/>
    <n v="279"/>
    <x v="2"/>
    <n v="32"/>
    <x v="1"/>
  </r>
  <r>
    <d v="2024-08-29T00:00:00"/>
    <s v="Adult"/>
    <x v="29"/>
    <n v="1512"/>
    <n v="300"/>
    <n v="31"/>
    <n v="3"/>
    <n v="1845"/>
    <x v="2"/>
    <n v="34"/>
    <x v="1"/>
  </r>
  <r>
    <d v="2024-08-29T00:00:00"/>
    <s v="Adult"/>
    <x v="7"/>
    <n v="443"/>
    <n v="164"/>
    <n v="73"/>
    <n v="46"/>
    <n v="725"/>
    <x v="2"/>
    <n v="119"/>
    <x v="1"/>
  </r>
  <r>
    <d v="2024-08-29T00:00:00"/>
    <s v="Adult"/>
    <x v="38"/>
    <n v="1678"/>
    <n v="900"/>
    <n v="186"/>
    <n v="101"/>
    <n v="2865"/>
    <x v="2"/>
    <n v="287"/>
    <x v="1"/>
  </r>
  <r>
    <d v="2024-08-29T00:00:00"/>
    <s v="Adult"/>
    <x v="35"/>
    <n v="1613"/>
    <n v="523"/>
    <n v="223"/>
    <n v="126"/>
    <n v="2485"/>
    <x v="2"/>
    <n v="349"/>
    <x v="1"/>
  </r>
  <r>
    <d v="2024-08-29T00:00:00"/>
    <s v="Adult"/>
    <x v="36"/>
    <n v="2487"/>
    <n v="692"/>
    <n v="400"/>
    <n v="341"/>
    <n v="3919"/>
    <x v="2"/>
    <n v="741"/>
    <x v="1"/>
  </r>
  <r>
    <d v="2024-08-29T00:00:00"/>
    <s v="Adult"/>
    <x v="37"/>
    <n v="249"/>
    <n v="87"/>
    <n v="27"/>
    <n v="4"/>
    <n v="367"/>
    <x v="2"/>
    <n v="31"/>
    <x v="1"/>
  </r>
  <r>
    <d v="2024-08-29T00:00:00"/>
    <s v="Adult"/>
    <x v="44"/>
    <n v="3611"/>
    <n v="1467"/>
    <n v="502"/>
    <n v="753"/>
    <n v="6333"/>
    <x v="2"/>
    <n v="1255"/>
    <x v="1"/>
  </r>
  <r>
    <d v="2024-08-29T00:00:00"/>
    <s v="Adult"/>
    <x v="5"/>
    <n v="469"/>
    <n v="204"/>
    <n v="124"/>
    <n v="70"/>
    <n v="867"/>
    <x v="2"/>
    <n v="194"/>
    <x v="1"/>
  </r>
  <r>
    <d v="2024-08-29T00:00:00"/>
    <s v="Adult"/>
    <x v="45"/>
    <n v="709"/>
    <n v="148"/>
    <n v="33"/>
    <n v="18"/>
    <n v="909"/>
    <x v="2"/>
    <n v="51"/>
    <x v="1"/>
  </r>
  <r>
    <d v="2024-08-29T00:00:00"/>
    <s v="Adult"/>
    <x v="46"/>
    <n v="2807"/>
    <n v="550"/>
    <n v="247"/>
    <n v="277"/>
    <n v="3882"/>
    <x v="2"/>
    <n v="524"/>
    <x v="1"/>
  </r>
  <r>
    <d v="2024-08-29T00:00:00"/>
    <s v="Adult"/>
    <x v="12"/>
    <n v="2680"/>
    <n v="613"/>
    <n v="207"/>
    <n v="137"/>
    <n v="3637"/>
    <x v="2"/>
    <n v="344"/>
    <x v="1"/>
  </r>
  <r>
    <d v="2024-08-29T00:00:00"/>
    <s v="Adult"/>
    <x v="34"/>
    <n v="1485"/>
    <n v="839"/>
    <n v="291"/>
    <n v="27"/>
    <n v="2641"/>
    <x v="2"/>
    <n v="318"/>
    <x v="1"/>
  </r>
  <r>
    <d v="2024-08-29T00:00:00"/>
    <s v="Adult"/>
    <x v="42"/>
    <n v="2804"/>
    <n v="852"/>
    <n v="468"/>
    <n v="837"/>
    <n v="4961"/>
    <x v="2"/>
    <n v="1305"/>
    <x v="1"/>
  </r>
  <r>
    <d v="2024-08-29T00:00:00"/>
    <s v="Adult"/>
    <x v="24"/>
    <n v="449"/>
    <n v="130"/>
    <n v="70"/>
    <n v="30"/>
    <n v="679"/>
    <x v="2"/>
    <n v="100"/>
    <x v="1"/>
  </r>
  <r>
    <d v="2024-09-26T00:00:00"/>
    <s v="Adult"/>
    <x v="25"/>
    <n v="158"/>
    <n v="24"/>
    <n v="24"/>
    <n v="35"/>
    <n v="240"/>
    <x v="17"/>
    <n v="59"/>
    <x v="1"/>
  </r>
  <r>
    <d v="2024-09-26T00:00:00"/>
    <s v="Adult"/>
    <x v="23"/>
    <n v="5392"/>
    <n v="2293"/>
    <n v="792"/>
    <n v="622"/>
    <n v="9099"/>
    <x v="17"/>
    <n v="1414"/>
    <x v="1"/>
  </r>
  <r>
    <d v="2024-09-26T00:00:00"/>
    <s v="Adult"/>
    <x v="9"/>
    <n v="127"/>
    <n v="50"/>
    <n v="18"/>
    <n v="4"/>
    <n v="199"/>
    <x v="17"/>
    <n v="22"/>
    <x v="1"/>
  </r>
  <r>
    <d v="2024-09-26T00:00:00"/>
    <s v="Adult"/>
    <x v="40"/>
    <n v="793"/>
    <n v="376"/>
    <n v="98"/>
    <n v="142"/>
    <n v="1409"/>
    <x v="17"/>
    <n v="240"/>
    <x v="1"/>
  </r>
  <r>
    <d v="2024-09-26T00:00:00"/>
    <s v="Adult"/>
    <x v="6"/>
    <n v="477"/>
    <n v="70"/>
    <n v="14"/>
    <n v="4"/>
    <n v="564"/>
    <x v="17"/>
    <n v="18"/>
    <x v="1"/>
  </r>
  <r>
    <d v="2024-09-26T00:00:00"/>
    <s v="Adult"/>
    <x v="41"/>
    <n v="5206"/>
    <n v="2387"/>
    <n v="859"/>
    <n v="1498"/>
    <n v="9950"/>
    <x v="17"/>
    <n v="2357"/>
    <x v="1"/>
  </r>
  <r>
    <d v="2024-09-26T00:00:00"/>
    <s v="Adult"/>
    <x v="31"/>
    <n v="670"/>
    <n v="114"/>
    <n v="10"/>
    <n v="3"/>
    <n v="796"/>
    <x v="17"/>
    <n v="13"/>
    <x v="1"/>
  </r>
  <r>
    <d v="2024-09-26T00:00:00"/>
    <s v="Adult"/>
    <x v="32"/>
    <n v="881"/>
    <n v="145"/>
    <n v="64"/>
    <n v="85"/>
    <n v="1175"/>
    <x v="17"/>
    <n v="149"/>
    <x v="1"/>
  </r>
  <r>
    <d v="2024-09-26T00:00:00"/>
    <s v="Adult"/>
    <x v="4"/>
    <n v="312"/>
    <n v="87"/>
    <n v="46"/>
    <n v="15"/>
    <n v="460"/>
    <x v="17"/>
    <n v="61"/>
    <x v="1"/>
  </r>
  <r>
    <d v="2024-09-26T00:00:00"/>
    <s v="Adult"/>
    <x v="43"/>
    <n v="4808"/>
    <n v="1080"/>
    <n v="415"/>
    <n v="816"/>
    <n v="7120"/>
    <x v="17"/>
    <n v="1231"/>
    <x v="1"/>
  </r>
  <r>
    <d v="2024-09-26T00:00:00"/>
    <s v="Adult"/>
    <x v="22"/>
    <n v="542"/>
    <n v="110"/>
    <n v="19"/>
    <n v="6"/>
    <n v="677"/>
    <x v="17"/>
    <n v="25"/>
    <x v="1"/>
  </r>
  <r>
    <d v="2024-09-26T00:00:00"/>
    <s v="Adult"/>
    <x v="2"/>
    <n v="448"/>
    <n v="95"/>
    <n v="22"/>
    <n v="9"/>
    <n v="574"/>
    <x v="17"/>
    <n v="31"/>
    <x v="1"/>
  </r>
  <r>
    <d v="2024-09-26T00:00:00"/>
    <s v="Adult"/>
    <x v="20"/>
    <n v="135"/>
    <n v="48"/>
    <n v="21"/>
    <n v="14"/>
    <n v="218"/>
    <x v="17"/>
    <n v="35"/>
    <x v="1"/>
  </r>
  <r>
    <d v="2024-09-26T00:00:00"/>
    <s v="Adult"/>
    <x v="29"/>
    <n v="1545"/>
    <n v="326"/>
    <n v="37"/>
    <n v="4"/>
    <n v="1912"/>
    <x v="17"/>
    <n v="41"/>
    <x v="1"/>
  </r>
  <r>
    <d v="2024-09-26T00:00:00"/>
    <s v="Adult"/>
    <x v="7"/>
    <n v="407"/>
    <n v="153"/>
    <n v="55"/>
    <n v="41"/>
    <n v="656"/>
    <x v="17"/>
    <n v="96"/>
    <x v="1"/>
  </r>
  <r>
    <d v="2024-09-26T00:00:00"/>
    <s v="Adult"/>
    <x v="38"/>
    <n v="1748"/>
    <n v="945"/>
    <n v="211"/>
    <n v="107"/>
    <n v="3011"/>
    <x v="17"/>
    <n v="318"/>
    <x v="1"/>
  </r>
  <r>
    <d v="2024-09-26T00:00:00"/>
    <s v="Adult"/>
    <x v="35"/>
    <n v="1541"/>
    <n v="510"/>
    <n v="245"/>
    <n v="127"/>
    <n v="2423"/>
    <x v="17"/>
    <n v="372"/>
    <x v="1"/>
  </r>
  <r>
    <d v="2024-09-26T00:00:00"/>
    <s v="Adult"/>
    <x v="36"/>
    <n v="2324"/>
    <n v="747"/>
    <n v="364"/>
    <n v="375"/>
    <n v="3809"/>
    <x v="17"/>
    <n v="739"/>
    <x v="1"/>
  </r>
  <r>
    <d v="2024-09-26T00:00:00"/>
    <s v="Adult"/>
    <x v="44"/>
    <n v="3451"/>
    <n v="1351"/>
    <n v="475"/>
    <n v="675"/>
    <n v="5952"/>
    <x v="17"/>
    <n v="1150"/>
    <x v="1"/>
  </r>
  <r>
    <d v="2024-09-26T00:00:00"/>
    <s v="Adult"/>
    <x v="5"/>
    <n v="478"/>
    <n v="169"/>
    <n v="99"/>
    <n v="71"/>
    <n v="817"/>
    <x v="17"/>
    <n v="170"/>
    <x v="1"/>
  </r>
  <r>
    <d v="2024-09-26T00:00:00"/>
    <s v="Adult"/>
    <x v="45"/>
    <n v="690"/>
    <n v="144"/>
    <n v="28"/>
    <n v="17"/>
    <n v="880"/>
    <x v="17"/>
    <n v="45"/>
    <x v="1"/>
  </r>
  <r>
    <d v="2024-09-26T00:00:00"/>
    <s v="Adult"/>
    <x v="46"/>
    <n v="2791"/>
    <n v="554"/>
    <n v="242"/>
    <n v="281"/>
    <n v="3868"/>
    <x v="17"/>
    <n v="523"/>
    <x v="1"/>
  </r>
  <r>
    <d v="2024-09-26T00:00:00"/>
    <s v="Adult"/>
    <x v="12"/>
    <n v="2767"/>
    <n v="681"/>
    <n v="224"/>
    <n v="146"/>
    <n v="3818"/>
    <x v="17"/>
    <n v="370"/>
    <x v="1"/>
  </r>
  <r>
    <d v="2024-09-26T00:00:00"/>
    <s v="Adult"/>
    <x v="34"/>
    <n v="1449"/>
    <n v="819"/>
    <n v="296"/>
    <n v="47"/>
    <n v="2611"/>
    <x v="17"/>
    <n v="343"/>
    <x v="1"/>
  </r>
  <r>
    <d v="2024-09-26T00:00:00"/>
    <s v="Adult"/>
    <x v="42"/>
    <n v="2771"/>
    <n v="866"/>
    <n v="432"/>
    <n v="867"/>
    <n v="4936"/>
    <x v="17"/>
    <n v="1299"/>
    <x v="1"/>
  </r>
  <r>
    <d v="2024-09-26T00:00:00"/>
    <s v="Adult"/>
    <x v="24"/>
    <n v="517"/>
    <n v="121"/>
    <n v="59"/>
    <n v="19"/>
    <n v="715"/>
    <x v="17"/>
    <n v="78"/>
    <x v="1"/>
  </r>
  <r>
    <d v="2024-10-31T00:00:00"/>
    <s v="Adult"/>
    <x v="25"/>
    <n v="172"/>
    <n v="27"/>
    <n v="13"/>
    <n v="32"/>
    <n v="244"/>
    <x v="34"/>
    <n v="45"/>
    <x v="1"/>
  </r>
  <r>
    <d v="2024-10-31T00:00:00"/>
    <s v="Adult"/>
    <x v="23"/>
    <n v="5458"/>
    <n v="2438"/>
    <n v="788"/>
    <n v="622"/>
    <n v="9306"/>
    <x v="34"/>
    <n v="1410"/>
    <x v="1"/>
  </r>
  <r>
    <d v="2024-10-31T00:00:00"/>
    <s v="Adult"/>
    <x v="9"/>
    <n v="155"/>
    <n v="48"/>
    <n v="17"/>
    <n v="4"/>
    <n v="223"/>
    <x v="34"/>
    <n v="21"/>
    <x v="1"/>
  </r>
  <r>
    <d v="2024-10-31T00:00:00"/>
    <s v="Adult"/>
    <x v="40"/>
    <n v="904"/>
    <n v="388"/>
    <n v="117"/>
    <n v="128"/>
    <n v="1537"/>
    <x v="34"/>
    <n v="245"/>
    <x v="1"/>
  </r>
  <r>
    <d v="2024-10-31T00:00:00"/>
    <s v="Adult"/>
    <x v="6"/>
    <n v="506"/>
    <n v="74"/>
    <n v="10"/>
    <n v="3"/>
    <n v="592"/>
    <x v="34"/>
    <n v="13"/>
    <x v="1"/>
  </r>
  <r>
    <d v="2024-10-31T00:00:00"/>
    <s v="Adult"/>
    <x v="41"/>
    <n v="5319"/>
    <n v="2237"/>
    <n v="948"/>
    <n v="1439"/>
    <n v="9943"/>
    <x v="34"/>
    <n v="2387"/>
    <x v="1"/>
  </r>
  <r>
    <d v="2024-10-31T00:00:00"/>
    <s v="Adult"/>
    <x v="31"/>
    <n v="657"/>
    <n v="127"/>
    <n v="1"/>
    <n v="1"/>
    <n v="786"/>
    <x v="34"/>
    <n v="2"/>
    <x v="1"/>
  </r>
  <r>
    <d v="2024-10-31T00:00:00"/>
    <s v="Adult"/>
    <x v="32"/>
    <n v="996"/>
    <n v="161"/>
    <n v="57"/>
    <n v="58"/>
    <n v="1271"/>
    <x v="34"/>
    <n v="115"/>
    <x v="1"/>
  </r>
  <r>
    <d v="2024-10-31T00:00:00"/>
    <s v="Adult"/>
    <x v="4"/>
    <n v="291"/>
    <n v="80"/>
    <n v="47"/>
    <n v="13"/>
    <n v="431"/>
    <x v="34"/>
    <n v="60"/>
    <x v="1"/>
  </r>
  <r>
    <d v="2024-10-31T00:00:00"/>
    <s v="Adult"/>
    <x v="43"/>
    <n v="4650"/>
    <n v="1187"/>
    <n v="406"/>
    <n v="818"/>
    <n v="7060"/>
    <x v="34"/>
    <n v="1224"/>
    <x v="1"/>
  </r>
  <r>
    <d v="2024-10-31T00:00:00"/>
    <s v="Adult"/>
    <x v="22"/>
    <n v="645"/>
    <n v="118"/>
    <n v="27"/>
    <n v="7"/>
    <n v="796"/>
    <x v="34"/>
    <n v="34"/>
    <x v="1"/>
  </r>
  <r>
    <d v="2024-10-31T00:00:00"/>
    <s v="Adult"/>
    <x v="2"/>
    <n v="503"/>
    <n v="74"/>
    <n v="22"/>
    <n v="8"/>
    <n v="608"/>
    <x v="34"/>
    <n v="30"/>
    <x v="1"/>
  </r>
  <r>
    <d v="2024-10-31T00:00:00"/>
    <s v="Adult"/>
    <x v="20"/>
    <n v="209"/>
    <n v="34"/>
    <n v="33"/>
    <n v="13"/>
    <n v="290"/>
    <x v="34"/>
    <n v="46"/>
    <x v="1"/>
  </r>
  <r>
    <d v="2024-10-31T00:00:00"/>
    <s v="Adult"/>
    <x v="29"/>
    <n v="1609"/>
    <n v="364"/>
    <n v="46"/>
    <n v="3"/>
    <n v="2022"/>
    <x v="34"/>
    <n v="49"/>
    <x v="1"/>
  </r>
  <r>
    <d v="2024-10-31T00:00:00"/>
    <s v="Adult"/>
    <x v="7"/>
    <n v="392"/>
    <n v="162"/>
    <n v="53"/>
    <n v="42"/>
    <n v="649"/>
    <x v="34"/>
    <n v="95"/>
    <x v="1"/>
  </r>
  <r>
    <d v="2024-10-31T00:00:00"/>
    <s v="Adult"/>
    <x v="38"/>
    <n v="1837"/>
    <n v="861"/>
    <n v="290"/>
    <n v="110"/>
    <n v="3098"/>
    <x v="34"/>
    <n v="400"/>
    <x v="1"/>
  </r>
  <r>
    <d v="2024-10-31T00:00:00"/>
    <s v="Adult"/>
    <x v="35"/>
    <n v="1549"/>
    <n v="519"/>
    <n v="248"/>
    <n v="134"/>
    <n v="2450"/>
    <x v="34"/>
    <n v="382"/>
    <x v="1"/>
  </r>
  <r>
    <d v="2024-10-31T00:00:00"/>
    <s v="Adult"/>
    <x v="36"/>
    <n v="2152"/>
    <n v="764"/>
    <n v="334"/>
    <n v="427"/>
    <n v="3677"/>
    <x v="34"/>
    <n v="761"/>
    <x v="1"/>
  </r>
  <r>
    <d v="2024-10-31T00:00:00"/>
    <s v="Adult"/>
    <x v="44"/>
    <n v="3248"/>
    <n v="1184"/>
    <n v="456"/>
    <n v="645"/>
    <n v="5532"/>
    <x v="34"/>
    <n v="1101"/>
    <x v="1"/>
  </r>
  <r>
    <d v="2024-10-31T00:00:00"/>
    <s v="Adult"/>
    <x v="5"/>
    <n v="529"/>
    <n v="145"/>
    <n v="81"/>
    <n v="60"/>
    <n v="815"/>
    <x v="34"/>
    <n v="141"/>
    <x v="1"/>
  </r>
  <r>
    <d v="2024-10-31T00:00:00"/>
    <s v="Adult"/>
    <x v="45"/>
    <n v="687"/>
    <n v="174"/>
    <n v="28"/>
    <n v="26"/>
    <n v="914"/>
    <x v="34"/>
    <n v="54"/>
    <x v="1"/>
  </r>
  <r>
    <d v="2024-10-31T00:00:00"/>
    <s v="Adult"/>
    <x v="46"/>
    <n v="2858"/>
    <n v="539"/>
    <n v="245"/>
    <n v="306"/>
    <n v="3948"/>
    <x v="34"/>
    <n v="551"/>
    <x v="1"/>
  </r>
  <r>
    <d v="2024-10-31T00:00:00"/>
    <s v="Adult"/>
    <x v="12"/>
    <n v="2876"/>
    <n v="751"/>
    <n v="250"/>
    <n v="148"/>
    <n v="4025"/>
    <x v="34"/>
    <n v="398"/>
    <x v="1"/>
  </r>
  <r>
    <d v="2024-10-31T00:00:00"/>
    <s v="Adult"/>
    <x v="34"/>
    <n v="1417"/>
    <n v="760"/>
    <n v="281"/>
    <n v="36"/>
    <n v="2493"/>
    <x v="34"/>
    <n v="317"/>
    <x v="1"/>
  </r>
  <r>
    <d v="2024-10-31T00:00:00"/>
    <s v="Adult"/>
    <x v="42"/>
    <n v="2817"/>
    <n v="845"/>
    <n v="393"/>
    <n v="858"/>
    <n v="4913"/>
    <x v="34"/>
    <n v="1251"/>
    <x v="1"/>
  </r>
  <r>
    <d v="2024-10-31T00:00:00"/>
    <s v="Adult"/>
    <x v="24"/>
    <n v="560"/>
    <n v="134"/>
    <n v="54"/>
    <n v="19"/>
    <n v="767"/>
    <x v="34"/>
    <n v="73"/>
    <x v="1"/>
  </r>
  <r>
    <d v="2024-11-28T00:00:00"/>
    <s v="Adult"/>
    <x v="25"/>
    <n v="215"/>
    <n v="26"/>
    <n v="12"/>
    <n v="24"/>
    <n v="277"/>
    <x v="3"/>
    <n v="36"/>
    <x v="1"/>
  </r>
  <r>
    <d v="2024-11-28T00:00:00"/>
    <s v="Adult"/>
    <x v="23"/>
    <n v="5374"/>
    <n v="2347"/>
    <n v="661"/>
    <n v="528"/>
    <n v="8910"/>
    <x v="3"/>
    <n v="1189"/>
    <x v="1"/>
  </r>
  <r>
    <d v="2024-11-28T00:00:00"/>
    <s v="Adult"/>
    <x v="40"/>
    <n v="941"/>
    <n v="397"/>
    <n v="134"/>
    <n v="126"/>
    <n v="1599"/>
    <x v="3"/>
    <n v="260"/>
    <x v="1"/>
  </r>
  <r>
    <d v="2024-11-28T00:00:00"/>
    <s v="Adult"/>
    <x v="41"/>
    <n v="5512"/>
    <n v="2214"/>
    <n v="966"/>
    <n v="1383"/>
    <n v="10075"/>
    <x v="3"/>
    <n v="2349"/>
    <x v="1"/>
  </r>
  <r>
    <d v="2024-11-28T00:00:00"/>
    <s v="Adult"/>
    <x v="32"/>
    <n v="1030"/>
    <n v="160"/>
    <n v="63"/>
    <n v="48"/>
    <n v="1300"/>
    <x v="3"/>
    <n v="111"/>
    <x v="1"/>
  </r>
  <r>
    <d v="2024-11-28T00:00:00"/>
    <s v="Adult"/>
    <x v="4"/>
    <n v="274"/>
    <n v="90"/>
    <n v="50"/>
    <n v="18"/>
    <n v="431"/>
    <x v="3"/>
    <n v="68"/>
    <x v="1"/>
  </r>
  <r>
    <d v="2024-11-28T00:00:00"/>
    <s v="Adult"/>
    <x v="43"/>
    <n v="4767"/>
    <n v="1201"/>
    <n v="410"/>
    <n v="830"/>
    <n v="7208"/>
    <x v="3"/>
    <n v="1240"/>
    <x v="1"/>
  </r>
  <r>
    <d v="2024-11-28T00:00:00"/>
    <s v="Adult"/>
    <x v="22"/>
    <n v="692"/>
    <n v="61"/>
    <n v="16"/>
    <n v="1"/>
    <n v="770"/>
    <x v="3"/>
    <n v="17"/>
    <x v="1"/>
  </r>
  <r>
    <d v="2024-11-28T00:00:00"/>
    <s v="Adult"/>
    <x v="2"/>
    <n v="560"/>
    <n v="78"/>
    <n v="23"/>
    <n v="10"/>
    <n v="671"/>
    <x v="3"/>
    <n v="33"/>
    <x v="1"/>
  </r>
  <r>
    <d v="2024-11-28T00:00:00"/>
    <s v="Adult"/>
    <x v="20"/>
    <n v="291"/>
    <n v="36"/>
    <n v="34"/>
    <n v="14"/>
    <n v="375"/>
    <x v="3"/>
    <n v="48"/>
    <x v="1"/>
  </r>
  <r>
    <d v="2024-11-28T00:00:00"/>
    <s v="Adult"/>
    <x v="29"/>
    <n v="1818"/>
    <n v="324"/>
    <n v="53"/>
    <n v="3"/>
    <n v="2198"/>
    <x v="3"/>
    <n v="56"/>
    <x v="1"/>
  </r>
  <r>
    <d v="2024-11-28T00:00:00"/>
    <s v="Adult"/>
    <x v="7"/>
    <n v="440"/>
    <n v="129"/>
    <n v="82"/>
    <n v="43"/>
    <n v="694"/>
    <x v="3"/>
    <n v="125"/>
    <x v="1"/>
  </r>
  <r>
    <d v="2024-11-28T00:00:00"/>
    <s v="Adult"/>
    <x v="38"/>
    <n v="2021"/>
    <n v="672"/>
    <n v="270"/>
    <n v="115"/>
    <n v="3078"/>
    <x v="3"/>
    <n v="385"/>
    <x v="1"/>
  </r>
  <r>
    <d v="2024-11-28T00:00:00"/>
    <s v="Adult"/>
    <x v="35"/>
    <n v="1736"/>
    <n v="564"/>
    <n v="217"/>
    <n v="121"/>
    <n v="2638"/>
    <x v="3"/>
    <n v="338"/>
    <x v="1"/>
  </r>
  <r>
    <d v="2024-11-28T00:00:00"/>
    <s v="Adult"/>
    <x v="36"/>
    <n v="2117"/>
    <n v="784"/>
    <n v="336"/>
    <n v="456"/>
    <n v="3693"/>
    <x v="3"/>
    <n v="792"/>
    <x v="1"/>
  </r>
  <r>
    <d v="2024-11-28T00:00:00"/>
    <s v="Adult"/>
    <x v="44"/>
    <n v="3493"/>
    <n v="1192"/>
    <n v="514"/>
    <n v="584"/>
    <n v="5783"/>
    <x v="3"/>
    <n v="1098"/>
    <x v="1"/>
  </r>
  <r>
    <d v="2024-11-28T00:00:00"/>
    <s v="Adult"/>
    <x v="5"/>
    <n v="491"/>
    <n v="155"/>
    <n v="66"/>
    <n v="69"/>
    <n v="780"/>
    <x v="3"/>
    <n v="135"/>
    <x v="1"/>
  </r>
  <r>
    <d v="2024-11-28T00:00:00"/>
    <s v="Adult"/>
    <x v="45"/>
    <n v="707"/>
    <n v="204"/>
    <n v="27"/>
    <n v="27"/>
    <n v="964"/>
    <x v="3"/>
    <n v="54"/>
    <x v="1"/>
  </r>
  <r>
    <d v="2024-11-28T00:00:00"/>
    <s v="Adult"/>
    <x v="46"/>
    <n v="2890"/>
    <n v="540"/>
    <n v="228"/>
    <n v="285"/>
    <n v="3943"/>
    <x v="3"/>
    <n v="513"/>
    <x v="1"/>
  </r>
  <r>
    <d v="2024-11-28T00:00:00"/>
    <s v="Adult"/>
    <x v="12"/>
    <n v="2829"/>
    <n v="729"/>
    <n v="273"/>
    <n v="166"/>
    <n v="3997"/>
    <x v="3"/>
    <n v="439"/>
    <x v="1"/>
  </r>
  <r>
    <d v="2024-11-28T00:00:00"/>
    <s v="Adult"/>
    <x v="34"/>
    <n v="1439"/>
    <n v="744"/>
    <n v="322"/>
    <n v="60"/>
    <n v="2565"/>
    <x v="3"/>
    <n v="382"/>
    <x v="1"/>
  </r>
  <r>
    <d v="2024-11-28T00:00:00"/>
    <s v="Adult"/>
    <x v="42"/>
    <n v="2751"/>
    <n v="837"/>
    <n v="403"/>
    <n v="836"/>
    <n v="4828"/>
    <x v="3"/>
    <n v="1239"/>
    <x v="1"/>
  </r>
  <r>
    <d v="2024-11-28T00:00:00"/>
    <s v="Adult"/>
    <x v="24"/>
    <n v="502"/>
    <n v="57"/>
    <n v="51"/>
    <n v="24"/>
    <n v="634"/>
    <x v="3"/>
    <n v="75"/>
    <x v="1"/>
  </r>
  <r>
    <d v="2024-12-19T00:00:00"/>
    <s v="Adult"/>
    <x v="25"/>
    <n v="217"/>
    <n v="27"/>
    <n v="15"/>
    <n v="24"/>
    <n v="282"/>
    <x v="4"/>
    <n v="39"/>
    <x v="1"/>
  </r>
  <r>
    <d v="2024-12-19T00:00:00"/>
    <s v="Adult"/>
    <x v="23"/>
    <n v="5357"/>
    <n v="2376"/>
    <n v="473"/>
    <n v="347"/>
    <n v="8553"/>
    <x v="4"/>
    <n v="820"/>
    <x v="1"/>
  </r>
  <r>
    <d v="2024-12-19T00:00:00"/>
    <s v="Adult"/>
    <x v="40"/>
    <n v="999"/>
    <n v="400"/>
    <n v="136"/>
    <n v="118"/>
    <n v="1653"/>
    <x v="4"/>
    <n v="254"/>
    <x v="1"/>
  </r>
  <r>
    <d v="2024-12-19T00:00:00"/>
    <s v="Adult"/>
    <x v="41"/>
    <n v="5978"/>
    <n v="2194"/>
    <n v="883"/>
    <n v="1238"/>
    <n v="10293"/>
    <x v="4"/>
    <n v="2121"/>
    <x v="1"/>
  </r>
  <r>
    <d v="2024-12-19T00:00:00"/>
    <s v="Adult"/>
    <x v="32"/>
    <n v="1167"/>
    <n v="139"/>
    <n v="59"/>
    <n v="52"/>
    <n v="1418"/>
    <x v="4"/>
    <n v="111"/>
    <x v="1"/>
  </r>
  <r>
    <d v="2024-12-19T00:00:00"/>
    <s v="Adult"/>
    <x v="4"/>
    <n v="256"/>
    <n v="104"/>
    <n v="45"/>
    <n v="21"/>
    <n v="426"/>
    <x v="4"/>
    <n v="66"/>
    <x v="1"/>
  </r>
  <r>
    <d v="2024-12-19T00:00:00"/>
    <s v="Adult"/>
    <x v="43"/>
    <n v="4761"/>
    <n v="1162"/>
    <n v="440"/>
    <n v="817"/>
    <n v="7181"/>
    <x v="4"/>
    <n v="1257"/>
    <x v="1"/>
  </r>
  <r>
    <d v="2024-12-19T00:00:00"/>
    <s v="Adult"/>
    <x v="2"/>
    <n v="594"/>
    <n v="75"/>
    <n v="9"/>
    <n v="8"/>
    <n v="686"/>
    <x v="4"/>
    <n v="17"/>
    <x v="1"/>
  </r>
  <r>
    <d v="2024-12-19T00:00:00"/>
    <s v="Adult"/>
    <x v="20"/>
    <n v="331"/>
    <n v="43"/>
    <n v="37"/>
    <n v="15"/>
    <n v="425"/>
    <x v="4"/>
    <n v="52"/>
    <x v="1"/>
  </r>
  <r>
    <d v="2024-12-19T00:00:00"/>
    <s v="Adult"/>
    <x v="7"/>
    <n v="418"/>
    <n v="120"/>
    <n v="83"/>
    <n v="39"/>
    <n v="659"/>
    <x v="4"/>
    <n v="122"/>
    <x v="1"/>
  </r>
  <r>
    <d v="2024-12-19T00:00:00"/>
    <s v="Adult"/>
    <x v="10"/>
    <n v="174"/>
    <n v="38"/>
    <n v="17"/>
    <n v="12"/>
    <n v="241"/>
    <x v="4"/>
    <n v="29"/>
    <x v="1"/>
  </r>
  <r>
    <d v="2024-12-19T00:00:00"/>
    <s v="Adult"/>
    <x v="38"/>
    <n v="2101"/>
    <n v="532"/>
    <n v="284"/>
    <n v="130"/>
    <n v="3047"/>
    <x v="4"/>
    <n v="414"/>
    <x v="1"/>
  </r>
  <r>
    <d v="2024-12-19T00:00:00"/>
    <s v="Adult"/>
    <x v="35"/>
    <n v="1693"/>
    <n v="541"/>
    <n v="243"/>
    <n v="133"/>
    <n v="2610"/>
    <x v="4"/>
    <n v="376"/>
    <x v="1"/>
  </r>
  <r>
    <d v="2024-12-19T00:00:00"/>
    <s v="Adult"/>
    <x v="36"/>
    <n v="2375"/>
    <n v="846"/>
    <n v="367"/>
    <n v="473"/>
    <n v="4060"/>
    <x v="4"/>
    <n v="840"/>
    <x v="1"/>
  </r>
  <r>
    <d v="2024-12-19T00:00:00"/>
    <s v="Adult"/>
    <x v="44"/>
    <n v="3493"/>
    <n v="1214"/>
    <n v="525"/>
    <n v="529"/>
    <n v="5760"/>
    <x v="4"/>
    <n v="1054"/>
    <x v="1"/>
  </r>
  <r>
    <d v="2024-12-19T00:00:00"/>
    <s v="Adult"/>
    <x v="5"/>
    <n v="561"/>
    <n v="140"/>
    <n v="68"/>
    <n v="66"/>
    <n v="835"/>
    <x v="4"/>
    <n v="134"/>
    <x v="1"/>
  </r>
  <r>
    <d v="2024-12-19T00:00:00"/>
    <s v="Adult"/>
    <x v="45"/>
    <n v="686"/>
    <n v="192"/>
    <n v="27"/>
    <n v="29"/>
    <n v="933"/>
    <x v="4"/>
    <n v="56"/>
    <x v="1"/>
  </r>
  <r>
    <d v="2024-12-19T00:00:00"/>
    <s v="Adult"/>
    <x v="46"/>
    <n v="2890"/>
    <n v="570"/>
    <n v="229"/>
    <n v="271"/>
    <n v="3960"/>
    <x v="4"/>
    <n v="500"/>
    <x v="1"/>
  </r>
  <r>
    <d v="2024-12-19T00:00:00"/>
    <s v="Adult"/>
    <x v="12"/>
    <n v="3235"/>
    <n v="824"/>
    <n v="295"/>
    <n v="180"/>
    <n v="4534"/>
    <x v="4"/>
    <n v="475"/>
    <x v="1"/>
  </r>
  <r>
    <d v="2024-12-19T00:00:00"/>
    <s v="Adult"/>
    <x v="34"/>
    <n v="1492"/>
    <n v="726"/>
    <n v="325"/>
    <n v="71"/>
    <n v="2613"/>
    <x v="4"/>
    <n v="396"/>
    <x v="1"/>
  </r>
  <r>
    <d v="2024-12-19T00:00:00"/>
    <s v="Adult"/>
    <x v="42"/>
    <n v="2861"/>
    <n v="835"/>
    <n v="397"/>
    <n v="848"/>
    <n v="4940"/>
    <x v="4"/>
    <n v="1245"/>
    <x v="1"/>
  </r>
  <r>
    <d v="2024-12-19T00:00:00"/>
    <s v="Adult"/>
    <x v="24"/>
    <n v="619"/>
    <n v="102"/>
    <n v="47"/>
    <n v="25"/>
    <n v="793"/>
    <x v="4"/>
    <n v="72"/>
    <x v="1"/>
  </r>
  <r>
    <d v="2025-01-30T00:00:00"/>
    <s v="Adult"/>
    <x v="25"/>
    <n v="210"/>
    <n v="28"/>
    <n v="16"/>
    <n v="25"/>
    <n v="279"/>
    <x v="18"/>
    <n v="41"/>
    <x v="1"/>
  </r>
  <r>
    <d v="2025-01-30T00:00:00"/>
    <s v="Adult"/>
    <x v="23"/>
    <n v="5109"/>
    <n v="2875"/>
    <n v="767"/>
    <n v="486"/>
    <n v="9236"/>
    <x v="18"/>
    <n v="1253"/>
    <x v="1"/>
  </r>
  <r>
    <d v="2025-01-30T00:00:00"/>
    <s v="Adult"/>
    <x v="40"/>
    <n v="1019"/>
    <n v="372"/>
    <n v="155"/>
    <n v="133"/>
    <n v="1680"/>
    <x v="18"/>
    <n v="288"/>
    <x v="1"/>
  </r>
  <r>
    <d v="2025-01-30T00:00:00"/>
    <s v="Adult"/>
    <x v="6"/>
    <n v="539"/>
    <n v="95"/>
    <n v="10"/>
    <n v="1"/>
    <n v="645"/>
    <x v="18"/>
    <n v="11"/>
    <x v="1"/>
  </r>
  <r>
    <d v="2025-01-30T00:00:00"/>
    <s v="Adult"/>
    <x v="41"/>
    <n v="6151"/>
    <n v="2573"/>
    <n v="987"/>
    <n v="1287"/>
    <n v="10999"/>
    <x v="18"/>
    <n v="2274"/>
    <x v="1"/>
  </r>
  <r>
    <d v="2025-01-30T00:00:00"/>
    <s v="Adult"/>
    <x v="32"/>
    <n v="1475"/>
    <n v="170"/>
    <n v="65"/>
    <n v="71"/>
    <n v="1781"/>
    <x v="18"/>
    <n v="136"/>
    <x v="1"/>
  </r>
  <r>
    <d v="2025-01-30T00:00:00"/>
    <s v="Adult"/>
    <x v="4"/>
    <n v="278"/>
    <n v="123"/>
    <n v="51"/>
    <n v="26"/>
    <n v="477"/>
    <x v="18"/>
    <n v="77"/>
    <x v="1"/>
  </r>
  <r>
    <d v="2025-01-30T00:00:00"/>
    <s v="Adult"/>
    <x v="43"/>
    <n v="4680"/>
    <n v="1270"/>
    <n v="428"/>
    <n v="858"/>
    <n v="7236"/>
    <x v="18"/>
    <n v="1286"/>
    <x v="1"/>
  </r>
  <r>
    <d v="2025-01-30T00:00:00"/>
    <s v="Adult"/>
    <x v="22"/>
    <n v="793"/>
    <n v="106"/>
    <n v="24"/>
    <n v="6"/>
    <n v="929"/>
    <x v="18"/>
    <n v="30"/>
    <x v="1"/>
  </r>
  <r>
    <d v="2025-01-30T00:00:00"/>
    <s v="Adult"/>
    <x v="2"/>
    <n v="704"/>
    <n v="94"/>
    <n v="19"/>
    <n v="4"/>
    <n v="821"/>
    <x v="18"/>
    <n v="23"/>
    <x v="1"/>
  </r>
  <r>
    <d v="2025-01-30T00:00:00"/>
    <s v="Adult"/>
    <x v="20"/>
    <n v="327"/>
    <n v="43"/>
    <n v="36"/>
    <n v="20"/>
    <n v="426"/>
    <x v="18"/>
    <n v="56"/>
    <x v="1"/>
  </r>
  <r>
    <d v="2025-01-30T00:00:00"/>
    <s v="Adult"/>
    <x v="21"/>
    <n v="484"/>
    <n v="118"/>
    <n v="58"/>
    <n v="8"/>
    <n v="668"/>
    <x v="18"/>
    <n v="66"/>
    <x v="1"/>
  </r>
  <r>
    <d v="2025-01-30T00:00:00"/>
    <s v="Adult"/>
    <x v="7"/>
    <n v="389"/>
    <n v="141"/>
    <n v="98"/>
    <n v="56"/>
    <n v="684"/>
    <x v="18"/>
    <n v="154"/>
    <x v="1"/>
  </r>
  <r>
    <d v="2025-01-30T00:00:00"/>
    <s v="Adult"/>
    <x v="10"/>
    <n v="201"/>
    <n v="41"/>
    <n v="17"/>
    <n v="15"/>
    <n v="274"/>
    <x v="18"/>
    <n v="32"/>
    <x v="1"/>
  </r>
  <r>
    <d v="2025-01-30T00:00:00"/>
    <s v="Adult"/>
    <x v="38"/>
    <n v="1978"/>
    <n v="575"/>
    <n v="293"/>
    <n v="143"/>
    <n v="2989"/>
    <x v="18"/>
    <n v="436"/>
    <x v="1"/>
  </r>
  <r>
    <d v="2025-01-30T00:00:00"/>
    <s v="Adult"/>
    <x v="35"/>
    <n v="1699"/>
    <n v="600"/>
    <n v="253"/>
    <n v="175"/>
    <n v="2726"/>
    <x v="18"/>
    <n v="428"/>
    <x v="1"/>
  </r>
  <r>
    <d v="2025-01-30T00:00:00"/>
    <s v="Adult"/>
    <x v="36"/>
    <n v="2433"/>
    <n v="932"/>
    <n v="382"/>
    <n v="518"/>
    <n v="4265"/>
    <x v="18"/>
    <n v="900"/>
    <x v="1"/>
  </r>
  <r>
    <d v="2025-01-30T00:00:00"/>
    <s v="Adult"/>
    <x v="44"/>
    <n v="3178"/>
    <n v="1284"/>
    <n v="510"/>
    <n v="516"/>
    <n v="5487"/>
    <x v="18"/>
    <n v="1026"/>
    <x v="1"/>
  </r>
  <r>
    <d v="2025-01-30T00:00:00"/>
    <s v="Adult"/>
    <x v="5"/>
    <n v="514"/>
    <n v="116"/>
    <n v="43"/>
    <n v="58"/>
    <n v="731"/>
    <x v="18"/>
    <n v="101"/>
    <x v="1"/>
  </r>
  <r>
    <d v="2025-01-30T00:00:00"/>
    <s v="Adult"/>
    <x v="45"/>
    <n v="963"/>
    <n v="256"/>
    <n v="41"/>
    <n v="31"/>
    <n v="1290"/>
    <x v="18"/>
    <n v="72"/>
    <x v="1"/>
  </r>
  <r>
    <d v="2025-01-30T00:00:00"/>
    <s v="Adult"/>
    <x v="46"/>
    <n v="2850"/>
    <n v="724"/>
    <n v="206"/>
    <n v="298"/>
    <n v="4078"/>
    <x v="18"/>
    <n v="504"/>
    <x v="1"/>
  </r>
  <r>
    <d v="2025-01-30T00:00:00"/>
    <s v="Adult"/>
    <x v="12"/>
    <n v="2963"/>
    <n v="885"/>
    <n v="336"/>
    <n v="220"/>
    <n v="4403"/>
    <x v="18"/>
    <n v="556"/>
    <x v="1"/>
  </r>
  <r>
    <d v="2025-01-30T00:00:00"/>
    <s v="Adult"/>
    <x v="34"/>
    <n v="1606"/>
    <n v="709"/>
    <n v="339"/>
    <n v="96"/>
    <n v="2750"/>
    <x v="18"/>
    <n v="435"/>
    <x v="1"/>
  </r>
  <r>
    <d v="2025-01-30T00:00:00"/>
    <s v="Adult"/>
    <x v="42"/>
    <n v="2704"/>
    <n v="910"/>
    <n v="413"/>
    <n v="852"/>
    <n v="4879"/>
    <x v="18"/>
    <n v="1265"/>
    <x v="1"/>
  </r>
  <r>
    <d v="2025-01-30T00:00:00"/>
    <s v="Adult"/>
    <x v="24"/>
    <n v="671"/>
    <n v="94"/>
    <n v="32"/>
    <n v="22"/>
    <n v="819"/>
    <x v="18"/>
    <n v="54"/>
    <x v="1"/>
  </r>
  <r>
    <d v="2025-02-27T00:00:00"/>
    <s v="Adult"/>
    <x v="25"/>
    <n v="225"/>
    <n v="35"/>
    <n v="18"/>
    <n v="27"/>
    <n v="305"/>
    <x v="35"/>
    <n v="45"/>
    <x v="1"/>
  </r>
  <r>
    <d v="2025-02-27T00:00:00"/>
    <s v="Adult"/>
    <x v="23"/>
    <n v="4989"/>
    <n v="2879"/>
    <n v="936"/>
    <n v="559"/>
    <n v="9363"/>
    <x v="35"/>
    <n v="1495"/>
    <x v="1"/>
  </r>
  <r>
    <d v="2025-02-27T00:00:00"/>
    <s v="Adult"/>
    <x v="40"/>
    <n v="986"/>
    <n v="390"/>
    <n v="175"/>
    <n v="128"/>
    <n v="1678"/>
    <x v="35"/>
    <n v="303"/>
    <x v="1"/>
  </r>
  <r>
    <d v="2025-02-27T00:00:00"/>
    <s v="Adult"/>
    <x v="6"/>
    <n v="504"/>
    <n v="91"/>
    <n v="2"/>
    <n v="1"/>
    <n v="598"/>
    <x v="35"/>
    <n v="3"/>
    <x v="1"/>
  </r>
  <r>
    <d v="2025-02-27T00:00:00"/>
    <s v="Adult"/>
    <x v="41"/>
    <n v="6219"/>
    <n v="2585"/>
    <n v="1067"/>
    <n v="1344"/>
    <n v="11214"/>
    <x v="35"/>
    <n v="2411"/>
    <x v="1"/>
  </r>
  <r>
    <d v="2025-02-27T00:00:00"/>
    <s v="Adult"/>
    <x v="31"/>
    <n v="619"/>
    <n v="148"/>
    <n v="8"/>
    <n v="6"/>
    <n v="781"/>
    <x v="35"/>
    <n v="14"/>
    <x v="1"/>
  </r>
  <r>
    <d v="2025-02-27T00:00:00"/>
    <s v="Adult"/>
    <x v="32"/>
    <n v="1628"/>
    <n v="200"/>
    <n v="69"/>
    <n v="97"/>
    <n v="1994"/>
    <x v="35"/>
    <n v="166"/>
    <x v="1"/>
  </r>
  <r>
    <d v="2025-02-27T00:00:00"/>
    <s v="Adult"/>
    <x v="4"/>
    <n v="272"/>
    <n v="109"/>
    <n v="48"/>
    <n v="35"/>
    <n v="463"/>
    <x v="35"/>
    <n v="83"/>
    <x v="1"/>
  </r>
  <r>
    <d v="2025-02-27T00:00:00"/>
    <s v="Adult"/>
    <x v="43"/>
    <n v="4843"/>
    <n v="1237"/>
    <n v="487"/>
    <n v="856"/>
    <n v="7423"/>
    <x v="35"/>
    <n v="1343"/>
    <x v="1"/>
  </r>
  <r>
    <d v="2025-02-27T00:00:00"/>
    <s v="Adult"/>
    <x v="22"/>
    <n v="865"/>
    <n v="127"/>
    <n v="26"/>
    <n v="11"/>
    <n v="1028"/>
    <x v="35"/>
    <n v="37"/>
    <x v="1"/>
  </r>
  <r>
    <d v="2025-02-27T00:00:00"/>
    <s v="Adult"/>
    <x v="2"/>
    <n v="631"/>
    <n v="88"/>
    <n v="12"/>
    <n v="5"/>
    <n v="736"/>
    <x v="35"/>
    <n v="17"/>
    <x v="1"/>
  </r>
  <r>
    <d v="2025-02-27T00:00:00"/>
    <s v="Adult"/>
    <x v="26"/>
    <n v="569"/>
    <n v="101"/>
    <n v="47"/>
    <n v="10"/>
    <n v="727"/>
    <x v="35"/>
    <n v="57"/>
    <x v="1"/>
  </r>
  <r>
    <d v="2025-02-27T00:00:00"/>
    <s v="Adult"/>
    <x v="20"/>
    <n v="266"/>
    <n v="59"/>
    <n v="34"/>
    <n v="19"/>
    <n v="378"/>
    <x v="35"/>
    <n v="53"/>
    <x v="1"/>
  </r>
  <r>
    <d v="2025-02-27T00:00:00"/>
    <s v="Adult"/>
    <x v="11"/>
    <n v="916"/>
    <n v="443"/>
    <n v="38"/>
    <n v="3"/>
    <n v="1399"/>
    <x v="35"/>
    <n v="41"/>
    <x v="1"/>
  </r>
  <r>
    <d v="2025-02-27T00:00:00"/>
    <s v="Adult"/>
    <x v="21"/>
    <n v="436"/>
    <n v="121"/>
    <n v="55"/>
    <n v="7"/>
    <n v="618"/>
    <x v="35"/>
    <n v="62"/>
    <x v="1"/>
  </r>
  <r>
    <d v="2025-02-27T00:00:00"/>
    <s v="Adult"/>
    <x v="7"/>
    <n v="382"/>
    <n v="135"/>
    <n v="103"/>
    <n v="62"/>
    <n v="681"/>
    <x v="35"/>
    <n v="165"/>
    <x v="1"/>
  </r>
  <r>
    <d v="2025-02-27T00:00:00"/>
    <s v="Adult"/>
    <x v="10"/>
    <n v="244"/>
    <n v="41"/>
    <n v="14"/>
    <n v="21"/>
    <n v="320"/>
    <x v="35"/>
    <n v="35"/>
    <x v="1"/>
  </r>
  <r>
    <d v="2025-02-27T00:00:00"/>
    <s v="Adult"/>
    <x v="38"/>
    <n v="1864"/>
    <n v="452"/>
    <n v="326"/>
    <n v="154"/>
    <n v="2796"/>
    <x v="35"/>
    <n v="480"/>
    <x v="1"/>
  </r>
  <r>
    <d v="2025-02-27T00:00:00"/>
    <s v="Adult"/>
    <x v="35"/>
    <n v="1868"/>
    <n v="613"/>
    <n v="273"/>
    <n v="202"/>
    <n v="2956"/>
    <x v="35"/>
    <n v="475"/>
    <x v="1"/>
  </r>
  <r>
    <d v="2025-02-27T00:00:00"/>
    <s v="Adult"/>
    <x v="36"/>
    <n v="2315"/>
    <n v="917"/>
    <n v="399"/>
    <n v="522"/>
    <n v="4152"/>
    <x v="35"/>
    <n v="921"/>
    <x v="1"/>
  </r>
  <r>
    <d v="2025-02-27T00:00:00"/>
    <s v="Adult"/>
    <x v="37"/>
    <n v="332"/>
    <n v="37"/>
    <n v="37"/>
    <n v="5"/>
    <n v="411"/>
    <x v="35"/>
    <n v="42"/>
    <x v="1"/>
  </r>
  <r>
    <d v="2025-02-27T00:00:00"/>
    <s v="Adult"/>
    <x v="44"/>
    <n v="3338"/>
    <n v="1273"/>
    <n v="566"/>
    <n v="555"/>
    <n v="5732"/>
    <x v="35"/>
    <n v="1121"/>
    <x v="1"/>
  </r>
  <r>
    <d v="2025-02-27T00:00:00"/>
    <s v="Adult"/>
    <x v="5"/>
    <n v="502"/>
    <n v="127"/>
    <n v="39"/>
    <n v="64"/>
    <n v="731"/>
    <x v="35"/>
    <n v="103"/>
    <x v="1"/>
  </r>
  <r>
    <d v="2025-02-27T00:00:00"/>
    <s v="Adult"/>
    <x v="45"/>
    <n v="1112"/>
    <n v="249"/>
    <n v="46"/>
    <n v="29"/>
    <n v="1437"/>
    <x v="35"/>
    <n v="75"/>
    <x v="1"/>
  </r>
  <r>
    <d v="2025-02-27T00:00:00"/>
    <s v="Adult"/>
    <x v="46"/>
    <n v="2630"/>
    <n v="713"/>
    <n v="193"/>
    <n v="305"/>
    <n v="3840"/>
    <x v="35"/>
    <n v="498"/>
    <x v="1"/>
  </r>
  <r>
    <d v="2025-02-27T00:00:00"/>
    <s v="Adult"/>
    <x v="12"/>
    <n v="3013"/>
    <n v="948"/>
    <n v="373"/>
    <n v="244"/>
    <n v="4578"/>
    <x v="35"/>
    <n v="617"/>
    <x v="1"/>
  </r>
  <r>
    <d v="2025-02-27T00:00:00"/>
    <s v="Adult"/>
    <x v="34"/>
    <n v="1846"/>
    <n v="690"/>
    <n v="352"/>
    <n v="104"/>
    <n v="2992"/>
    <x v="35"/>
    <n v="456"/>
    <x v="1"/>
  </r>
  <r>
    <d v="2025-02-27T00:00:00"/>
    <s v="Adult"/>
    <x v="42"/>
    <n v="2845"/>
    <n v="841"/>
    <n v="445"/>
    <n v="850"/>
    <n v="4980"/>
    <x v="35"/>
    <n v="1295"/>
    <x v="1"/>
  </r>
  <r>
    <d v="2025-02-27T00:00:00"/>
    <s v="Adult"/>
    <x v="24"/>
    <n v="721"/>
    <n v="102"/>
    <n v="27"/>
    <n v="22"/>
    <n v="872"/>
    <x v="35"/>
    <n v="49"/>
    <x v="1"/>
  </r>
  <r>
    <d v="2025-03-27T00:00:00"/>
    <s v="Adult"/>
    <x v="23"/>
    <n v="4888"/>
    <n v="2900"/>
    <n v="1063"/>
    <n v="600"/>
    <n v="9452"/>
    <x v="19"/>
    <n v="1663"/>
    <x v="1"/>
  </r>
  <r>
    <d v="2025-03-27T00:00:00"/>
    <s v="Adult"/>
    <x v="16"/>
    <n v="369"/>
    <n v="27"/>
    <n v="8"/>
    <n v="3"/>
    <n v="407"/>
    <x v="19"/>
    <n v="11"/>
    <x v="1"/>
  </r>
  <r>
    <d v="2025-03-27T00:00:00"/>
    <s v="Adult"/>
    <x v="40"/>
    <n v="914"/>
    <n v="400"/>
    <n v="190"/>
    <n v="118"/>
    <n v="1621"/>
    <x v="19"/>
    <n v="308"/>
    <x v="1"/>
  </r>
  <r>
    <d v="2025-03-27T00:00:00"/>
    <s v="Adult"/>
    <x v="41"/>
    <n v="6325"/>
    <n v="2724"/>
    <n v="1062"/>
    <n v="1416"/>
    <n v="11526"/>
    <x v="19"/>
    <n v="2478"/>
    <x v="1"/>
  </r>
  <r>
    <d v="2025-03-27T00:00:00"/>
    <s v="Adult"/>
    <x v="32"/>
    <n v="1723"/>
    <n v="259"/>
    <n v="66"/>
    <n v="99"/>
    <n v="2147"/>
    <x v="19"/>
    <n v="165"/>
    <x v="1"/>
  </r>
  <r>
    <d v="2025-03-27T00:00:00"/>
    <s v="Adult"/>
    <x v="4"/>
    <n v="250"/>
    <n v="118"/>
    <n v="47"/>
    <n v="38"/>
    <n v="453"/>
    <x v="19"/>
    <n v="85"/>
    <x v="1"/>
  </r>
  <r>
    <d v="2025-03-27T00:00:00"/>
    <s v="Adult"/>
    <x v="43"/>
    <n v="4773"/>
    <n v="1222"/>
    <n v="508"/>
    <n v="860"/>
    <n v="7362"/>
    <x v="19"/>
    <n v="1368"/>
    <x v="1"/>
  </r>
  <r>
    <d v="2025-03-27T00:00:00"/>
    <s v="Adult"/>
    <x v="22"/>
    <n v="835"/>
    <n v="157"/>
    <n v="31"/>
    <n v="11"/>
    <n v="1033"/>
    <x v="19"/>
    <n v="42"/>
    <x v="1"/>
  </r>
  <r>
    <d v="2025-03-27T00:00:00"/>
    <s v="Adult"/>
    <x v="2"/>
    <n v="640"/>
    <n v="97"/>
    <n v="34"/>
    <n v="19"/>
    <n v="791"/>
    <x v="19"/>
    <n v="53"/>
    <x v="1"/>
  </r>
  <r>
    <d v="2025-03-27T00:00:00"/>
    <s v="Adult"/>
    <x v="20"/>
    <n v="252"/>
    <n v="57"/>
    <n v="30"/>
    <n v="18"/>
    <n v="357"/>
    <x v="19"/>
    <n v="48"/>
    <x v="1"/>
  </r>
  <r>
    <d v="2025-03-27T00:00:00"/>
    <s v="Adult"/>
    <x v="29"/>
    <n v="1645"/>
    <n v="392"/>
    <n v="26"/>
    <n v="3"/>
    <n v="2066"/>
    <x v="19"/>
    <n v="29"/>
    <x v="1"/>
  </r>
  <r>
    <d v="2025-03-27T00:00:00"/>
    <s v="Adult"/>
    <x v="27"/>
    <n v="604"/>
    <n v="280"/>
    <n v="107"/>
    <n v="8"/>
    <n v="1000"/>
    <x v="19"/>
    <n v="115"/>
    <x v="1"/>
  </r>
  <r>
    <d v="2025-03-27T00:00:00"/>
    <s v="Adult"/>
    <x v="21"/>
    <n v="415"/>
    <n v="108"/>
    <n v="58"/>
    <n v="3"/>
    <n v="584"/>
    <x v="19"/>
    <n v="61"/>
    <x v="1"/>
  </r>
  <r>
    <d v="2025-03-27T00:00:00"/>
    <s v="Adult"/>
    <x v="7"/>
    <n v="393"/>
    <n v="168"/>
    <n v="111"/>
    <n v="63"/>
    <n v="734"/>
    <x v="19"/>
    <n v="174"/>
    <x v="1"/>
  </r>
  <r>
    <d v="2025-03-27T00:00:00"/>
    <s v="Adult"/>
    <x v="10"/>
    <n v="172"/>
    <n v="50"/>
    <n v="18"/>
    <n v="21"/>
    <n v="261"/>
    <x v="19"/>
    <n v="39"/>
    <x v="1"/>
  </r>
  <r>
    <d v="2025-03-27T00:00:00"/>
    <s v="Adult"/>
    <x v="38"/>
    <n v="1916"/>
    <n v="438"/>
    <n v="346"/>
    <n v="163"/>
    <n v="2863"/>
    <x v="19"/>
    <n v="509"/>
    <x v="1"/>
  </r>
  <r>
    <d v="2025-03-27T00:00:00"/>
    <s v="Adult"/>
    <x v="35"/>
    <n v="1783"/>
    <n v="632"/>
    <n v="291"/>
    <n v="215"/>
    <n v="2921"/>
    <x v="19"/>
    <n v="506"/>
    <x v="1"/>
  </r>
  <r>
    <d v="2025-03-27T00:00:00"/>
    <s v="Adult"/>
    <x v="36"/>
    <n v="2445"/>
    <n v="870"/>
    <n v="403"/>
    <n v="544"/>
    <n v="4262"/>
    <x v="19"/>
    <n v="947"/>
    <x v="1"/>
  </r>
  <r>
    <d v="2025-03-27T00:00:00"/>
    <s v="Adult"/>
    <x v="37"/>
    <n v="360"/>
    <n v="34"/>
    <n v="33"/>
    <n v="5"/>
    <n v="432"/>
    <x v="19"/>
    <n v="38"/>
    <x v="1"/>
  </r>
  <r>
    <d v="2025-03-27T00:00:00"/>
    <s v="Adult"/>
    <x v="44"/>
    <n v="3441"/>
    <n v="1237"/>
    <n v="595"/>
    <n v="569"/>
    <n v="5842"/>
    <x v="19"/>
    <n v="1164"/>
    <x v="1"/>
  </r>
  <r>
    <d v="2025-03-27T00:00:00"/>
    <s v="Adult"/>
    <x v="1"/>
    <n v="660"/>
    <n v="141"/>
    <n v="14"/>
    <n v="1"/>
    <n v="817"/>
    <x v="19"/>
    <n v="15"/>
    <x v="1"/>
  </r>
  <r>
    <d v="2025-03-27T00:00:00"/>
    <s v="Adult"/>
    <x v="5"/>
    <n v="518"/>
    <n v="162"/>
    <n v="52"/>
    <n v="68"/>
    <n v="799"/>
    <x v="19"/>
    <n v="120"/>
    <x v="1"/>
  </r>
  <r>
    <d v="2025-03-27T00:00:00"/>
    <s v="Adult"/>
    <x v="45"/>
    <n v="954"/>
    <n v="249"/>
    <n v="51"/>
    <n v="24"/>
    <n v="1279"/>
    <x v="19"/>
    <n v="75"/>
    <x v="1"/>
  </r>
  <r>
    <d v="2025-03-27T00:00:00"/>
    <s v="Adult"/>
    <x v="46"/>
    <n v="2695"/>
    <n v="697"/>
    <n v="184"/>
    <n v="295"/>
    <n v="3870"/>
    <x v="19"/>
    <n v="479"/>
    <x v="1"/>
  </r>
  <r>
    <d v="2025-03-27T00:00:00"/>
    <s v="Adult"/>
    <x v="12"/>
    <n v="3000"/>
    <n v="1033"/>
    <n v="420"/>
    <n v="272"/>
    <n v="4725"/>
    <x v="19"/>
    <n v="692"/>
    <x v="1"/>
  </r>
  <r>
    <d v="2025-03-27T00:00:00"/>
    <s v="Adult"/>
    <x v="34"/>
    <n v="1834"/>
    <n v="717"/>
    <n v="384"/>
    <n v="123"/>
    <n v="3059"/>
    <x v="19"/>
    <n v="507"/>
    <x v="1"/>
  </r>
  <r>
    <d v="2025-03-27T00:00:00"/>
    <s v="Adult"/>
    <x v="42"/>
    <n v="2890"/>
    <n v="837"/>
    <n v="443"/>
    <n v="839"/>
    <n v="5009"/>
    <x v="19"/>
    <n v="1282"/>
    <x v="1"/>
  </r>
  <r>
    <d v="2025-03-27T00:00:00"/>
    <s v="Adult"/>
    <x v="24"/>
    <n v="761"/>
    <n v="99"/>
    <n v="30"/>
    <n v="24"/>
    <n v="914"/>
    <x v="19"/>
    <n v="54"/>
    <x v="1"/>
  </r>
  <r>
    <d v="2025-04-24T00:00:00"/>
    <s v="Adult"/>
    <x v="23"/>
    <n v="4831"/>
    <n v="3032"/>
    <n v="1217"/>
    <n v="609"/>
    <n v="9690"/>
    <x v="5"/>
    <n v="1826"/>
    <x v="1"/>
  </r>
  <r>
    <d v="2025-04-24T00:00:00"/>
    <s v="Adult"/>
    <x v="40"/>
    <n v="901"/>
    <n v="385"/>
    <n v="171"/>
    <n v="91"/>
    <n v="1548"/>
    <x v="5"/>
    <n v="262"/>
    <x v="1"/>
  </r>
  <r>
    <d v="2025-04-24T00:00:00"/>
    <s v="Adult"/>
    <x v="13"/>
    <n v="469"/>
    <n v="210"/>
    <n v="28"/>
    <n v="1"/>
    <n v="707"/>
    <x v="5"/>
    <n v="29"/>
    <x v="1"/>
  </r>
  <r>
    <d v="2025-04-24T00:00:00"/>
    <s v="Adult"/>
    <x v="41"/>
    <n v="6089"/>
    <n v="2835"/>
    <n v="1011"/>
    <n v="1455"/>
    <n v="11390"/>
    <x v="5"/>
    <n v="2466"/>
    <x v="1"/>
  </r>
  <r>
    <d v="2025-04-24T00:00:00"/>
    <s v="Adult"/>
    <x v="32"/>
    <n v="1639"/>
    <n v="283"/>
    <n v="72"/>
    <n v="75"/>
    <n v="2069"/>
    <x v="5"/>
    <n v="147"/>
    <x v="1"/>
  </r>
  <r>
    <d v="2025-04-24T00:00:00"/>
    <s v="Adult"/>
    <x v="4"/>
    <n v="250"/>
    <n v="116"/>
    <n v="43"/>
    <n v="39"/>
    <n v="448"/>
    <x v="5"/>
    <n v="82"/>
    <x v="1"/>
  </r>
  <r>
    <d v="2025-04-24T00:00:00"/>
    <s v="Adult"/>
    <x v="43"/>
    <n v="5949"/>
    <n v="1742"/>
    <n v="848"/>
    <n v="1874"/>
    <n v="10414"/>
    <x v="5"/>
    <n v="2722"/>
    <x v="1"/>
  </r>
  <r>
    <d v="2025-04-24T00:00:00"/>
    <s v="Adult"/>
    <x v="22"/>
    <n v="874"/>
    <n v="139"/>
    <n v="24"/>
    <n v="17"/>
    <n v="1055"/>
    <x v="5"/>
    <n v="41"/>
    <x v="1"/>
  </r>
  <r>
    <d v="2025-04-24T00:00:00"/>
    <s v="Adult"/>
    <x v="2"/>
    <n v="690"/>
    <n v="110"/>
    <n v="33"/>
    <n v="12"/>
    <n v="844"/>
    <x v="5"/>
    <n v="45"/>
    <x v="1"/>
  </r>
  <r>
    <d v="2025-04-24T00:00:00"/>
    <s v="Adult"/>
    <x v="26"/>
    <n v="565"/>
    <n v="90"/>
    <n v="18"/>
    <n v="3"/>
    <n v="676"/>
    <x v="5"/>
    <n v="21"/>
    <x v="1"/>
  </r>
  <r>
    <d v="2025-04-24T00:00:00"/>
    <s v="Adult"/>
    <x v="20"/>
    <n v="288"/>
    <n v="60"/>
    <n v="23"/>
    <n v="25"/>
    <n v="395"/>
    <x v="5"/>
    <n v="48"/>
    <x v="1"/>
  </r>
  <r>
    <d v="2025-04-24T00:00:00"/>
    <s v="Adult"/>
    <x v="29"/>
    <n v="1706"/>
    <n v="406"/>
    <n v="37"/>
    <n v="3"/>
    <n v="2151"/>
    <x v="5"/>
    <n v="40"/>
    <x v="1"/>
  </r>
  <r>
    <d v="2025-04-24T00:00:00"/>
    <s v="Adult"/>
    <x v="27"/>
    <n v="591"/>
    <n v="298"/>
    <n v="121"/>
    <n v="9"/>
    <n v="1019"/>
    <x v="5"/>
    <n v="130"/>
    <x v="1"/>
  </r>
  <r>
    <d v="2025-04-24T00:00:00"/>
    <s v="Adult"/>
    <x v="21"/>
    <n v="444"/>
    <n v="109"/>
    <n v="58"/>
    <n v="4"/>
    <n v="616"/>
    <x v="5"/>
    <n v="62"/>
    <x v="1"/>
  </r>
  <r>
    <d v="2025-04-24T00:00:00"/>
    <s v="Adult"/>
    <x v="7"/>
    <n v="413"/>
    <n v="122"/>
    <n v="58"/>
    <n v="61"/>
    <n v="654"/>
    <x v="5"/>
    <n v="119"/>
    <x v="1"/>
  </r>
  <r>
    <d v="2025-04-24T00:00:00"/>
    <s v="Adult"/>
    <x v="10"/>
    <n v="176"/>
    <n v="52"/>
    <n v="11"/>
    <n v="17"/>
    <n v="256"/>
    <x v="5"/>
    <n v="28"/>
    <x v="1"/>
  </r>
  <r>
    <d v="2025-04-24T00:00:00"/>
    <s v="Adult"/>
    <x v="38"/>
    <n v="2015"/>
    <n v="419"/>
    <n v="324"/>
    <n v="193"/>
    <n v="2951"/>
    <x v="5"/>
    <n v="517"/>
    <x v="1"/>
  </r>
  <r>
    <d v="2025-04-24T00:00:00"/>
    <s v="Adult"/>
    <x v="35"/>
    <n v="1842"/>
    <n v="704"/>
    <n v="301"/>
    <n v="231"/>
    <n v="3078"/>
    <x v="5"/>
    <n v="532"/>
    <x v="1"/>
  </r>
  <r>
    <d v="2025-04-24T00:00:00"/>
    <s v="Adult"/>
    <x v="36"/>
    <n v="2386"/>
    <n v="824"/>
    <n v="445"/>
    <n v="545"/>
    <n v="4201"/>
    <x v="5"/>
    <n v="990"/>
    <x v="1"/>
  </r>
  <r>
    <d v="2025-04-24T00:00:00"/>
    <s v="Adult"/>
    <x v="37"/>
    <n v="333"/>
    <n v="40"/>
    <n v="29"/>
    <n v="10"/>
    <n v="412"/>
    <x v="5"/>
    <n v="39"/>
    <x v="1"/>
  </r>
  <r>
    <d v="2025-04-24T00:00:00"/>
    <s v="Adult"/>
    <x v="44"/>
    <n v="3230"/>
    <n v="1177"/>
    <n v="546"/>
    <n v="481"/>
    <n v="5434"/>
    <x v="5"/>
    <n v="1027"/>
    <x v="1"/>
  </r>
  <r>
    <d v="2025-04-24T00:00:00"/>
    <s v="Adult"/>
    <x v="5"/>
    <n v="518"/>
    <n v="152"/>
    <n v="42"/>
    <n v="68"/>
    <n v="780"/>
    <x v="5"/>
    <n v="110"/>
    <x v="1"/>
  </r>
  <r>
    <d v="2025-04-24T00:00:00"/>
    <s v="Adult"/>
    <x v="45"/>
    <n v="970"/>
    <n v="264"/>
    <n v="67"/>
    <n v="22"/>
    <n v="1323"/>
    <x v="5"/>
    <n v="89"/>
    <x v="1"/>
  </r>
  <r>
    <d v="2025-04-24T00:00:00"/>
    <s v="Adult"/>
    <x v="46"/>
    <n v="2598"/>
    <n v="691"/>
    <n v="192"/>
    <n v="256"/>
    <n v="3738"/>
    <x v="5"/>
    <n v="448"/>
    <x v="1"/>
  </r>
  <r>
    <d v="2025-04-24T00:00:00"/>
    <s v="Adult"/>
    <x v="12"/>
    <n v="2766"/>
    <n v="1058"/>
    <n v="453"/>
    <n v="292"/>
    <n v="4569"/>
    <x v="5"/>
    <n v="745"/>
    <x v="1"/>
  </r>
  <r>
    <d v="2025-04-24T00:00:00"/>
    <s v="Adult"/>
    <x v="8"/>
    <n v="378"/>
    <n v="44"/>
    <n v="7"/>
    <n v="1"/>
    <n v="431"/>
    <x v="5"/>
    <n v="8"/>
    <x v="1"/>
  </r>
  <r>
    <d v="2025-04-24T00:00:00"/>
    <s v="Adult"/>
    <x v="34"/>
    <n v="2083"/>
    <n v="808"/>
    <n v="388"/>
    <n v="150"/>
    <n v="3429"/>
    <x v="5"/>
    <n v="538"/>
    <x v="1"/>
  </r>
  <r>
    <d v="2025-04-24T00:00:00"/>
    <s v="Adult"/>
    <x v="42"/>
    <n v="2759"/>
    <n v="892"/>
    <n v="426"/>
    <n v="849"/>
    <n v="4926"/>
    <x v="5"/>
    <n v="1275"/>
    <x v="1"/>
  </r>
  <r>
    <d v="2025-04-24T00:00:00"/>
    <s v="Adult"/>
    <x v="24"/>
    <n v="696"/>
    <n v="152"/>
    <n v="27"/>
    <n v="24"/>
    <n v="899"/>
    <x v="5"/>
    <n v="51"/>
    <x v="1"/>
  </r>
  <r>
    <d v="2025-05-29T00:00:00"/>
    <s v="Adult"/>
    <x v="23"/>
    <n v="4923"/>
    <n v="2659"/>
    <n v="1254"/>
    <n v="618"/>
    <n v="9453"/>
    <x v="20"/>
    <n v="1872"/>
    <x v="1"/>
  </r>
  <r>
    <d v="2025-05-29T00:00:00"/>
    <s v="Adult"/>
    <x v="40"/>
    <n v="948"/>
    <n v="386"/>
    <n v="147"/>
    <n v="78"/>
    <n v="1559"/>
    <x v="20"/>
    <n v="225"/>
    <x v="1"/>
  </r>
  <r>
    <d v="2025-05-29T00:00:00"/>
    <s v="Adult"/>
    <x v="13"/>
    <n v="488"/>
    <n v="178"/>
    <n v="38"/>
    <n v="4"/>
    <n v="709"/>
    <x v="20"/>
    <n v="42"/>
    <x v="1"/>
  </r>
  <r>
    <d v="2025-05-29T00:00:00"/>
    <s v="Adult"/>
    <x v="41"/>
    <n v="6076"/>
    <n v="3005"/>
    <n v="1078"/>
    <n v="1477"/>
    <n v="11636"/>
    <x v="20"/>
    <n v="2555"/>
    <x v="1"/>
  </r>
  <r>
    <d v="2025-05-29T00:00:00"/>
    <s v="Adult"/>
    <x v="32"/>
    <n v="1744"/>
    <n v="346"/>
    <n v="96"/>
    <n v="79"/>
    <n v="2264"/>
    <x v="20"/>
    <n v="175"/>
    <x v="1"/>
  </r>
  <r>
    <d v="2025-05-29T00:00:00"/>
    <s v="Adult"/>
    <x v="4"/>
    <n v="231"/>
    <n v="109"/>
    <n v="41"/>
    <n v="29"/>
    <n v="410"/>
    <x v="20"/>
    <n v="70"/>
    <x v="1"/>
  </r>
  <r>
    <d v="2025-05-29T00:00:00"/>
    <s v="Adult"/>
    <x v="43"/>
    <n v="5827"/>
    <n v="1678"/>
    <n v="859"/>
    <n v="1524"/>
    <n v="9888"/>
    <x v="20"/>
    <n v="2383"/>
    <x v="1"/>
  </r>
  <r>
    <d v="2025-05-29T00:00:00"/>
    <s v="Adult"/>
    <x v="22"/>
    <n v="948"/>
    <n v="148"/>
    <n v="27"/>
    <n v="22"/>
    <n v="1145"/>
    <x v="20"/>
    <n v="49"/>
    <x v="1"/>
  </r>
  <r>
    <d v="2025-05-29T00:00:00"/>
    <s v="Adult"/>
    <x v="2"/>
    <n v="741"/>
    <n v="130"/>
    <n v="31"/>
    <n v="11"/>
    <n v="913"/>
    <x v="20"/>
    <n v="42"/>
    <x v="1"/>
  </r>
  <r>
    <d v="2025-05-29T00:00:00"/>
    <s v="Adult"/>
    <x v="20"/>
    <n v="236"/>
    <n v="62"/>
    <n v="21"/>
    <n v="19"/>
    <n v="339"/>
    <x v="20"/>
    <n v="40"/>
    <x v="1"/>
  </r>
  <r>
    <d v="2025-05-29T00:00:00"/>
    <s v="Adult"/>
    <x v="15"/>
    <n v="221"/>
    <n v="100"/>
    <n v="11"/>
    <n v="3"/>
    <n v="335"/>
    <x v="20"/>
    <n v="14"/>
    <x v="1"/>
  </r>
  <r>
    <d v="2025-05-29T00:00:00"/>
    <s v="Adult"/>
    <x v="29"/>
    <n v="1573"/>
    <n v="452"/>
    <n v="29"/>
    <n v="4"/>
    <n v="2058"/>
    <x v="20"/>
    <n v="33"/>
    <x v="1"/>
  </r>
  <r>
    <d v="2025-05-29T00:00:00"/>
    <s v="Adult"/>
    <x v="27"/>
    <n v="595"/>
    <n v="278"/>
    <n v="138"/>
    <n v="21"/>
    <n v="1031"/>
    <x v="20"/>
    <n v="159"/>
    <x v="1"/>
  </r>
  <r>
    <d v="2025-05-29T00:00:00"/>
    <s v="Adult"/>
    <x v="21"/>
    <n v="438"/>
    <n v="105"/>
    <n v="66"/>
    <n v="4"/>
    <n v="613"/>
    <x v="20"/>
    <n v="70"/>
    <x v="1"/>
  </r>
  <r>
    <d v="2025-05-29T00:00:00"/>
    <s v="Adult"/>
    <x v="7"/>
    <n v="394"/>
    <n v="132"/>
    <n v="57"/>
    <n v="69"/>
    <n v="652"/>
    <x v="20"/>
    <n v="126"/>
    <x v="1"/>
  </r>
  <r>
    <d v="2025-05-29T00:00:00"/>
    <s v="Adult"/>
    <x v="10"/>
    <n v="387"/>
    <n v="72"/>
    <n v="23"/>
    <n v="20"/>
    <n v="502"/>
    <x v="20"/>
    <n v="43"/>
    <x v="1"/>
  </r>
  <r>
    <d v="2025-05-29T00:00:00"/>
    <s v="Adult"/>
    <x v="38"/>
    <n v="1942"/>
    <n v="418"/>
    <n v="331"/>
    <n v="212"/>
    <n v="2903"/>
    <x v="20"/>
    <n v="543"/>
    <x v="1"/>
  </r>
  <r>
    <d v="2025-05-29T00:00:00"/>
    <s v="Adult"/>
    <x v="35"/>
    <n v="1891"/>
    <n v="729"/>
    <n v="334"/>
    <n v="214"/>
    <n v="3168"/>
    <x v="20"/>
    <n v="548"/>
    <x v="1"/>
  </r>
  <r>
    <d v="2025-05-29T00:00:00"/>
    <s v="Adult"/>
    <x v="36"/>
    <n v="2565"/>
    <n v="752"/>
    <n v="439"/>
    <n v="547"/>
    <n v="4303"/>
    <x v="20"/>
    <n v="986"/>
    <x v="1"/>
  </r>
  <r>
    <d v="2025-05-29T00:00:00"/>
    <s v="Adult"/>
    <x v="37"/>
    <n v="330"/>
    <n v="26"/>
    <n v="21"/>
    <n v="10"/>
    <n v="387"/>
    <x v="20"/>
    <n v="31"/>
    <x v="1"/>
  </r>
  <r>
    <d v="2025-05-29T00:00:00"/>
    <s v="Adult"/>
    <x v="44"/>
    <n v="2876"/>
    <n v="1165"/>
    <n v="529"/>
    <n v="493"/>
    <n v="5062"/>
    <x v="20"/>
    <n v="1022"/>
    <x v="1"/>
  </r>
  <r>
    <d v="2025-05-29T00:00:00"/>
    <s v="Adult"/>
    <x v="1"/>
    <n v="749"/>
    <n v="131"/>
    <n v="17"/>
    <n v="7"/>
    <n v="904"/>
    <x v="20"/>
    <n v="24"/>
    <x v="1"/>
  </r>
  <r>
    <d v="2025-05-29T00:00:00"/>
    <s v="Adult"/>
    <x v="5"/>
    <n v="504"/>
    <n v="142"/>
    <n v="57"/>
    <n v="64"/>
    <n v="766"/>
    <x v="20"/>
    <n v="121"/>
    <x v="1"/>
  </r>
  <r>
    <d v="2025-05-29T00:00:00"/>
    <s v="Adult"/>
    <x v="45"/>
    <n v="883"/>
    <n v="243"/>
    <n v="92"/>
    <n v="12"/>
    <n v="1230"/>
    <x v="20"/>
    <n v="104"/>
    <x v="1"/>
  </r>
  <r>
    <d v="2025-05-29T00:00:00"/>
    <s v="Adult"/>
    <x v="46"/>
    <n v="2478"/>
    <n v="744"/>
    <n v="175"/>
    <n v="240"/>
    <n v="3636"/>
    <x v="20"/>
    <n v="415"/>
    <x v="1"/>
  </r>
  <r>
    <d v="2025-05-29T00:00:00"/>
    <s v="Adult"/>
    <x v="12"/>
    <n v="2946"/>
    <n v="1038"/>
    <n v="509"/>
    <n v="321"/>
    <n v="4814"/>
    <x v="20"/>
    <n v="830"/>
    <x v="1"/>
  </r>
  <r>
    <d v="2025-05-29T00:00:00"/>
    <s v="Adult"/>
    <x v="34"/>
    <n v="1857"/>
    <n v="967"/>
    <n v="439"/>
    <n v="199"/>
    <n v="3462"/>
    <x v="20"/>
    <n v="638"/>
    <x v="1"/>
  </r>
  <r>
    <d v="2025-05-29T00:00:00"/>
    <s v="Adult"/>
    <x v="42"/>
    <n v="2793"/>
    <n v="832"/>
    <n v="407"/>
    <n v="850"/>
    <n v="4882"/>
    <x v="20"/>
    <n v="1257"/>
    <x v="1"/>
  </r>
  <r>
    <d v="2025-05-29T00:00:00"/>
    <s v="Adult"/>
    <x v="24"/>
    <n v="711"/>
    <n v="173"/>
    <n v="26"/>
    <n v="24"/>
    <n v="934"/>
    <x v="20"/>
    <n v="50"/>
    <x v="1"/>
  </r>
  <r>
    <d v="2025-06-26T00:00:00"/>
    <s v="Adult"/>
    <x v="23"/>
    <n v="4849"/>
    <n v="2580"/>
    <n v="1384"/>
    <n v="674"/>
    <n v="9487"/>
    <x v="21"/>
    <n v="2058"/>
    <x v="1"/>
  </r>
  <r>
    <d v="2025-06-26T00:00:00"/>
    <s v="Adult"/>
    <x v="40"/>
    <n v="947"/>
    <n v="363"/>
    <n v="131"/>
    <n v="53"/>
    <n v="1494"/>
    <x v="21"/>
    <n v="184"/>
    <x v="1"/>
  </r>
  <r>
    <d v="2025-06-26T00:00:00"/>
    <s v="Adult"/>
    <x v="41"/>
    <n v="5891"/>
    <n v="3143"/>
    <n v="1282"/>
    <n v="1487"/>
    <n v="11803"/>
    <x v="21"/>
    <n v="2769"/>
    <x v="1"/>
  </r>
  <r>
    <d v="2025-06-26T00:00:00"/>
    <s v="Adult"/>
    <x v="32"/>
    <n v="1622"/>
    <n v="347"/>
    <n v="84"/>
    <n v="73"/>
    <n v="2126"/>
    <x v="21"/>
    <n v="157"/>
    <x v="1"/>
  </r>
  <r>
    <d v="2025-06-26T00:00:00"/>
    <s v="Adult"/>
    <x v="4"/>
    <n v="214"/>
    <n v="104"/>
    <n v="41"/>
    <n v="26"/>
    <n v="385"/>
    <x v="21"/>
    <n v="67"/>
    <x v="1"/>
  </r>
  <r>
    <d v="2025-06-26T00:00:00"/>
    <s v="Adult"/>
    <x v="43"/>
    <n v="5799"/>
    <n v="1673"/>
    <n v="912"/>
    <n v="1500"/>
    <n v="9884"/>
    <x v="21"/>
    <n v="2412"/>
    <x v="1"/>
  </r>
  <r>
    <d v="2025-06-26T00:00:00"/>
    <s v="Adult"/>
    <x v="22"/>
    <n v="905"/>
    <n v="128"/>
    <n v="30"/>
    <n v="19"/>
    <n v="1082"/>
    <x v="21"/>
    <n v="49"/>
    <x v="1"/>
  </r>
  <r>
    <d v="2025-06-26T00:00:00"/>
    <s v="Adult"/>
    <x v="2"/>
    <n v="710"/>
    <n v="172"/>
    <n v="38"/>
    <n v="12"/>
    <n v="931"/>
    <x v="21"/>
    <n v="50"/>
    <x v="1"/>
  </r>
  <r>
    <d v="2025-06-26T00:00:00"/>
    <s v="Adult"/>
    <x v="20"/>
    <n v="194"/>
    <n v="48"/>
    <n v="14"/>
    <n v="10"/>
    <n v="267"/>
    <x v="21"/>
    <n v="24"/>
    <x v="1"/>
  </r>
  <r>
    <d v="2025-06-26T00:00:00"/>
    <s v="Adult"/>
    <x v="29"/>
    <n v="1790"/>
    <n v="477"/>
    <n v="41"/>
    <n v="1"/>
    <n v="2309"/>
    <x v="21"/>
    <n v="42"/>
    <x v="1"/>
  </r>
  <r>
    <d v="2025-06-26T00:00:00"/>
    <s v="Adult"/>
    <x v="27"/>
    <n v="568"/>
    <n v="307"/>
    <n v="142"/>
    <n v="30"/>
    <n v="1047"/>
    <x v="21"/>
    <n v="172"/>
    <x v="1"/>
  </r>
  <r>
    <d v="2025-06-26T00:00:00"/>
    <s v="Adult"/>
    <x v="21"/>
    <n v="391"/>
    <n v="98"/>
    <n v="58"/>
    <n v="3"/>
    <n v="550"/>
    <x v="21"/>
    <n v="61"/>
    <x v="1"/>
  </r>
  <r>
    <d v="2025-06-26T00:00:00"/>
    <s v="Adult"/>
    <x v="7"/>
    <n v="395"/>
    <n v="108"/>
    <n v="46"/>
    <n v="71"/>
    <n v="621"/>
    <x v="21"/>
    <n v="117"/>
    <x v="1"/>
  </r>
  <r>
    <d v="2025-06-26T00:00:00"/>
    <s v="Adult"/>
    <x v="10"/>
    <n v="399"/>
    <n v="67"/>
    <n v="24"/>
    <n v="16"/>
    <n v="506"/>
    <x v="21"/>
    <n v="40"/>
    <x v="1"/>
  </r>
  <r>
    <d v="2025-06-26T00:00:00"/>
    <s v="Adult"/>
    <x v="38"/>
    <n v="2111"/>
    <n v="434"/>
    <n v="316"/>
    <n v="237"/>
    <n v="3098"/>
    <x v="21"/>
    <n v="553"/>
    <x v="1"/>
  </r>
  <r>
    <d v="2025-06-26T00:00:00"/>
    <s v="Adult"/>
    <x v="35"/>
    <n v="1844"/>
    <n v="684"/>
    <n v="330"/>
    <n v="241"/>
    <n v="3099"/>
    <x v="21"/>
    <n v="571"/>
    <x v="1"/>
  </r>
  <r>
    <d v="2025-06-26T00:00:00"/>
    <s v="Adult"/>
    <x v="36"/>
    <n v="2726"/>
    <n v="727"/>
    <n v="456"/>
    <n v="564"/>
    <n v="4473"/>
    <x v="21"/>
    <n v="1020"/>
    <x v="1"/>
  </r>
  <r>
    <d v="2025-06-26T00:00:00"/>
    <s v="Adult"/>
    <x v="37"/>
    <n v="323"/>
    <n v="34"/>
    <n v="15"/>
    <n v="18"/>
    <n v="390"/>
    <x v="21"/>
    <n v="33"/>
    <x v="1"/>
  </r>
  <r>
    <d v="2025-06-26T00:00:00"/>
    <s v="Adult"/>
    <x v="44"/>
    <n v="2892"/>
    <n v="1205"/>
    <n v="571"/>
    <n v="516"/>
    <n v="5184"/>
    <x v="21"/>
    <n v="1087"/>
    <x v="1"/>
  </r>
  <r>
    <d v="2025-06-26T00:00:00"/>
    <s v="Adult"/>
    <x v="1"/>
    <n v="720"/>
    <n v="126"/>
    <n v="8"/>
    <n v="5"/>
    <n v="859"/>
    <x v="21"/>
    <n v="13"/>
    <x v="1"/>
  </r>
  <r>
    <d v="2025-06-26T00:00:00"/>
    <s v="Adult"/>
    <x v="5"/>
    <n v="575"/>
    <n v="148"/>
    <n v="58"/>
    <n v="65"/>
    <n v="846"/>
    <x v="21"/>
    <n v="123"/>
    <x v="1"/>
  </r>
  <r>
    <d v="2025-06-26T00:00:00"/>
    <s v="Adult"/>
    <x v="45"/>
    <n v="800"/>
    <n v="276"/>
    <n v="92"/>
    <n v="19"/>
    <n v="1187"/>
    <x v="21"/>
    <n v="111"/>
    <x v="1"/>
  </r>
  <r>
    <d v="2025-06-26T00:00:00"/>
    <s v="Adult"/>
    <x v="46"/>
    <n v="2501"/>
    <n v="765"/>
    <n v="203"/>
    <n v="222"/>
    <n v="3690"/>
    <x v="21"/>
    <n v="425"/>
    <x v="1"/>
  </r>
  <r>
    <d v="2025-06-26T00:00:00"/>
    <s v="Adult"/>
    <x v="12"/>
    <n v="2978"/>
    <n v="1039"/>
    <n v="530"/>
    <n v="343"/>
    <n v="4890"/>
    <x v="21"/>
    <n v="873"/>
    <x v="1"/>
  </r>
  <r>
    <d v="2025-06-26T00:00:00"/>
    <s v="Adult"/>
    <x v="8"/>
    <n v="396"/>
    <n v="42"/>
    <n v="15"/>
    <n v="1"/>
    <n v="454"/>
    <x v="21"/>
    <n v="16"/>
    <x v="1"/>
  </r>
  <r>
    <d v="2025-06-26T00:00:00"/>
    <s v="Adult"/>
    <x v="34"/>
    <n v="1770"/>
    <n v="929"/>
    <n v="450"/>
    <n v="232"/>
    <n v="3381"/>
    <x v="21"/>
    <n v="682"/>
    <x v="1"/>
  </r>
  <r>
    <d v="2025-06-26T00:00:00"/>
    <s v="Adult"/>
    <x v="42"/>
    <n v="2801"/>
    <n v="827"/>
    <n v="368"/>
    <n v="839"/>
    <n v="4835"/>
    <x v="21"/>
    <n v="1207"/>
    <x v="1"/>
  </r>
  <r>
    <d v="2025-06-26T00:00:00"/>
    <s v="Adult"/>
    <x v="24"/>
    <n v="691"/>
    <n v="222"/>
    <n v="23"/>
    <n v="20"/>
    <n v="956"/>
    <x v="21"/>
    <n v="43"/>
    <x v="1"/>
  </r>
  <r>
    <d v="2025-07-31T00:00:00"/>
    <s v="Adult"/>
    <x v="23"/>
    <n v="5134"/>
    <n v="2392"/>
    <n v="1417"/>
    <n v="762"/>
    <n v="9705"/>
    <x v="22"/>
    <n v="2179"/>
    <x v="1"/>
  </r>
  <r>
    <d v="2025-07-31T00:00:00"/>
    <s v="Adult"/>
    <x v="40"/>
    <n v="1000"/>
    <n v="362"/>
    <n v="121"/>
    <n v="61"/>
    <n v="1543"/>
    <x v="22"/>
    <n v="182"/>
    <x v="1"/>
  </r>
  <r>
    <d v="2025-07-31T00:00:00"/>
    <s v="Adult"/>
    <x v="41"/>
    <n v="5920"/>
    <n v="2761"/>
    <n v="1351"/>
    <n v="1535"/>
    <n v="11567"/>
    <x v="22"/>
    <n v="2886"/>
    <x v="1"/>
  </r>
  <r>
    <d v="2025-07-31T00:00:00"/>
    <s v="Adult"/>
    <x v="32"/>
    <n v="1544"/>
    <n v="296"/>
    <n v="69"/>
    <n v="67"/>
    <n v="1975"/>
    <x v="22"/>
    <n v="136"/>
    <x v="1"/>
  </r>
  <r>
    <d v="2025-07-31T00:00:00"/>
    <s v="Adult"/>
    <x v="4"/>
    <n v="267"/>
    <n v="90"/>
    <n v="26"/>
    <n v="12"/>
    <n v="396"/>
    <x v="22"/>
    <n v="38"/>
    <x v="1"/>
  </r>
  <r>
    <d v="2025-07-31T00:00:00"/>
    <s v="Adult"/>
    <x v="43"/>
    <n v="5882"/>
    <n v="1600"/>
    <n v="950"/>
    <n v="1454"/>
    <n v="9886"/>
    <x v="22"/>
    <n v="2404"/>
    <x v="1"/>
  </r>
  <r>
    <d v="2025-07-31T00:00:00"/>
    <s v="Adult"/>
    <x v="22"/>
    <n v="958"/>
    <n v="114"/>
    <n v="21"/>
    <n v="16"/>
    <n v="1109"/>
    <x v="22"/>
    <n v="37"/>
    <x v="1"/>
  </r>
  <r>
    <d v="2025-07-31T00:00:00"/>
    <s v="Adult"/>
    <x v="2"/>
    <n v="740"/>
    <n v="166"/>
    <n v="30"/>
    <n v="12"/>
    <n v="948"/>
    <x v="22"/>
    <n v="42"/>
    <x v="1"/>
  </r>
  <r>
    <d v="2025-07-31T00:00:00"/>
    <s v="Adult"/>
    <x v="20"/>
    <n v="251"/>
    <n v="52"/>
    <n v="14"/>
    <n v="11"/>
    <n v="327"/>
    <x v="22"/>
    <n v="25"/>
    <x v="1"/>
  </r>
  <r>
    <d v="2025-07-31T00:00:00"/>
    <s v="Adult"/>
    <x v="29"/>
    <n v="1921"/>
    <n v="446"/>
    <n v="49"/>
    <n v="1"/>
    <n v="2417"/>
    <x v="22"/>
    <n v="50"/>
    <x v="1"/>
  </r>
  <r>
    <d v="2025-07-31T00:00:00"/>
    <s v="Adult"/>
    <x v="27"/>
    <n v="553"/>
    <n v="282"/>
    <n v="139"/>
    <n v="51"/>
    <n v="1025"/>
    <x v="22"/>
    <n v="190"/>
    <x v="1"/>
  </r>
  <r>
    <d v="2025-07-31T00:00:00"/>
    <s v="Adult"/>
    <x v="21"/>
    <n v="370"/>
    <n v="105"/>
    <n v="59"/>
    <n v="9"/>
    <n v="543"/>
    <x v="22"/>
    <n v="68"/>
    <x v="1"/>
  </r>
  <r>
    <d v="2025-07-31T00:00:00"/>
    <s v="Adult"/>
    <x v="7"/>
    <n v="345"/>
    <n v="71"/>
    <n v="43"/>
    <n v="79"/>
    <n v="538"/>
    <x v="22"/>
    <n v="122"/>
    <x v="1"/>
  </r>
  <r>
    <d v="2025-07-31T00:00:00"/>
    <s v="Adult"/>
    <x v="10"/>
    <n v="412"/>
    <n v="66"/>
    <n v="16"/>
    <n v="16"/>
    <n v="510"/>
    <x v="22"/>
    <n v="32"/>
    <x v="1"/>
  </r>
  <r>
    <d v="2025-07-31T00:00:00"/>
    <s v="Adult"/>
    <x v="38"/>
    <n v="2145"/>
    <n v="400"/>
    <n v="292"/>
    <n v="242"/>
    <n v="3079"/>
    <x v="22"/>
    <n v="534"/>
    <x v="1"/>
  </r>
  <r>
    <d v="2025-07-31T00:00:00"/>
    <s v="Adult"/>
    <x v="35"/>
    <n v="1774"/>
    <n v="538"/>
    <n v="304"/>
    <n v="268"/>
    <n v="2883"/>
    <x v="22"/>
    <n v="572"/>
    <x v="1"/>
  </r>
  <r>
    <d v="2025-07-31T00:00:00"/>
    <s v="Adult"/>
    <x v="36"/>
    <n v="2699"/>
    <n v="739"/>
    <n v="490"/>
    <n v="549"/>
    <n v="4476"/>
    <x v="22"/>
    <n v="1039"/>
    <x v="1"/>
  </r>
  <r>
    <d v="2025-07-31T00:00:00"/>
    <s v="Adult"/>
    <x v="37"/>
    <n v="291"/>
    <n v="47"/>
    <n v="13"/>
    <n v="19"/>
    <n v="370"/>
    <x v="22"/>
    <n v="32"/>
    <x v="1"/>
  </r>
  <r>
    <d v="2025-07-31T00:00:00"/>
    <s v="Adult"/>
    <x v="44"/>
    <n v="3345"/>
    <n v="1098"/>
    <n v="589"/>
    <n v="486"/>
    <n v="5518"/>
    <x v="22"/>
    <n v="1075"/>
    <x v="1"/>
  </r>
  <r>
    <d v="2025-07-31T00:00:00"/>
    <s v="Adult"/>
    <x v="5"/>
    <n v="645"/>
    <n v="122"/>
    <n v="57"/>
    <n v="49"/>
    <n v="872"/>
    <x v="22"/>
    <n v="106"/>
    <x v="1"/>
  </r>
  <r>
    <d v="2025-07-31T00:00:00"/>
    <s v="Adult"/>
    <x v="45"/>
    <n v="941"/>
    <n v="275"/>
    <n v="113"/>
    <n v="23"/>
    <n v="1352"/>
    <x v="22"/>
    <n v="136"/>
    <x v="1"/>
  </r>
  <r>
    <d v="2025-07-31T00:00:00"/>
    <s v="Adult"/>
    <x v="46"/>
    <n v="2573"/>
    <n v="707"/>
    <n v="219"/>
    <n v="185"/>
    <n v="3685"/>
    <x v="22"/>
    <n v="404"/>
    <x v="1"/>
  </r>
  <r>
    <d v="2025-07-31T00:00:00"/>
    <s v="Adult"/>
    <x v="12"/>
    <n v="3076"/>
    <n v="960"/>
    <n v="489"/>
    <n v="308"/>
    <n v="4833"/>
    <x v="22"/>
    <n v="797"/>
    <x v="1"/>
  </r>
  <r>
    <d v="2025-07-31T00:00:00"/>
    <s v="Adult"/>
    <x v="34"/>
    <n v="1690"/>
    <n v="889"/>
    <n v="434"/>
    <n v="248"/>
    <n v="3261"/>
    <x v="22"/>
    <n v="682"/>
    <x v="1"/>
  </r>
  <r>
    <d v="2025-07-31T00:00:00"/>
    <s v="Adult"/>
    <x v="42"/>
    <n v="3067"/>
    <n v="723"/>
    <n v="379"/>
    <n v="818"/>
    <n v="4988"/>
    <x v="22"/>
    <n v="1197"/>
    <x v="1"/>
  </r>
  <r>
    <d v="2025-07-31T00:00:00"/>
    <s v="Adult"/>
    <x v="24"/>
    <n v="777"/>
    <n v="238"/>
    <n v="24"/>
    <n v="25"/>
    <n v="1064"/>
    <x v="22"/>
    <n v="49"/>
    <x v="1"/>
  </r>
  <r>
    <d v="2025-08-28T00:00:00"/>
    <s v="Adult"/>
    <x v="23"/>
    <n v="5080"/>
    <n v="2511"/>
    <n v="1359"/>
    <n v="816"/>
    <n v="9766"/>
    <x v="23"/>
    <n v="2175"/>
    <x v="1"/>
  </r>
  <r>
    <d v="2025-08-28T00:00:00"/>
    <s v="Adult"/>
    <x v="40"/>
    <n v="939"/>
    <n v="341"/>
    <n v="113"/>
    <n v="61"/>
    <n v="1454"/>
    <x v="23"/>
    <n v="174"/>
    <x v="1"/>
  </r>
  <r>
    <d v="2025-08-28T00:00:00"/>
    <s v="Adult"/>
    <x v="41"/>
    <n v="5570"/>
    <n v="2859"/>
    <n v="1391"/>
    <n v="1588"/>
    <n v="11409"/>
    <x v="23"/>
    <n v="2979"/>
    <x v="1"/>
  </r>
  <r>
    <d v="2025-08-28T00:00:00"/>
    <s v="Adult"/>
    <x v="31"/>
    <n v="538"/>
    <n v="205"/>
    <n v="14"/>
    <n v="3"/>
    <n v="760"/>
    <x v="23"/>
    <n v="17"/>
    <x v="1"/>
  </r>
  <r>
    <d v="2025-08-28T00:00:00"/>
    <s v="Adult"/>
    <x v="32"/>
    <n v="1413"/>
    <n v="280"/>
    <n v="66"/>
    <n v="68"/>
    <n v="1828"/>
    <x v="23"/>
    <n v="134"/>
    <x v="1"/>
  </r>
  <r>
    <d v="2025-08-28T00:00:00"/>
    <s v="Adult"/>
    <x v="43"/>
    <n v="5845"/>
    <n v="1620"/>
    <n v="885"/>
    <n v="1438"/>
    <n v="9788"/>
    <x v="23"/>
    <n v="2323"/>
    <x v="1"/>
  </r>
  <r>
    <d v="2025-08-28T00:00:00"/>
    <s v="Adult"/>
    <x v="22"/>
    <n v="975"/>
    <n v="137"/>
    <n v="32"/>
    <n v="14"/>
    <n v="1158"/>
    <x v="23"/>
    <n v="46"/>
    <x v="1"/>
  </r>
  <r>
    <d v="2025-08-28T00:00:00"/>
    <s v="Adult"/>
    <x v="2"/>
    <n v="683"/>
    <n v="177"/>
    <n v="28"/>
    <n v="13"/>
    <n v="901"/>
    <x v="23"/>
    <n v="41"/>
    <x v="1"/>
  </r>
  <r>
    <d v="2025-08-28T00:00:00"/>
    <s v="Adult"/>
    <x v="20"/>
    <n v="208"/>
    <n v="56"/>
    <n v="19"/>
    <n v="12"/>
    <n v="294"/>
    <x v="23"/>
    <n v="31"/>
    <x v="1"/>
  </r>
  <r>
    <d v="2025-08-28T00:00:00"/>
    <s v="Adult"/>
    <x v="18"/>
    <n v="1179"/>
    <n v="500"/>
    <n v="155"/>
    <n v="12"/>
    <n v="1846"/>
    <x v="23"/>
    <n v="167"/>
    <x v="1"/>
  </r>
  <r>
    <d v="2025-08-28T00:00:00"/>
    <s v="Adult"/>
    <x v="27"/>
    <n v="553"/>
    <n v="299"/>
    <n v="144"/>
    <n v="72"/>
    <n v="1068"/>
    <x v="23"/>
    <n v="216"/>
    <x v="1"/>
  </r>
  <r>
    <d v="2025-08-28T00:00:00"/>
    <s v="Adult"/>
    <x v="21"/>
    <n v="412"/>
    <n v="84"/>
    <n v="61"/>
    <n v="7"/>
    <n v="563"/>
    <x v="23"/>
    <n v="68"/>
    <x v="1"/>
  </r>
  <r>
    <d v="2025-08-28T00:00:00"/>
    <s v="Adult"/>
    <x v="7"/>
    <n v="386"/>
    <n v="103"/>
    <n v="39"/>
    <n v="80"/>
    <n v="608"/>
    <x v="23"/>
    <n v="119"/>
    <x v="1"/>
  </r>
  <r>
    <d v="2025-08-28T00:00:00"/>
    <s v="Adult"/>
    <x v="10"/>
    <n v="430"/>
    <n v="73"/>
    <n v="6"/>
    <n v="10"/>
    <n v="519"/>
    <x v="23"/>
    <n v="16"/>
    <x v="1"/>
  </r>
  <r>
    <d v="2025-08-28T00:00:00"/>
    <s v="Adult"/>
    <x v="38"/>
    <n v="2214"/>
    <n v="402"/>
    <n v="267"/>
    <n v="260"/>
    <n v="3143"/>
    <x v="23"/>
    <n v="527"/>
    <x v="1"/>
  </r>
  <r>
    <d v="2025-08-28T00:00:00"/>
    <s v="Adult"/>
    <x v="35"/>
    <n v="1611"/>
    <n v="522"/>
    <n v="305"/>
    <n v="286"/>
    <n v="2723"/>
    <x v="23"/>
    <n v="591"/>
    <x v="1"/>
  </r>
  <r>
    <d v="2025-08-28T00:00:00"/>
    <s v="Adult"/>
    <x v="36"/>
    <n v="2774"/>
    <n v="755"/>
    <n v="474"/>
    <n v="532"/>
    <n v="4535"/>
    <x v="23"/>
    <n v="1006"/>
    <x v="1"/>
  </r>
  <r>
    <d v="2025-08-28T00:00:00"/>
    <s v="Adult"/>
    <x v="37"/>
    <n v="277"/>
    <n v="44"/>
    <n v="10"/>
    <n v="21"/>
    <n v="351"/>
    <x v="23"/>
    <n v="31"/>
    <x v="1"/>
  </r>
  <r>
    <d v="2025-08-28T00:00:00"/>
    <s v="Adult"/>
    <x v="44"/>
    <n v="3434"/>
    <n v="1145"/>
    <n v="559"/>
    <n v="498"/>
    <n v="5636"/>
    <x v="23"/>
    <n v="1057"/>
    <x v="1"/>
  </r>
  <r>
    <d v="2025-08-28T00:00:00"/>
    <s v="Adult"/>
    <x v="1"/>
    <n v="684"/>
    <n v="149"/>
    <n v="3"/>
    <n v="3"/>
    <n v="838"/>
    <x v="23"/>
    <n v="6"/>
    <x v="1"/>
  </r>
  <r>
    <d v="2025-08-28T00:00:00"/>
    <s v="Adult"/>
    <x v="5"/>
    <n v="601"/>
    <n v="126"/>
    <n v="67"/>
    <n v="42"/>
    <n v="835"/>
    <x v="23"/>
    <n v="109"/>
    <x v="1"/>
  </r>
  <r>
    <d v="2025-08-28T00:00:00"/>
    <s v="Adult"/>
    <x v="45"/>
    <n v="793"/>
    <n v="268"/>
    <n v="105"/>
    <n v="25"/>
    <n v="1191"/>
    <x v="23"/>
    <n v="130"/>
    <x v="1"/>
  </r>
  <r>
    <d v="2025-08-28T00:00:00"/>
    <s v="Adult"/>
    <x v="46"/>
    <n v="2504"/>
    <n v="741"/>
    <n v="231"/>
    <n v="171"/>
    <n v="3648"/>
    <x v="23"/>
    <n v="402"/>
    <x v="1"/>
  </r>
  <r>
    <d v="2025-08-28T00:00:00"/>
    <s v="Adult"/>
    <x v="12"/>
    <n v="3035"/>
    <n v="1029"/>
    <n v="481"/>
    <n v="293"/>
    <n v="4837"/>
    <x v="23"/>
    <n v="774"/>
    <x v="1"/>
  </r>
  <r>
    <d v="2025-08-28T00:00:00"/>
    <s v="Adult"/>
    <x v="34"/>
    <n v="1584"/>
    <n v="961"/>
    <n v="400"/>
    <n v="269"/>
    <n v="3214"/>
    <x v="23"/>
    <n v="669"/>
    <x v="1"/>
  </r>
  <r>
    <d v="2025-08-28T00:00:00"/>
    <s v="Adult"/>
    <x v="42"/>
    <n v="3005"/>
    <n v="768"/>
    <n v="350"/>
    <n v="818"/>
    <n v="4940"/>
    <x v="23"/>
    <n v="1168"/>
    <x v="1"/>
  </r>
  <r>
    <d v="2025-08-28T00:00:00"/>
    <s v="Adult"/>
    <x v="24"/>
    <n v="693"/>
    <n v="249"/>
    <n v="25"/>
    <n v="25"/>
    <n v="991"/>
    <x v="23"/>
    <n v="50"/>
    <x v="1"/>
  </r>
  <r>
    <d v="2025-09-25T00:00:00"/>
    <s v="Adult"/>
    <x v="23"/>
    <n v="5233"/>
    <n v="2538"/>
    <n v="1362"/>
    <n v="868"/>
    <n v="10001"/>
    <x v="24"/>
    <n v="2230"/>
    <x v="1"/>
  </r>
  <r>
    <d v="2025-09-25T00:00:00"/>
    <s v="Adult"/>
    <x v="40"/>
    <n v="974"/>
    <n v="325"/>
    <n v="123"/>
    <n v="64"/>
    <n v="1486"/>
    <x v="24"/>
    <n v="187"/>
    <x v="1"/>
  </r>
  <r>
    <d v="2025-09-25T00:00:00"/>
    <s v="Adult"/>
    <x v="6"/>
    <n v="536"/>
    <n v="79"/>
    <n v="6"/>
    <n v="1"/>
    <n v="622"/>
    <x v="24"/>
    <n v="7"/>
    <x v="1"/>
  </r>
  <r>
    <d v="2025-09-25T00:00:00"/>
    <s v="Adult"/>
    <x v="41"/>
    <n v="5540"/>
    <n v="2913"/>
    <n v="1543"/>
    <n v="1634"/>
    <n v="11631"/>
    <x v="24"/>
    <n v="3177"/>
    <x v="1"/>
  </r>
  <r>
    <d v="2025-09-25T00:00:00"/>
    <s v="Adult"/>
    <x v="32"/>
    <n v="1508"/>
    <n v="304"/>
    <n v="81"/>
    <n v="70"/>
    <n v="1963"/>
    <x v="24"/>
    <n v="151"/>
    <x v="1"/>
  </r>
  <r>
    <d v="2025-09-25T00:00:00"/>
    <s v="Adult"/>
    <x v="43"/>
    <n v="5928"/>
    <n v="1695"/>
    <n v="866"/>
    <n v="1405"/>
    <n v="9894"/>
    <x v="24"/>
    <n v="2271"/>
    <x v="1"/>
  </r>
  <r>
    <d v="2025-09-25T00:00:00"/>
    <s v="Adult"/>
    <x v="22"/>
    <n v="967"/>
    <n v="143"/>
    <n v="32"/>
    <n v="8"/>
    <n v="1150"/>
    <x v="24"/>
    <n v="40"/>
    <x v="1"/>
  </r>
  <r>
    <d v="2025-09-25T00:00:00"/>
    <s v="Adult"/>
    <x v="2"/>
    <n v="707"/>
    <n v="192"/>
    <n v="16"/>
    <n v="15"/>
    <n v="931"/>
    <x v="24"/>
    <n v="31"/>
    <x v="1"/>
  </r>
  <r>
    <d v="2025-09-25T00:00:00"/>
    <s v="Adult"/>
    <x v="20"/>
    <n v="222"/>
    <n v="51"/>
    <n v="26"/>
    <n v="15"/>
    <n v="313"/>
    <x v="24"/>
    <n v="41"/>
    <x v="1"/>
  </r>
  <r>
    <d v="2025-09-25T00:00:00"/>
    <s v="Adult"/>
    <x v="18"/>
    <n v="1177"/>
    <n v="500"/>
    <n v="179"/>
    <n v="17"/>
    <n v="1874"/>
    <x v="24"/>
    <n v="196"/>
    <x v="1"/>
  </r>
  <r>
    <d v="2025-09-25T00:00:00"/>
    <s v="Adult"/>
    <x v="14"/>
    <n v="219"/>
    <n v="87"/>
    <n v="48"/>
    <n v="64"/>
    <n v="418"/>
    <x v="24"/>
    <n v="112"/>
    <x v="1"/>
  </r>
  <r>
    <d v="2025-09-25T00:00:00"/>
    <s v="Adult"/>
    <x v="29"/>
    <n v="1622"/>
    <n v="389"/>
    <n v="60"/>
    <n v="1"/>
    <n v="2072"/>
    <x v="24"/>
    <n v="61"/>
    <x v="1"/>
  </r>
  <r>
    <d v="2025-09-25T00:00:00"/>
    <s v="Adult"/>
    <x v="11"/>
    <n v="1126"/>
    <n v="404"/>
    <n v="200"/>
    <n v="4"/>
    <n v="1734"/>
    <x v="24"/>
    <n v="204"/>
    <x v="1"/>
  </r>
  <r>
    <d v="2025-09-25T00:00:00"/>
    <s v="Adult"/>
    <x v="27"/>
    <n v="591"/>
    <n v="284"/>
    <n v="150"/>
    <n v="77"/>
    <n v="1103"/>
    <x v="24"/>
    <n v="227"/>
    <x v="1"/>
  </r>
  <r>
    <d v="2025-09-25T00:00:00"/>
    <s v="Adult"/>
    <x v="21"/>
    <n v="397"/>
    <n v="92"/>
    <n v="53"/>
    <n v="8"/>
    <n v="550"/>
    <x v="24"/>
    <n v="61"/>
    <x v="1"/>
  </r>
  <r>
    <d v="2025-09-25T00:00:00"/>
    <s v="Adult"/>
    <x v="7"/>
    <n v="382"/>
    <n v="102"/>
    <n v="38"/>
    <n v="77"/>
    <n v="600"/>
    <x v="24"/>
    <n v="115"/>
    <x v="1"/>
  </r>
  <r>
    <d v="2025-09-25T00:00:00"/>
    <s v="Adult"/>
    <x v="10"/>
    <n v="426"/>
    <n v="69"/>
    <n v="9"/>
    <n v="9"/>
    <n v="513"/>
    <x v="24"/>
    <n v="18"/>
    <x v="1"/>
  </r>
  <r>
    <d v="2025-09-25T00:00:00"/>
    <s v="Adult"/>
    <x v="38"/>
    <n v="2192"/>
    <n v="436"/>
    <n v="228"/>
    <n v="273"/>
    <n v="3129"/>
    <x v="24"/>
    <n v="501"/>
    <x v="1"/>
  </r>
  <r>
    <d v="2025-09-25T00:00:00"/>
    <s v="Adult"/>
    <x v="35"/>
    <n v="1604"/>
    <n v="510"/>
    <n v="304"/>
    <n v="303"/>
    <n v="2721"/>
    <x v="24"/>
    <n v="607"/>
    <x v="1"/>
  </r>
  <r>
    <d v="2025-09-25T00:00:00"/>
    <s v="Adult"/>
    <x v="36"/>
    <n v="2713"/>
    <n v="731"/>
    <n v="482"/>
    <n v="534"/>
    <n v="4460"/>
    <x v="24"/>
    <n v="1016"/>
    <x v="1"/>
  </r>
  <r>
    <d v="2025-09-25T00:00:00"/>
    <s v="Adult"/>
    <x v="37"/>
    <n v="346"/>
    <n v="52"/>
    <n v="10"/>
    <n v="21"/>
    <n v="429"/>
    <x v="24"/>
    <n v="31"/>
    <x v="1"/>
  </r>
  <r>
    <d v="2025-09-25T00:00:00"/>
    <s v="Adult"/>
    <x v="44"/>
    <n v="3605"/>
    <n v="1183"/>
    <n v="508"/>
    <n v="484"/>
    <n v="5780"/>
    <x v="24"/>
    <n v="992"/>
    <x v="1"/>
  </r>
  <r>
    <d v="2025-09-25T00:00:00"/>
    <s v="Adult"/>
    <x v="5"/>
    <n v="581"/>
    <n v="125"/>
    <n v="67"/>
    <n v="37"/>
    <n v="810"/>
    <x v="24"/>
    <n v="104"/>
    <x v="1"/>
  </r>
  <r>
    <d v="2025-09-25T00:00:00"/>
    <s v="Adult"/>
    <x v="45"/>
    <n v="835"/>
    <n v="234"/>
    <n v="90"/>
    <n v="13"/>
    <n v="1173"/>
    <x v="24"/>
    <n v="103"/>
    <x v="1"/>
  </r>
  <r>
    <d v="2025-09-25T00:00:00"/>
    <s v="Adult"/>
    <x v="46"/>
    <n v="2526"/>
    <n v="735"/>
    <n v="260"/>
    <n v="179"/>
    <n v="3700"/>
    <x v="24"/>
    <n v="439"/>
    <x v="1"/>
  </r>
  <r>
    <d v="2025-09-25T00:00:00"/>
    <s v="Adult"/>
    <x v="12"/>
    <n v="3071"/>
    <n v="941"/>
    <n v="470"/>
    <n v="327"/>
    <n v="4809"/>
    <x v="24"/>
    <n v="797"/>
    <x v="1"/>
  </r>
  <r>
    <d v="2025-09-25T00:00:00"/>
    <s v="Adult"/>
    <x v="34"/>
    <n v="1672"/>
    <n v="995"/>
    <n v="381"/>
    <n v="286"/>
    <n v="3334"/>
    <x v="24"/>
    <n v="667"/>
    <x v="1"/>
  </r>
  <r>
    <d v="2025-09-25T00:00:00"/>
    <s v="Adult"/>
    <x v="42"/>
    <n v="2981"/>
    <n v="827"/>
    <n v="363"/>
    <n v="818"/>
    <n v="4989"/>
    <x v="24"/>
    <n v="1181"/>
    <x v="1"/>
  </r>
  <r>
    <d v="2025-09-25T00:00:00"/>
    <s v="Adult"/>
    <x v="24"/>
    <n v="694"/>
    <n v="288"/>
    <n v="18"/>
    <n v="20"/>
    <n v="1020"/>
    <x v="24"/>
    <n v="38"/>
    <x v="1"/>
  </r>
  <r>
    <d v="2025-10-30T00:00:00"/>
    <s v="Adult"/>
    <x v="23"/>
    <n v="5398"/>
    <n v="2926"/>
    <n v="1593"/>
    <n v="1310"/>
    <n v="11228"/>
    <x v="25"/>
    <n v="2903"/>
    <x v="1"/>
  </r>
  <r>
    <d v="2025-10-30T00:00:00"/>
    <s v="Adult"/>
    <x v="40"/>
    <n v="966"/>
    <n v="317"/>
    <n v="152"/>
    <n v="60"/>
    <n v="1495"/>
    <x v="25"/>
    <n v="212"/>
    <x v="1"/>
  </r>
  <r>
    <d v="2025-10-30T00:00:00"/>
    <s v="Adult"/>
    <x v="41"/>
    <n v="5333"/>
    <n v="2829"/>
    <n v="1651"/>
    <n v="1601"/>
    <n v="11414"/>
    <x v="25"/>
    <n v="3252"/>
    <x v="1"/>
  </r>
  <r>
    <d v="2025-10-30T00:00:00"/>
    <s v="Adult"/>
    <x v="32"/>
    <n v="1828"/>
    <n v="299"/>
    <n v="85"/>
    <n v="56"/>
    <n v="2268"/>
    <x v="25"/>
    <n v="141"/>
    <x v="1"/>
  </r>
  <r>
    <d v="2025-10-30T00:00:00"/>
    <s v="Adult"/>
    <x v="4"/>
    <n v="296"/>
    <n v="83"/>
    <n v="8"/>
    <n v="5"/>
    <n v="393"/>
    <x v="25"/>
    <n v="13"/>
    <x v="1"/>
  </r>
  <r>
    <d v="2025-10-30T00:00:00"/>
    <s v="Adult"/>
    <x v="43"/>
    <n v="6042"/>
    <n v="1769"/>
    <n v="875"/>
    <n v="1397"/>
    <n v="10084"/>
    <x v="25"/>
    <n v="2272"/>
    <x v="1"/>
  </r>
  <r>
    <d v="2025-10-30T00:00:00"/>
    <s v="Adult"/>
    <x v="22"/>
    <n v="960"/>
    <n v="185"/>
    <n v="29"/>
    <n v="9"/>
    <n v="1184"/>
    <x v="25"/>
    <n v="38"/>
    <x v="1"/>
  </r>
  <r>
    <d v="2025-10-30T00:00:00"/>
    <s v="Adult"/>
    <x v="2"/>
    <n v="716"/>
    <n v="237"/>
    <n v="28"/>
    <n v="14"/>
    <n v="994"/>
    <x v="25"/>
    <n v="42"/>
    <x v="1"/>
  </r>
  <r>
    <d v="2025-10-30T00:00:00"/>
    <s v="Adult"/>
    <x v="20"/>
    <n v="197"/>
    <n v="46"/>
    <n v="32"/>
    <n v="13"/>
    <n v="288"/>
    <x v="25"/>
    <n v="45"/>
    <x v="1"/>
  </r>
  <r>
    <d v="2025-10-30T00:00:00"/>
    <s v="Adult"/>
    <x v="18"/>
    <n v="1224"/>
    <n v="551"/>
    <n v="217"/>
    <n v="37"/>
    <n v="2030"/>
    <x v="25"/>
    <n v="254"/>
    <x v="1"/>
  </r>
  <r>
    <d v="2025-10-30T00:00:00"/>
    <s v="Adult"/>
    <x v="14"/>
    <n v="233"/>
    <n v="98"/>
    <n v="45"/>
    <n v="66"/>
    <n v="442"/>
    <x v="25"/>
    <n v="111"/>
    <x v="1"/>
  </r>
  <r>
    <d v="2025-10-30T00:00:00"/>
    <s v="Adult"/>
    <x v="29"/>
    <n v="1696"/>
    <n v="379"/>
    <n v="74"/>
    <n v="3"/>
    <n v="2152"/>
    <x v="25"/>
    <n v="77"/>
    <x v="1"/>
  </r>
  <r>
    <d v="2025-10-30T00:00:00"/>
    <s v="Adult"/>
    <x v="11"/>
    <n v="968"/>
    <n v="486"/>
    <n v="194"/>
    <n v="5"/>
    <n v="1652"/>
    <x v="25"/>
    <n v="199"/>
    <x v="1"/>
  </r>
  <r>
    <d v="2025-10-30T00:00:00"/>
    <s v="Adult"/>
    <x v="27"/>
    <n v="586"/>
    <n v="247"/>
    <n v="144"/>
    <n v="83"/>
    <n v="1060"/>
    <x v="25"/>
    <n v="227"/>
    <x v="1"/>
  </r>
  <r>
    <d v="2025-10-30T00:00:00"/>
    <s v="Adult"/>
    <x v="0"/>
    <n v="584"/>
    <n v="84"/>
    <n v="11"/>
    <n v="3"/>
    <n v="682"/>
    <x v="25"/>
    <n v="14"/>
    <x v="1"/>
  </r>
  <r>
    <d v="2025-10-30T00:00:00"/>
    <s v="Adult"/>
    <x v="21"/>
    <n v="438"/>
    <n v="66"/>
    <n v="39"/>
    <n v="13"/>
    <n v="556"/>
    <x v="25"/>
    <n v="52"/>
    <x v="1"/>
  </r>
  <r>
    <d v="2025-10-30T00:00:00"/>
    <s v="Adult"/>
    <x v="7"/>
    <n v="399"/>
    <n v="92"/>
    <n v="44"/>
    <n v="82"/>
    <n v="616"/>
    <x v="25"/>
    <n v="126"/>
    <x v="1"/>
  </r>
  <r>
    <d v="2025-10-30T00:00:00"/>
    <s v="Adult"/>
    <x v="10"/>
    <n v="395"/>
    <n v="69"/>
    <n v="11"/>
    <n v="10"/>
    <n v="485"/>
    <x v="25"/>
    <n v="21"/>
    <x v="1"/>
  </r>
  <r>
    <d v="2025-10-30T00:00:00"/>
    <s v="Adult"/>
    <x v="38"/>
    <n v="2209"/>
    <n v="490"/>
    <n v="210"/>
    <n v="284"/>
    <n v="3193"/>
    <x v="25"/>
    <n v="494"/>
    <x v="1"/>
  </r>
  <r>
    <d v="2025-10-30T00:00:00"/>
    <s v="Adult"/>
    <x v="35"/>
    <n v="1700"/>
    <n v="508"/>
    <n v="312"/>
    <n v="313"/>
    <n v="2832"/>
    <x v="25"/>
    <n v="625"/>
    <x v="1"/>
  </r>
  <r>
    <d v="2025-10-30T00:00:00"/>
    <s v="Adult"/>
    <x v="36"/>
    <n v="3010"/>
    <n v="774"/>
    <n v="458"/>
    <n v="548"/>
    <n v="4791"/>
    <x v="25"/>
    <n v="1006"/>
    <x v="1"/>
  </r>
  <r>
    <d v="2025-10-30T00:00:00"/>
    <s v="Adult"/>
    <x v="37"/>
    <n v="371"/>
    <n v="54"/>
    <n v="9"/>
    <n v="24"/>
    <n v="459"/>
    <x v="25"/>
    <n v="33"/>
    <x v="1"/>
  </r>
  <r>
    <d v="2025-10-30T00:00:00"/>
    <s v="Adult"/>
    <x v="44"/>
    <n v="3916"/>
    <n v="1221"/>
    <n v="501"/>
    <n v="491"/>
    <n v="6129"/>
    <x v="25"/>
    <n v="992"/>
    <x v="1"/>
  </r>
  <r>
    <d v="2025-10-30T00:00:00"/>
    <s v="Adult"/>
    <x v="5"/>
    <n v="704"/>
    <n v="130"/>
    <n v="57"/>
    <n v="33"/>
    <n v="924"/>
    <x v="25"/>
    <n v="90"/>
    <x v="1"/>
  </r>
  <r>
    <d v="2025-10-30T00:00:00"/>
    <s v="Adult"/>
    <x v="45"/>
    <n v="748"/>
    <n v="205"/>
    <n v="100"/>
    <n v="16"/>
    <n v="1069"/>
    <x v="25"/>
    <n v="116"/>
    <x v="1"/>
  </r>
  <r>
    <d v="2025-10-30T00:00:00"/>
    <s v="Adult"/>
    <x v="46"/>
    <n v="2769"/>
    <n v="651"/>
    <n v="283"/>
    <n v="201"/>
    <n v="3904"/>
    <x v="25"/>
    <n v="484"/>
    <x v="1"/>
  </r>
  <r>
    <d v="2025-10-30T00:00:00"/>
    <s v="Adult"/>
    <x v="12"/>
    <n v="3175"/>
    <n v="918"/>
    <n v="516"/>
    <n v="342"/>
    <n v="4950"/>
    <x v="25"/>
    <n v="858"/>
    <x v="1"/>
  </r>
  <r>
    <d v="2025-10-30T00:00:00"/>
    <s v="Adult"/>
    <x v="34"/>
    <n v="1655"/>
    <n v="981"/>
    <n v="380"/>
    <n v="301"/>
    <n v="3317"/>
    <x v="25"/>
    <n v="681"/>
    <x v="1"/>
  </r>
  <r>
    <d v="2025-10-30T00:00:00"/>
    <s v="Adult"/>
    <x v="42"/>
    <n v="3138"/>
    <n v="885"/>
    <n v="415"/>
    <n v="801"/>
    <n v="5239"/>
    <x v="25"/>
    <n v="1216"/>
    <x v="1"/>
  </r>
  <r>
    <d v="2025-10-30T00:00:00"/>
    <s v="Adult"/>
    <x v="24"/>
    <n v="800"/>
    <n v="307"/>
    <n v="29"/>
    <n v="22"/>
    <n v="1158"/>
    <x v="25"/>
    <n v="51"/>
    <x v="1"/>
  </r>
  <r>
    <d v="2025-11-27T00:00:00"/>
    <s v="Adult"/>
    <x v="23"/>
    <n v="5420"/>
    <n v="3028"/>
    <n v="1625"/>
    <n v="1145"/>
    <n v="11218"/>
    <x v="26"/>
    <n v="2770"/>
    <x v="1"/>
  </r>
  <r>
    <d v="2025-11-27T00:00:00"/>
    <s v="Adult"/>
    <x v="40"/>
    <n v="973"/>
    <n v="331"/>
    <n v="188"/>
    <n v="54"/>
    <n v="1546"/>
    <x v="26"/>
    <n v="242"/>
    <x v="1"/>
  </r>
  <r>
    <d v="2025-11-27T00:00:00"/>
    <s v="Adult"/>
    <x v="41"/>
    <n v="5474"/>
    <n v="2695"/>
    <n v="1615"/>
    <n v="1650"/>
    <n v="11435"/>
    <x v="26"/>
    <n v="3265"/>
    <x v="1"/>
  </r>
  <r>
    <d v="2025-11-27T00:00:00"/>
    <s v="Adult"/>
    <x v="32"/>
    <n v="1921"/>
    <n v="309"/>
    <n v="86"/>
    <n v="41"/>
    <n v="2358"/>
    <x v="26"/>
    <n v="127"/>
    <x v="1"/>
  </r>
  <r>
    <d v="2025-11-27T00:00:00"/>
    <s v="Adult"/>
    <x v="43"/>
    <n v="6236"/>
    <n v="1847"/>
    <n v="854"/>
    <n v="1393"/>
    <n v="10330"/>
    <x v="26"/>
    <n v="2247"/>
    <x v="1"/>
  </r>
  <r>
    <d v="2025-11-27T00:00:00"/>
    <s v="Adult"/>
    <x v="2"/>
    <n v="752"/>
    <n v="266"/>
    <n v="33"/>
    <n v="9"/>
    <n v="1061"/>
    <x v="26"/>
    <n v="42"/>
    <x v="1"/>
  </r>
  <r>
    <d v="2025-11-27T00:00:00"/>
    <s v="Adult"/>
    <x v="20"/>
    <n v="220"/>
    <n v="36"/>
    <n v="38"/>
    <n v="9"/>
    <n v="304"/>
    <x v="26"/>
    <n v="47"/>
    <x v="1"/>
  </r>
  <r>
    <d v="2025-11-27T00:00:00"/>
    <s v="Adult"/>
    <x v="18"/>
    <n v="1273"/>
    <n v="561"/>
    <n v="257"/>
    <n v="44"/>
    <n v="2134"/>
    <x v="26"/>
    <n v="301"/>
    <x v="1"/>
  </r>
  <r>
    <d v="2025-11-27T00:00:00"/>
    <s v="Adult"/>
    <x v="14"/>
    <n v="287"/>
    <n v="103"/>
    <n v="48"/>
    <n v="71"/>
    <n v="509"/>
    <x v="26"/>
    <n v="119"/>
    <x v="1"/>
  </r>
  <r>
    <d v="2025-11-27T00:00:00"/>
    <s v="Adult"/>
    <x v="29"/>
    <n v="1565"/>
    <n v="373"/>
    <n v="73"/>
    <n v="9"/>
    <n v="2020"/>
    <x v="26"/>
    <n v="82"/>
    <x v="1"/>
  </r>
  <r>
    <d v="2025-11-27T00:00:00"/>
    <s v="Adult"/>
    <x v="11"/>
    <n v="1022"/>
    <n v="462"/>
    <n v="198"/>
    <n v="20"/>
    <n v="1702"/>
    <x v="26"/>
    <n v="218"/>
    <x v="1"/>
  </r>
  <r>
    <d v="2025-11-27T00:00:00"/>
    <s v="Adult"/>
    <x v="27"/>
    <n v="643"/>
    <n v="211"/>
    <n v="88"/>
    <n v="32"/>
    <n v="975"/>
    <x v="26"/>
    <n v="120"/>
    <x v="1"/>
  </r>
  <r>
    <d v="2025-11-27T00:00:00"/>
    <s v="Adult"/>
    <x v="21"/>
    <n v="392"/>
    <n v="68"/>
    <n v="39"/>
    <n v="15"/>
    <n v="514"/>
    <x v="26"/>
    <n v="54"/>
    <x v="1"/>
  </r>
  <r>
    <d v="2025-11-27T00:00:00"/>
    <s v="Adult"/>
    <x v="7"/>
    <n v="457"/>
    <n v="89"/>
    <n v="45"/>
    <n v="83"/>
    <n v="674"/>
    <x v="26"/>
    <n v="128"/>
    <x v="1"/>
  </r>
  <r>
    <d v="2025-11-27T00:00:00"/>
    <s v="Adult"/>
    <x v="10"/>
    <n v="452"/>
    <n v="96"/>
    <n v="9"/>
    <n v="9"/>
    <n v="566"/>
    <x v="26"/>
    <n v="18"/>
    <x v="1"/>
  </r>
  <r>
    <d v="2025-11-27T00:00:00"/>
    <s v="Adult"/>
    <x v="38"/>
    <n v="2360"/>
    <n v="578"/>
    <n v="228"/>
    <n v="275"/>
    <n v="3441"/>
    <x v="26"/>
    <n v="503"/>
    <x v="1"/>
  </r>
  <r>
    <d v="2025-11-27T00:00:00"/>
    <s v="Adult"/>
    <x v="35"/>
    <n v="1834"/>
    <n v="537"/>
    <n v="305"/>
    <n v="315"/>
    <n v="2991"/>
    <x v="26"/>
    <n v="620"/>
    <x v="1"/>
  </r>
  <r>
    <d v="2025-11-27T00:00:00"/>
    <s v="Adult"/>
    <x v="36"/>
    <n v="2944"/>
    <n v="840"/>
    <n v="362"/>
    <n v="471"/>
    <n v="4617"/>
    <x v="26"/>
    <n v="833"/>
    <x v="1"/>
  </r>
  <r>
    <d v="2025-11-27T00:00:00"/>
    <s v="Adult"/>
    <x v="37"/>
    <n v="365"/>
    <n v="64"/>
    <n v="7"/>
    <n v="21"/>
    <n v="457"/>
    <x v="26"/>
    <n v="28"/>
    <x v="1"/>
  </r>
  <r>
    <d v="2025-11-27T00:00:00"/>
    <s v="Adult"/>
    <x v="44"/>
    <n v="4077"/>
    <n v="1306"/>
    <n v="463"/>
    <n v="456"/>
    <n v="6302"/>
    <x v="26"/>
    <n v="919"/>
    <x v="1"/>
  </r>
  <r>
    <d v="2025-11-27T00:00:00"/>
    <s v="Adult"/>
    <x v="5"/>
    <n v="603"/>
    <n v="121"/>
    <n v="48"/>
    <n v="27"/>
    <n v="799"/>
    <x v="26"/>
    <n v="75"/>
    <x v="1"/>
  </r>
  <r>
    <d v="2025-11-27T00:00:00"/>
    <s v="Adult"/>
    <x v="45"/>
    <n v="875"/>
    <n v="203"/>
    <n v="83"/>
    <n v="22"/>
    <n v="1183"/>
    <x v="26"/>
    <n v="105"/>
    <x v="1"/>
  </r>
  <r>
    <d v="2025-11-27T00:00:00"/>
    <s v="Adult"/>
    <x v="46"/>
    <n v="2916"/>
    <n v="636"/>
    <n v="314"/>
    <n v="197"/>
    <n v="4062"/>
    <x v="26"/>
    <n v="511"/>
    <x v="1"/>
  </r>
  <r>
    <d v="2025-11-27T00:00:00"/>
    <s v="Adult"/>
    <x v="12"/>
    <n v="3249"/>
    <n v="935"/>
    <n v="541"/>
    <n v="362"/>
    <n v="5086"/>
    <x v="26"/>
    <n v="903"/>
    <x v="1"/>
  </r>
  <r>
    <d v="2025-11-27T00:00:00"/>
    <s v="Adult"/>
    <x v="34"/>
    <n v="1628"/>
    <n v="871"/>
    <n v="492"/>
    <n v="236"/>
    <n v="3226"/>
    <x v="26"/>
    <n v="728"/>
    <x v="1"/>
  </r>
  <r>
    <d v="2025-11-27T00:00:00"/>
    <s v="Adult"/>
    <x v="42"/>
    <n v="3194"/>
    <n v="957"/>
    <n v="413"/>
    <n v="775"/>
    <n v="5338"/>
    <x v="26"/>
    <n v="1188"/>
    <x v="1"/>
  </r>
  <r>
    <d v="2025-11-27T00:00:00"/>
    <s v="Adult"/>
    <x v="24"/>
    <n v="769"/>
    <n v="311"/>
    <n v="50"/>
    <n v="24"/>
    <n v="1154"/>
    <x v="26"/>
    <n v="74"/>
    <x v="1"/>
  </r>
  <r>
    <d v="2025-12-18T00:00:00"/>
    <s v="Adult"/>
    <x v="23"/>
    <n v="5752"/>
    <n v="2771"/>
    <n v="1509"/>
    <n v="1025"/>
    <n v="11057"/>
    <x v="27"/>
    <n v="2534"/>
    <x v="1"/>
  </r>
  <r>
    <d v="2025-12-18T00:00:00"/>
    <s v="Adult"/>
    <x v="40"/>
    <n v="988"/>
    <n v="347"/>
    <n v="200"/>
    <n v="47"/>
    <n v="1581"/>
    <x v="27"/>
    <n v="247"/>
    <x v="1"/>
  </r>
  <r>
    <d v="2025-12-18T00:00:00"/>
    <s v="Adult"/>
    <x v="6"/>
    <n v="592"/>
    <n v="83"/>
    <n v="3"/>
    <n v="3"/>
    <n v="681"/>
    <x v="27"/>
    <n v="6"/>
    <x v="1"/>
  </r>
  <r>
    <d v="2025-12-18T00:00:00"/>
    <s v="Adult"/>
    <x v="41"/>
    <n v="6158"/>
    <n v="2508"/>
    <n v="1664"/>
    <n v="1672"/>
    <n v="12003"/>
    <x v="27"/>
    <n v="3336"/>
    <x v="1"/>
  </r>
  <r>
    <d v="2025-12-18T00:00:00"/>
    <s v="Adult"/>
    <x v="32"/>
    <n v="2155"/>
    <n v="252"/>
    <n v="41"/>
    <n v="29"/>
    <n v="2478"/>
    <x v="27"/>
    <n v="70"/>
    <x v="1"/>
  </r>
  <r>
    <d v="2025-12-18T00:00:00"/>
    <s v="Adult"/>
    <x v="4"/>
    <n v="334"/>
    <n v="68"/>
    <n v="1"/>
    <n v="1"/>
    <n v="405"/>
    <x v="27"/>
    <n v="2"/>
    <x v="1"/>
  </r>
  <r>
    <d v="2025-12-18T00:00:00"/>
    <s v="Adult"/>
    <x v="43"/>
    <n v="6135"/>
    <n v="1929"/>
    <n v="877"/>
    <n v="1413"/>
    <n v="10353"/>
    <x v="27"/>
    <n v="2290"/>
    <x v="1"/>
  </r>
  <r>
    <d v="2025-12-18T00:00:00"/>
    <s v="Adult"/>
    <x v="22"/>
    <n v="1027"/>
    <n v="180"/>
    <n v="18"/>
    <n v="4"/>
    <n v="1228"/>
    <x v="27"/>
    <n v="22"/>
    <x v="1"/>
  </r>
  <r>
    <d v="2025-12-18T00:00:00"/>
    <s v="Adult"/>
    <x v="2"/>
    <n v="818"/>
    <n v="266"/>
    <n v="31"/>
    <n v="5"/>
    <n v="1119"/>
    <x v="27"/>
    <n v="36"/>
    <x v="1"/>
  </r>
  <r>
    <d v="2025-12-18T00:00:00"/>
    <s v="Adult"/>
    <x v="20"/>
    <n v="255"/>
    <n v="42"/>
    <n v="30"/>
    <n v="11"/>
    <n v="338"/>
    <x v="27"/>
    <n v="41"/>
    <x v="1"/>
  </r>
  <r>
    <d v="2025-12-18T00:00:00"/>
    <s v="Adult"/>
    <x v="18"/>
    <n v="1317"/>
    <n v="548"/>
    <n v="239"/>
    <n v="51"/>
    <n v="2155"/>
    <x v="27"/>
    <n v="290"/>
    <x v="1"/>
  </r>
  <r>
    <d v="2025-12-18T00:00:00"/>
    <s v="Adult"/>
    <x v="14"/>
    <n v="313"/>
    <n v="109"/>
    <n v="52"/>
    <n v="70"/>
    <n v="544"/>
    <x v="27"/>
    <n v="122"/>
    <x v="1"/>
  </r>
  <r>
    <d v="2025-12-18T00:00:00"/>
    <s v="Adult"/>
    <x v="29"/>
    <n v="1694"/>
    <n v="372"/>
    <n v="66"/>
    <n v="6"/>
    <n v="2138"/>
    <x v="27"/>
    <n v="72"/>
    <x v="1"/>
  </r>
  <r>
    <d v="2025-12-18T00:00:00"/>
    <s v="Adult"/>
    <x v="11"/>
    <n v="1132"/>
    <n v="442"/>
    <n v="187"/>
    <n v="3"/>
    <n v="1763"/>
    <x v="27"/>
    <n v="190"/>
    <x v="1"/>
  </r>
  <r>
    <d v="2025-12-18T00:00:00"/>
    <s v="Adult"/>
    <x v="27"/>
    <n v="674"/>
    <n v="217"/>
    <n v="85"/>
    <n v="21"/>
    <n v="998"/>
    <x v="27"/>
    <n v="106"/>
    <x v="1"/>
  </r>
  <r>
    <d v="2025-12-18T00:00:00"/>
    <s v="Adult"/>
    <x v="21"/>
    <n v="442"/>
    <n v="69"/>
    <n v="43"/>
    <n v="13"/>
    <n v="567"/>
    <x v="27"/>
    <n v="56"/>
    <x v="1"/>
  </r>
  <r>
    <d v="2025-12-18T00:00:00"/>
    <s v="Adult"/>
    <x v="7"/>
    <n v="516"/>
    <n v="114"/>
    <n v="47"/>
    <n v="71"/>
    <n v="747"/>
    <x v="27"/>
    <n v="118"/>
    <x v="1"/>
  </r>
  <r>
    <d v="2025-12-18T00:00:00"/>
    <s v="Adult"/>
    <x v="10"/>
    <n v="476"/>
    <n v="103"/>
    <n v="9"/>
    <n v="8"/>
    <n v="596"/>
    <x v="27"/>
    <n v="17"/>
    <x v="1"/>
  </r>
  <r>
    <d v="2025-12-18T00:00:00"/>
    <s v="Adult"/>
    <x v="38"/>
    <n v="2525"/>
    <n v="607"/>
    <n v="230"/>
    <n v="264"/>
    <n v="3626"/>
    <x v="27"/>
    <n v="494"/>
    <x v="1"/>
  </r>
  <r>
    <d v="2025-12-18T00:00:00"/>
    <s v="Adult"/>
    <x v="35"/>
    <n v="1998"/>
    <n v="534"/>
    <n v="316"/>
    <n v="278"/>
    <n v="3126"/>
    <x v="27"/>
    <n v="594"/>
    <x v="1"/>
  </r>
  <r>
    <d v="2025-12-18T00:00:00"/>
    <s v="Adult"/>
    <x v="36"/>
    <n v="3162"/>
    <n v="853"/>
    <n v="358"/>
    <n v="458"/>
    <n v="4829"/>
    <x v="27"/>
    <n v="816"/>
    <x v="1"/>
  </r>
  <r>
    <d v="2025-12-18T00:00:00"/>
    <s v="Adult"/>
    <x v="44"/>
    <n v="4063"/>
    <n v="1234"/>
    <n v="381"/>
    <n v="407"/>
    <n v="6085"/>
    <x v="27"/>
    <n v="788"/>
    <x v="1"/>
  </r>
  <r>
    <d v="2025-12-18T00:00:00"/>
    <s v="Adult"/>
    <x v="5"/>
    <n v="447"/>
    <n v="109"/>
    <n v="34"/>
    <n v="18"/>
    <n v="608"/>
    <x v="27"/>
    <n v="52"/>
    <x v="1"/>
  </r>
  <r>
    <d v="2025-12-18T00:00:00"/>
    <s v="Adult"/>
    <x v="45"/>
    <n v="966"/>
    <n v="219"/>
    <n v="92"/>
    <n v="30"/>
    <n v="1306"/>
    <x v="27"/>
    <n v="122"/>
    <x v="1"/>
  </r>
  <r>
    <d v="2025-12-18T00:00:00"/>
    <s v="Adult"/>
    <x v="46"/>
    <n v="3038"/>
    <n v="628"/>
    <n v="347"/>
    <n v="196"/>
    <n v="4210"/>
    <x v="27"/>
    <n v="543"/>
    <x v="1"/>
  </r>
  <r>
    <d v="2025-12-18T00:00:00"/>
    <s v="Adult"/>
    <x v="12"/>
    <n v="3320"/>
    <n v="936"/>
    <n v="544"/>
    <n v="377"/>
    <n v="5178"/>
    <x v="27"/>
    <n v="921"/>
    <x v="1"/>
  </r>
  <r>
    <d v="2025-12-18T00:00:00"/>
    <s v="Adult"/>
    <x v="34"/>
    <n v="1656"/>
    <n v="885"/>
    <n v="497"/>
    <n v="245"/>
    <n v="3284"/>
    <x v="27"/>
    <n v="742"/>
    <x v="1"/>
  </r>
  <r>
    <d v="2025-12-18T00:00:00"/>
    <s v="Adult"/>
    <x v="42"/>
    <n v="3360"/>
    <n v="1006"/>
    <n v="433"/>
    <n v="786"/>
    <n v="5584"/>
    <x v="27"/>
    <n v="1219"/>
    <x v="1"/>
  </r>
  <r>
    <d v="2025-12-18T00:00:00"/>
    <s v="Adult"/>
    <x v="24"/>
    <n v="762"/>
    <n v="180"/>
    <n v="45"/>
    <n v="26"/>
    <n v="1013"/>
    <x v="27"/>
    <n v="71"/>
    <x v="1"/>
  </r>
  <r>
    <d v="2026-01-29T00:00:00"/>
    <s v="Adult"/>
    <x v="23"/>
    <n v="5434"/>
    <n v="3130"/>
    <n v="1577"/>
    <n v="1322"/>
    <n v="11462"/>
    <x v="6"/>
    <n v="2899"/>
    <x v="1"/>
  </r>
  <r>
    <d v="2026-01-29T00:00:00"/>
    <s v="Adult"/>
    <x v="40"/>
    <n v="985"/>
    <n v="410"/>
    <n v="203"/>
    <n v="59"/>
    <n v="1657"/>
    <x v="6"/>
    <n v="262"/>
    <x v="1"/>
  </r>
  <r>
    <d v="2026-01-29T00:00:00"/>
    <s v="Adult"/>
    <x v="6"/>
    <n v="693"/>
    <n v="102"/>
    <n v="5"/>
    <n v="1"/>
    <n v="801"/>
    <x v="6"/>
    <n v="6"/>
    <x v="1"/>
  </r>
  <r>
    <d v="2026-01-29T00:00:00"/>
    <s v="Adult"/>
    <x v="41"/>
    <n v="6580"/>
    <n v="2729"/>
    <n v="1671"/>
    <n v="1864"/>
    <n v="12844"/>
    <x v="6"/>
    <n v="3535"/>
    <x v="1"/>
  </r>
  <r>
    <d v="2026-01-29T00:00:00"/>
    <s v="Adult"/>
    <x v="32"/>
    <n v="2549"/>
    <n v="379"/>
    <n v="104"/>
    <n v="58"/>
    <n v="3089"/>
    <x v="6"/>
    <n v="162"/>
    <x v="1"/>
  </r>
  <r>
    <d v="2026-01-29T00:00:00"/>
    <s v="Adult"/>
    <x v="43"/>
    <n v="5757"/>
    <n v="2241"/>
    <n v="894"/>
    <n v="1468"/>
    <n v="10360"/>
    <x v="6"/>
    <n v="2362"/>
    <x v="1"/>
  </r>
  <r>
    <d v="2026-01-29T00:00:00"/>
    <s v="Adult"/>
    <x v="22"/>
    <n v="983"/>
    <n v="207"/>
    <n v="33"/>
    <n v="8"/>
    <n v="1231"/>
    <x v="6"/>
    <n v="41"/>
    <x v="1"/>
  </r>
  <r>
    <d v="2026-01-29T00:00:00"/>
    <s v="Adult"/>
    <x v="2"/>
    <n v="810"/>
    <n v="291"/>
    <n v="42"/>
    <n v="10"/>
    <n v="1152"/>
    <x v="6"/>
    <n v="52"/>
    <x v="1"/>
  </r>
  <r>
    <d v="2026-01-29T00:00:00"/>
    <s v="Adult"/>
    <x v="20"/>
    <n v="243"/>
    <n v="54"/>
    <n v="40"/>
    <n v="11"/>
    <n v="347"/>
    <x v="6"/>
    <n v="51"/>
    <x v="1"/>
  </r>
  <r>
    <d v="2026-01-29T00:00:00"/>
    <s v="Adult"/>
    <x v="18"/>
    <n v="1425"/>
    <n v="653"/>
    <n v="265"/>
    <n v="95"/>
    <n v="2437"/>
    <x v="6"/>
    <n v="360"/>
    <x v="1"/>
  </r>
  <r>
    <d v="2026-01-29T00:00:00"/>
    <s v="Adult"/>
    <x v="14"/>
    <n v="287"/>
    <n v="111"/>
    <n v="58"/>
    <n v="61"/>
    <n v="517"/>
    <x v="6"/>
    <n v="119"/>
    <x v="1"/>
  </r>
  <r>
    <d v="2026-01-29T00:00:00"/>
    <s v="Adult"/>
    <x v="11"/>
    <n v="1211"/>
    <n v="518"/>
    <n v="225"/>
    <n v="5"/>
    <n v="1959"/>
    <x v="6"/>
    <n v="230"/>
    <x v="1"/>
  </r>
  <r>
    <d v="2026-01-29T00:00:00"/>
    <s v="Adult"/>
    <x v="27"/>
    <n v="605"/>
    <n v="233"/>
    <n v="108"/>
    <n v="40"/>
    <n v="986"/>
    <x v="6"/>
    <n v="148"/>
    <x v="1"/>
  </r>
  <r>
    <d v="2026-01-29T00:00:00"/>
    <s v="Adult"/>
    <x v="21"/>
    <n v="425"/>
    <n v="77"/>
    <n v="34"/>
    <n v="11"/>
    <n v="548"/>
    <x v="6"/>
    <n v="45"/>
    <x v="1"/>
  </r>
  <r>
    <d v="2026-01-29T00:00:00"/>
    <s v="Adult"/>
    <x v="7"/>
    <n v="618"/>
    <n v="101"/>
    <n v="31"/>
    <n v="79"/>
    <n v="829"/>
    <x v="6"/>
    <n v="110"/>
    <x v="1"/>
  </r>
  <r>
    <d v="2026-01-29T00:00:00"/>
    <s v="Adult"/>
    <x v="10"/>
    <n v="403"/>
    <n v="88"/>
    <n v="9"/>
    <n v="7"/>
    <n v="507"/>
    <x v="6"/>
    <n v="16"/>
    <x v="1"/>
  </r>
  <r>
    <d v="2026-01-29T00:00:00"/>
    <s v="Adult"/>
    <x v="38"/>
    <n v="2269"/>
    <n v="805"/>
    <n v="245"/>
    <n v="284"/>
    <n v="3603"/>
    <x v="6"/>
    <n v="529"/>
    <x v="1"/>
  </r>
  <r>
    <d v="2026-01-29T00:00:00"/>
    <s v="Adult"/>
    <x v="35"/>
    <n v="2079"/>
    <n v="608"/>
    <n v="311"/>
    <n v="273"/>
    <n v="3270"/>
    <x v="6"/>
    <n v="584"/>
    <x v="1"/>
  </r>
  <r>
    <d v="2026-01-29T00:00:00"/>
    <s v="Adult"/>
    <x v="36"/>
    <n v="3148"/>
    <n v="949"/>
    <n v="405"/>
    <n v="477"/>
    <n v="4979"/>
    <x v="6"/>
    <n v="882"/>
    <x v="1"/>
  </r>
  <r>
    <d v="2026-01-29T00:00:00"/>
    <s v="Adult"/>
    <x v="37"/>
    <n v="361"/>
    <n v="98"/>
    <n v="15"/>
    <n v="5"/>
    <n v="479"/>
    <x v="6"/>
    <n v="20"/>
    <x v="1"/>
  </r>
  <r>
    <d v="2026-01-29T00:00:00"/>
    <s v="Adult"/>
    <x v="44"/>
    <n v="4087"/>
    <n v="1466"/>
    <n v="391"/>
    <n v="437"/>
    <n v="6381"/>
    <x v="6"/>
    <n v="828"/>
    <x v="1"/>
  </r>
  <r>
    <d v="2026-01-29T00:00:00"/>
    <s v="Adult"/>
    <x v="5"/>
    <n v="429"/>
    <n v="129"/>
    <n v="26"/>
    <n v="18"/>
    <n v="602"/>
    <x v="6"/>
    <n v="44"/>
    <x v="1"/>
  </r>
  <r>
    <d v="2026-01-29T00:00:00"/>
    <s v="Adult"/>
    <x v="45"/>
    <n v="947"/>
    <n v="294"/>
    <n v="86"/>
    <n v="45"/>
    <n v="1372"/>
    <x v="6"/>
    <n v="131"/>
    <x v="1"/>
  </r>
  <r>
    <d v="2026-01-29T00:00:00"/>
    <s v="Adult"/>
    <x v="46"/>
    <n v="3251"/>
    <n v="712"/>
    <n v="358"/>
    <n v="221"/>
    <n v="4543"/>
    <x v="6"/>
    <n v="579"/>
    <x v="1"/>
  </r>
  <r>
    <d v="2026-01-29T00:00:00"/>
    <s v="Adult"/>
    <x v="12"/>
    <n v="3426"/>
    <n v="1111"/>
    <n v="573"/>
    <n v="446"/>
    <n v="5556"/>
    <x v="6"/>
    <n v="1019"/>
    <x v="1"/>
  </r>
  <r>
    <d v="2026-01-29T00:00:00"/>
    <s v="Adult"/>
    <x v="34"/>
    <n v="1805"/>
    <n v="879"/>
    <n v="459"/>
    <n v="269"/>
    <n v="3411"/>
    <x v="6"/>
    <n v="728"/>
    <x v="1"/>
  </r>
  <r>
    <d v="2026-01-29T00:00:00"/>
    <s v="Adult"/>
    <x v="42"/>
    <n v="3337"/>
    <n v="1107"/>
    <n v="401"/>
    <n v="795"/>
    <n v="5641"/>
    <x v="6"/>
    <n v="1196"/>
    <x v="1"/>
  </r>
  <r>
    <d v="2026-01-29T00:00:00"/>
    <s v="Adult"/>
    <x v="24"/>
    <n v="735"/>
    <n v="183"/>
    <n v="45"/>
    <n v="30"/>
    <n v="992"/>
    <x v="6"/>
    <n v="75"/>
    <x v="1"/>
  </r>
  <r>
    <d v="2026-02-26T00:00:00"/>
    <s v="Adult"/>
    <x v="23"/>
    <n v="5618"/>
    <n v="3332"/>
    <n v="1683"/>
    <n v="1394"/>
    <n v="12026"/>
    <x v="7"/>
    <n v="3077"/>
    <x v="1"/>
  </r>
  <r>
    <d v="2026-02-26T00:00:00"/>
    <s v="Adult"/>
    <x v="30"/>
    <n v="1575"/>
    <n v="331"/>
    <n v="31"/>
    <n v="8"/>
    <n v="1944"/>
    <x v="7"/>
    <n v="39"/>
    <x v="1"/>
  </r>
  <r>
    <d v="2026-02-26T00:00:00"/>
    <s v="Adult"/>
    <x v="40"/>
    <n v="1131"/>
    <n v="413"/>
    <n v="203"/>
    <n v="73"/>
    <n v="1819"/>
    <x v="7"/>
    <n v="276"/>
    <x v="1"/>
  </r>
  <r>
    <d v="2026-02-26T00:00:00"/>
    <s v="Adult"/>
    <x v="41"/>
    <n v="7101"/>
    <n v="2703"/>
    <n v="1640"/>
    <n v="1920"/>
    <n v="13364"/>
    <x v="7"/>
    <n v="3560"/>
    <x v="1"/>
  </r>
  <r>
    <d v="2026-02-26T00:00:00"/>
    <s v="Adult"/>
    <x v="32"/>
    <n v="2709"/>
    <n v="479"/>
    <n v="141"/>
    <n v="68"/>
    <n v="3397"/>
    <x v="7"/>
    <n v="209"/>
    <x v="1"/>
  </r>
  <r>
    <d v="2026-02-26T00:00:00"/>
    <s v="Adult"/>
    <x v="43"/>
    <n v="5884"/>
    <n v="2391"/>
    <n v="944"/>
    <n v="1491"/>
    <n v="10711"/>
    <x v="7"/>
    <n v="2435"/>
    <x v="1"/>
  </r>
  <r>
    <d v="2026-02-26T00:00:00"/>
    <s v="Adult"/>
    <x v="22"/>
    <n v="981"/>
    <n v="192"/>
    <n v="44"/>
    <n v="15"/>
    <n v="1231"/>
    <x v="7"/>
    <n v="59"/>
    <x v="1"/>
  </r>
  <r>
    <d v="2026-02-26T00:00:00"/>
    <s v="Adult"/>
    <x v="2"/>
    <n v="827"/>
    <n v="300"/>
    <n v="52"/>
    <n v="12"/>
    <n v="1191"/>
    <x v="7"/>
    <n v="64"/>
    <x v="1"/>
  </r>
  <r>
    <d v="2026-02-26T00:00:00"/>
    <s v="Adult"/>
    <x v="20"/>
    <n v="202"/>
    <n v="55"/>
    <n v="32"/>
    <n v="14"/>
    <n v="302"/>
    <x v="7"/>
    <n v="46"/>
    <x v="1"/>
  </r>
  <r>
    <d v="2026-02-26T00:00:00"/>
    <s v="Adult"/>
    <x v="18"/>
    <n v="1425"/>
    <n v="657"/>
    <n v="282"/>
    <n v="109"/>
    <n v="2473"/>
    <x v="7"/>
    <n v="391"/>
    <x v="1"/>
  </r>
  <r>
    <d v="2026-02-26T00:00:00"/>
    <s v="Adult"/>
    <x v="14"/>
    <n v="329"/>
    <n v="108"/>
    <n v="58"/>
    <n v="52"/>
    <n v="547"/>
    <x v="7"/>
    <n v="110"/>
    <x v="1"/>
  </r>
  <r>
    <d v="2026-02-26T00:00:00"/>
    <s v="Adult"/>
    <x v="11"/>
    <n v="977"/>
    <n v="705"/>
    <n v="192"/>
    <n v="6"/>
    <n v="1879"/>
    <x v="7"/>
    <n v="198"/>
    <x v="1"/>
  </r>
  <r>
    <d v="2026-02-26T00:00:00"/>
    <s v="Adult"/>
    <x v="27"/>
    <n v="597"/>
    <n v="219"/>
    <n v="121"/>
    <n v="52"/>
    <n v="990"/>
    <x v="7"/>
    <n v="173"/>
    <x v="1"/>
  </r>
  <r>
    <d v="2026-02-26T00:00:00"/>
    <s v="Adult"/>
    <x v="21"/>
    <n v="417"/>
    <n v="69"/>
    <n v="26"/>
    <n v="12"/>
    <n v="524"/>
    <x v="7"/>
    <n v="38"/>
    <x v="1"/>
  </r>
  <r>
    <d v="2026-02-26T00:00:00"/>
    <s v="Adult"/>
    <x v="7"/>
    <n v="632"/>
    <n v="101"/>
    <n v="35"/>
    <n v="77"/>
    <n v="846"/>
    <x v="7"/>
    <n v="112"/>
    <x v="1"/>
  </r>
  <r>
    <d v="2026-02-26T00:00:00"/>
    <s v="Adult"/>
    <x v="10"/>
    <n v="441"/>
    <n v="93"/>
    <n v="8"/>
    <n v="5"/>
    <n v="547"/>
    <x v="7"/>
    <n v="13"/>
    <x v="1"/>
  </r>
  <r>
    <d v="2026-02-26T00:00:00"/>
    <s v="Adult"/>
    <x v="38"/>
    <n v="2196"/>
    <n v="985"/>
    <n v="244"/>
    <n v="321"/>
    <n v="3746"/>
    <x v="7"/>
    <n v="565"/>
    <x v="1"/>
  </r>
  <r>
    <d v="2026-02-26T00:00:00"/>
    <s v="Adult"/>
    <x v="35"/>
    <n v="2063"/>
    <n v="646"/>
    <n v="292"/>
    <n v="272"/>
    <n v="3274"/>
    <x v="7"/>
    <n v="564"/>
    <x v="1"/>
  </r>
  <r>
    <d v="2026-02-26T00:00:00"/>
    <s v="Adult"/>
    <x v="36"/>
    <n v="3092"/>
    <n v="910"/>
    <n v="456"/>
    <n v="384"/>
    <n v="4841"/>
    <x v="7"/>
    <n v="840"/>
    <x v="1"/>
  </r>
  <r>
    <d v="2026-02-26T00:00:00"/>
    <s v="Adult"/>
    <x v="44"/>
    <n v="4254"/>
    <n v="1510"/>
    <n v="470"/>
    <n v="471"/>
    <n v="6706"/>
    <x v="7"/>
    <n v="941"/>
    <x v="1"/>
  </r>
  <r>
    <d v="2026-02-26T00:00:00"/>
    <s v="Adult"/>
    <x v="1"/>
    <n v="674"/>
    <n v="299"/>
    <n v="17"/>
    <n v="5"/>
    <n v="995"/>
    <x v="7"/>
    <n v="22"/>
    <x v="1"/>
  </r>
  <r>
    <d v="2026-02-26T00:00:00"/>
    <s v="Adult"/>
    <x v="5"/>
    <n v="454"/>
    <n v="139"/>
    <n v="31"/>
    <n v="19"/>
    <n v="643"/>
    <x v="7"/>
    <n v="50"/>
    <x v="1"/>
  </r>
  <r>
    <d v="2026-02-26T00:00:00"/>
    <s v="Adult"/>
    <x v="45"/>
    <n v="1059"/>
    <n v="321"/>
    <n v="107"/>
    <n v="54"/>
    <n v="1540"/>
    <x v="7"/>
    <n v="161"/>
    <x v="1"/>
  </r>
  <r>
    <d v="2026-02-26T00:00:00"/>
    <s v="Adult"/>
    <x v="46"/>
    <n v="3299"/>
    <n v="782"/>
    <n v="349"/>
    <n v="227"/>
    <n v="4657"/>
    <x v="7"/>
    <n v="576"/>
    <x v="1"/>
  </r>
  <r>
    <d v="2026-02-26T00:00:00"/>
    <s v="Adult"/>
    <x v="12"/>
    <n v="3345"/>
    <n v="1096"/>
    <n v="600"/>
    <n v="485"/>
    <n v="5526"/>
    <x v="7"/>
    <n v="1085"/>
    <x v="1"/>
  </r>
  <r>
    <d v="2026-02-26T00:00:00"/>
    <s v="Adult"/>
    <x v="34"/>
    <n v="1669"/>
    <n v="895"/>
    <n v="474"/>
    <n v="249"/>
    <n v="3287"/>
    <x v="7"/>
    <n v="723"/>
    <x v="1"/>
  </r>
  <r>
    <d v="2026-02-26T00:00:00"/>
    <s v="Adult"/>
    <x v="42"/>
    <n v="3393"/>
    <n v="1055"/>
    <n v="461"/>
    <n v="781"/>
    <n v="5690"/>
    <x v="7"/>
    <n v="1242"/>
    <x v="1"/>
  </r>
  <r>
    <d v="2026-02-26T00:00:00"/>
    <s v="Adult"/>
    <x v="24"/>
    <n v="755"/>
    <n v="193"/>
    <n v="59"/>
    <n v="27"/>
    <n v="1033"/>
    <x v="7"/>
    <n v="86"/>
    <x v="1"/>
  </r>
  <r>
    <d v="2026-03-26T00:00:00"/>
    <s v="Adult"/>
    <x v="23"/>
    <n v="5774"/>
    <n v="3397"/>
    <n v="1766"/>
    <n v="1714"/>
    <n v="12650"/>
    <x v="28"/>
    <n v="3480"/>
    <x v="1"/>
  </r>
  <r>
    <d v="2026-03-26T00:00:00"/>
    <s v="Adult"/>
    <x v="16"/>
    <n v="314"/>
    <n v="20"/>
    <n v="1"/>
    <n v="1"/>
    <n v="337"/>
    <x v="28"/>
    <n v="2"/>
    <x v="1"/>
  </r>
  <r>
    <d v="2026-03-26T00:00:00"/>
    <s v="Adult"/>
    <x v="30"/>
    <n v="1574"/>
    <n v="391"/>
    <n v="41"/>
    <n v="4"/>
    <n v="2010"/>
    <x v="28"/>
    <n v="45"/>
    <x v="1"/>
  </r>
  <r>
    <d v="2026-03-26T00:00:00"/>
    <s v="Adult"/>
    <x v="40"/>
    <n v="1144"/>
    <n v="421"/>
    <n v="194"/>
    <n v="92"/>
    <n v="1851"/>
    <x v="28"/>
    <n v="286"/>
    <x v="1"/>
  </r>
  <r>
    <d v="2026-03-26T00:00:00"/>
    <s v="Adult"/>
    <x v="41"/>
    <n v="7148"/>
    <n v="2513"/>
    <n v="1575"/>
    <n v="1992"/>
    <n v="13227"/>
    <x v="28"/>
    <n v="3567"/>
    <x v="1"/>
  </r>
  <r>
    <d v="2026-03-26T00:00:00"/>
    <s v="Adult"/>
    <x v="32"/>
    <n v="2707"/>
    <n v="508"/>
    <n v="136"/>
    <n v="40"/>
    <n v="3391"/>
    <x v="28"/>
    <n v="176"/>
    <x v="1"/>
  </r>
  <r>
    <d v="2026-03-26T00:00:00"/>
    <s v="Adult"/>
    <x v="43"/>
    <n v="5817"/>
    <n v="2414"/>
    <n v="985"/>
    <n v="1458"/>
    <n v="10674"/>
    <x v="28"/>
    <n v="2443"/>
    <x v="1"/>
  </r>
  <r>
    <d v="2026-03-26T00:00:00"/>
    <s v="Adult"/>
    <x v="22"/>
    <n v="977"/>
    <n v="226"/>
    <n v="39"/>
    <n v="12"/>
    <n v="1253"/>
    <x v="28"/>
    <n v="51"/>
    <x v="1"/>
  </r>
  <r>
    <d v="2026-03-26T00:00:00"/>
    <s v="Adult"/>
    <x v="2"/>
    <n v="893"/>
    <n v="299"/>
    <n v="70"/>
    <n v="10"/>
    <n v="1271"/>
    <x v="28"/>
    <n v="80"/>
    <x v="1"/>
  </r>
  <r>
    <d v="2026-03-26T00:00:00"/>
    <s v="Adult"/>
    <x v="20"/>
    <n v="212"/>
    <n v="67"/>
    <n v="18"/>
    <n v="14"/>
    <n v="312"/>
    <x v="28"/>
    <n v="32"/>
    <x v="1"/>
  </r>
  <r>
    <d v="2026-03-26T00:00:00"/>
    <s v="Adult"/>
    <x v="18"/>
    <n v="1414"/>
    <n v="746"/>
    <n v="279"/>
    <n v="138"/>
    <n v="2577"/>
    <x v="28"/>
    <n v="417"/>
    <x v="1"/>
  </r>
  <r>
    <d v="2026-03-26T00:00:00"/>
    <s v="Adult"/>
    <x v="14"/>
    <n v="353"/>
    <n v="113"/>
    <n v="51"/>
    <n v="57"/>
    <n v="574"/>
    <x v="28"/>
    <n v="108"/>
    <x v="1"/>
  </r>
  <r>
    <d v="2026-03-26T00:00:00"/>
    <s v="Adult"/>
    <x v="11"/>
    <n v="957"/>
    <n v="735"/>
    <n v="155"/>
    <n v="4"/>
    <n v="1851"/>
    <x v="28"/>
    <n v="159"/>
    <x v="1"/>
  </r>
  <r>
    <d v="2026-03-26T00:00:00"/>
    <s v="Adult"/>
    <x v="27"/>
    <n v="596"/>
    <n v="194"/>
    <n v="66"/>
    <n v="22"/>
    <n v="878"/>
    <x v="28"/>
    <n v="88"/>
    <x v="1"/>
  </r>
  <r>
    <d v="2026-03-26T00:00:00"/>
    <s v="Adult"/>
    <x v="21"/>
    <n v="411"/>
    <n v="65"/>
    <n v="33"/>
    <n v="5"/>
    <n v="513"/>
    <x v="28"/>
    <n v="38"/>
    <x v="1"/>
  </r>
  <r>
    <d v="2026-03-26T00:00:00"/>
    <s v="Adult"/>
    <x v="7"/>
    <n v="618"/>
    <n v="88"/>
    <n v="33"/>
    <n v="74"/>
    <n v="814"/>
    <x v="28"/>
    <n v="107"/>
    <x v="1"/>
  </r>
  <r>
    <d v="2026-03-26T00:00:00"/>
    <s v="Adult"/>
    <x v="10"/>
    <n v="431"/>
    <n v="106"/>
    <n v="12"/>
    <n v="8"/>
    <n v="557"/>
    <x v="28"/>
    <n v="20"/>
    <x v="1"/>
  </r>
  <r>
    <d v="2026-03-26T00:00:00"/>
    <s v="Adult"/>
    <x v="38"/>
    <n v="1896"/>
    <n v="1027"/>
    <n v="271"/>
    <n v="346"/>
    <n v="3540"/>
    <x v="28"/>
    <n v="617"/>
    <x v="1"/>
  </r>
  <r>
    <d v="2026-03-26T00:00:00"/>
    <s v="Adult"/>
    <x v="35"/>
    <n v="2055"/>
    <n v="597"/>
    <n v="302"/>
    <n v="250"/>
    <n v="3204"/>
    <x v="28"/>
    <n v="552"/>
    <x v="1"/>
  </r>
  <r>
    <d v="2026-03-26T00:00:00"/>
    <s v="Adult"/>
    <x v="36"/>
    <n v="2981"/>
    <n v="935"/>
    <n v="461"/>
    <n v="324"/>
    <n v="4701"/>
    <x v="28"/>
    <n v="785"/>
    <x v="1"/>
  </r>
  <r>
    <d v="2026-03-26T00:00:00"/>
    <s v="Adult"/>
    <x v="44"/>
    <n v="4347"/>
    <n v="1619"/>
    <n v="530"/>
    <n v="490"/>
    <n v="6986"/>
    <x v="28"/>
    <n v="1020"/>
    <x v="1"/>
  </r>
  <r>
    <d v="2026-03-26T00:00:00"/>
    <s v="Adult"/>
    <x v="5"/>
    <n v="445"/>
    <n v="141"/>
    <n v="32"/>
    <n v="18"/>
    <n v="635"/>
    <x v="28"/>
    <n v="50"/>
    <x v="1"/>
  </r>
  <r>
    <d v="2026-03-26T00:00:00"/>
    <s v="Adult"/>
    <x v="45"/>
    <n v="1145"/>
    <n v="332"/>
    <n v="116"/>
    <n v="55"/>
    <n v="1648"/>
    <x v="28"/>
    <n v="171"/>
    <x v="1"/>
  </r>
  <r>
    <d v="2026-03-26T00:00:00"/>
    <s v="Adult"/>
    <x v="46"/>
    <n v="3290"/>
    <n v="822"/>
    <n v="373"/>
    <n v="235"/>
    <n v="4720"/>
    <x v="28"/>
    <n v="608"/>
    <x v="1"/>
  </r>
  <r>
    <d v="2026-03-26T00:00:00"/>
    <s v="Adult"/>
    <x v="12"/>
    <n v="3252"/>
    <n v="1119"/>
    <n v="573"/>
    <n v="536"/>
    <n v="5480"/>
    <x v="28"/>
    <n v="1109"/>
    <x v="1"/>
  </r>
  <r>
    <d v="2026-03-26T00:00:00"/>
    <s v="Adult"/>
    <x v="34"/>
    <n v="1687"/>
    <n v="942"/>
    <n v="445"/>
    <n v="271"/>
    <n v="3345"/>
    <x v="28"/>
    <n v="716"/>
    <x v="1"/>
  </r>
  <r>
    <d v="2026-03-26T00:00:00"/>
    <s v="Adult"/>
    <x v="42"/>
    <n v="3511"/>
    <n v="1099"/>
    <n v="473"/>
    <n v="697"/>
    <n v="5779"/>
    <x v="28"/>
    <n v="1170"/>
    <x v="1"/>
  </r>
  <r>
    <d v="2026-03-26T00:00:00"/>
    <s v="Adult"/>
    <x v="24"/>
    <n v="734"/>
    <n v="197"/>
    <n v="45"/>
    <n v="25"/>
    <n v="1000"/>
    <x v="28"/>
    <n v="70"/>
    <x v="1"/>
  </r>
  <r>
    <d v="2026-04-30T00:00:00"/>
    <s v="Adult"/>
    <x v="23"/>
    <n v="5533"/>
    <n v="3404"/>
    <n v="1931"/>
    <n v="1975"/>
    <n v="12843"/>
    <x v="29"/>
    <n v="3906"/>
    <x v="1"/>
  </r>
  <r>
    <d v="2026-04-30T00:00:00"/>
    <s v="Adult"/>
    <x v="30"/>
    <n v="1608"/>
    <n v="534"/>
    <n v="55"/>
    <n v="7"/>
    <n v="2204"/>
    <x v="29"/>
    <n v="62"/>
    <x v="1"/>
  </r>
  <r>
    <d v="2026-04-30T00:00:00"/>
    <s v="Adult"/>
    <x v="40"/>
    <n v="1050"/>
    <n v="389"/>
    <n v="181"/>
    <n v="105"/>
    <n v="1725"/>
    <x v="29"/>
    <n v="286"/>
    <x v="1"/>
  </r>
  <r>
    <d v="2026-04-30T00:00:00"/>
    <s v="Adult"/>
    <x v="13"/>
    <n v="623"/>
    <n v="184"/>
    <n v="26"/>
    <n v="1"/>
    <n v="835"/>
    <x v="29"/>
    <n v="27"/>
    <x v="1"/>
  </r>
  <r>
    <d v="2026-04-30T00:00:00"/>
    <s v="Adult"/>
    <x v="41"/>
    <n v="6964"/>
    <n v="2585"/>
    <n v="1483"/>
    <n v="2173"/>
    <n v="13205"/>
    <x v="29"/>
    <n v="3656"/>
    <x v="1"/>
  </r>
  <r>
    <d v="2026-04-30T00:00:00"/>
    <s v="Adult"/>
    <x v="32"/>
    <n v="2800"/>
    <n v="728"/>
    <n v="121"/>
    <n v="32"/>
    <n v="3681"/>
    <x v="29"/>
    <n v="153"/>
    <x v="1"/>
  </r>
  <r>
    <d v="2026-04-30T00:00:00"/>
    <s v="Adult"/>
    <x v="43"/>
    <n v="5784"/>
    <n v="2564"/>
    <n v="1049"/>
    <n v="1421"/>
    <n v="10818"/>
    <x v="29"/>
    <n v="2470"/>
    <x v="1"/>
  </r>
  <r>
    <d v="2026-04-30T00:00:00"/>
    <s v="Adult"/>
    <x v="22"/>
    <n v="939"/>
    <n v="254"/>
    <n v="45"/>
    <n v="9"/>
    <n v="1248"/>
    <x v="29"/>
    <n v="54"/>
    <x v="1"/>
  </r>
  <r>
    <d v="2026-04-30T00:00:00"/>
    <s v="Adult"/>
    <x v="2"/>
    <n v="883"/>
    <n v="306"/>
    <n v="87"/>
    <n v="10"/>
    <n v="1286"/>
    <x v="29"/>
    <n v="97"/>
    <x v="1"/>
  </r>
  <r>
    <d v="2026-04-30T00:00:00"/>
    <s v="Adult"/>
    <x v="20"/>
    <n v="229"/>
    <n v="63"/>
    <n v="19"/>
    <n v="16"/>
    <n v="327"/>
    <x v="29"/>
    <n v="35"/>
    <x v="1"/>
  </r>
  <r>
    <d v="2026-04-30T00:00:00"/>
    <s v="Adult"/>
    <x v="18"/>
    <n v="1364"/>
    <n v="791"/>
    <n v="272"/>
    <n v="162"/>
    <n v="2588"/>
    <x v="29"/>
    <n v="434"/>
    <x v="1"/>
  </r>
  <r>
    <d v="2026-04-30T00:00:00"/>
    <s v="Adult"/>
    <x v="14"/>
    <n v="336"/>
    <n v="102"/>
    <n v="51"/>
    <n v="57"/>
    <n v="546"/>
    <x v="29"/>
    <n v="108"/>
    <x v="1"/>
  </r>
  <r>
    <d v="2026-04-30T00:00:00"/>
    <s v="Adult"/>
    <x v="27"/>
    <n v="575"/>
    <n v="190"/>
    <n v="66"/>
    <n v="21"/>
    <n v="852"/>
    <x v="29"/>
    <n v="87"/>
    <x v="1"/>
  </r>
  <r>
    <d v="2026-04-30T00:00:00"/>
    <s v="Adult"/>
    <x v="21"/>
    <n v="399"/>
    <n v="70"/>
    <n v="22"/>
    <n v="4"/>
    <n v="495"/>
    <x v="29"/>
    <n v="26"/>
    <x v="1"/>
  </r>
  <r>
    <d v="2026-04-30T00:00:00"/>
    <s v="Adult"/>
    <x v="7"/>
    <n v="599"/>
    <n v="126"/>
    <n v="33"/>
    <n v="79"/>
    <n v="837"/>
    <x v="29"/>
    <n v="112"/>
    <x v="1"/>
  </r>
  <r>
    <d v="2026-04-30T00:00:00"/>
    <s v="Adult"/>
    <x v="38"/>
    <n v="1868"/>
    <n v="976"/>
    <n v="324"/>
    <n v="357"/>
    <n v="3525"/>
    <x v="29"/>
    <n v="681"/>
    <x v="1"/>
  </r>
  <r>
    <d v="2026-04-30T00:00:00"/>
    <s v="Adult"/>
    <x v="35"/>
    <n v="1943"/>
    <n v="664"/>
    <n v="296"/>
    <n v="267"/>
    <n v="3170"/>
    <x v="29"/>
    <n v="563"/>
    <x v="1"/>
  </r>
  <r>
    <d v="2026-04-30T00:00:00"/>
    <s v="Adult"/>
    <x v="36"/>
    <n v="3120"/>
    <n v="906"/>
    <n v="517"/>
    <n v="263"/>
    <n v="4806"/>
    <x v="29"/>
    <n v="780"/>
    <x v="1"/>
  </r>
  <r>
    <d v="2026-04-30T00:00:00"/>
    <s v="Adult"/>
    <x v="44"/>
    <n v="4233"/>
    <n v="1732"/>
    <n v="555"/>
    <n v="458"/>
    <n v="6978"/>
    <x v="29"/>
    <n v="1013"/>
    <x v="1"/>
  </r>
  <r>
    <d v="2026-04-30T00:00:00"/>
    <s v="Adult"/>
    <x v="5"/>
    <n v="435"/>
    <n v="159"/>
    <n v="31"/>
    <n v="15"/>
    <n v="640"/>
    <x v="29"/>
    <n v="46"/>
    <x v="1"/>
  </r>
  <r>
    <d v="2026-04-30T00:00:00"/>
    <s v="Adult"/>
    <x v="45"/>
    <n v="1161"/>
    <n v="363"/>
    <n v="117"/>
    <n v="73"/>
    <n v="1714"/>
    <x v="29"/>
    <n v="190"/>
    <x v="1"/>
  </r>
  <r>
    <d v="2026-04-30T00:00:00"/>
    <s v="Adult"/>
    <x v="46"/>
    <n v="3143"/>
    <n v="945"/>
    <n v="371"/>
    <n v="260"/>
    <n v="4719"/>
    <x v="29"/>
    <n v="631"/>
    <x v="1"/>
  </r>
  <r>
    <d v="2026-04-30T00:00:00"/>
    <s v="Adult"/>
    <x v="12"/>
    <n v="3291"/>
    <n v="1205"/>
    <n v="527"/>
    <n v="574"/>
    <n v="5597"/>
    <x v="29"/>
    <n v="1101"/>
    <x v="1"/>
  </r>
  <r>
    <d v="2026-04-30T00:00:00"/>
    <s v="Adult"/>
    <x v="34"/>
    <n v="1665"/>
    <n v="1004"/>
    <n v="477"/>
    <n v="318"/>
    <n v="3464"/>
    <x v="29"/>
    <n v="795"/>
    <x v="1"/>
  </r>
  <r>
    <d v="2026-04-30T00:00:00"/>
    <s v="Adult"/>
    <x v="42"/>
    <n v="3434"/>
    <n v="1181"/>
    <n v="499"/>
    <n v="674"/>
    <n v="5788"/>
    <x v="29"/>
    <n v="1173"/>
    <x v="1"/>
  </r>
  <r>
    <d v="2026-04-30T00:00:00"/>
    <s v="Adult"/>
    <x v="24"/>
    <n v="665"/>
    <n v="261"/>
    <n v="53"/>
    <n v="33"/>
    <n v="1012"/>
    <x v="29"/>
    <n v="86"/>
    <x v="1"/>
  </r>
  <r>
    <d v="2026-05-28T00:00:00"/>
    <s v="Adult"/>
    <x v="23"/>
    <n v="5376"/>
    <n v="3346"/>
    <n v="1950"/>
    <n v="1780"/>
    <n v="12452"/>
    <x v="8"/>
    <n v="3730"/>
    <x v="1"/>
  </r>
  <r>
    <d v="2026-05-28T00:00:00"/>
    <s v="Adult"/>
    <x v="30"/>
    <n v="1519"/>
    <n v="499"/>
    <n v="36"/>
    <n v="9"/>
    <n v="2063"/>
    <x v="8"/>
    <n v="45"/>
    <x v="1"/>
  </r>
  <r>
    <d v="2026-05-28T00:00:00"/>
    <s v="Adult"/>
    <x v="40"/>
    <n v="984"/>
    <n v="368"/>
    <n v="204"/>
    <n v="124"/>
    <n v="1681"/>
    <x v="8"/>
    <n v="328"/>
    <x v="1"/>
  </r>
  <r>
    <d v="2026-05-28T00:00:00"/>
    <s v="Adult"/>
    <x v="41"/>
    <n v="6799"/>
    <n v="2827"/>
    <n v="1418"/>
    <n v="2223"/>
    <n v="13266"/>
    <x v="8"/>
    <n v="3641"/>
    <x v="1"/>
  </r>
  <r>
    <d v="2026-05-28T00:00:00"/>
    <s v="Adult"/>
    <x v="32"/>
    <n v="2650"/>
    <n v="854"/>
    <n v="120"/>
    <n v="28"/>
    <n v="3651"/>
    <x v="8"/>
    <n v="148"/>
    <x v="1"/>
  </r>
  <r>
    <d v="2026-05-28T00:00:00"/>
    <s v="Adult"/>
    <x v="43"/>
    <n v="5619"/>
    <n v="2635"/>
    <n v="1074"/>
    <n v="1445"/>
    <n v="10772"/>
    <x v="8"/>
    <n v="2519"/>
    <x v="1"/>
  </r>
  <r>
    <d v="2026-05-28T00:00:00"/>
    <s v="Adult"/>
    <x v="22"/>
    <n v="951"/>
    <n v="266"/>
    <n v="45"/>
    <n v="4"/>
    <n v="1266"/>
    <x v="8"/>
    <n v="49"/>
    <x v="1"/>
  </r>
  <r>
    <d v="2026-05-28T00:00:00"/>
    <s v="Adult"/>
    <x v="2"/>
    <n v="750"/>
    <n v="311"/>
    <n v="91"/>
    <n v="14"/>
    <n v="1166"/>
    <x v="8"/>
    <n v="105"/>
    <x v="1"/>
  </r>
  <r>
    <d v="2026-05-28T00:00:00"/>
    <s v="Adult"/>
    <x v="20"/>
    <n v="228"/>
    <n v="86"/>
    <n v="20"/>
    <n v="20"/>
    <n v="354"/>
    <x v="8"/>
    <n v="40"/>
    <x v="1"/>
  </r>
  <r>
    <d v="2026-05-28T00:00:00"/>
    <s v="Adult"/>
    <x v="18"/>
    <n v="1335"/>
    <n v="791"/>
    <n v="292"/>
    <n v="197"/>
    <n v="2615"/>
    <x v="8"/>
    <n v="489"/>
    <x v="1"/>
  </r>
  <r>
    <d v="2026-05-28T00:00:00"/>
    <s v="Adult"/>
    <x v="15"/>
    <n v="284"/>
    <n v="92"/>
    <n v="36"/>
    <n v="3"/>
    <n v="415"/>
    <x v="8"/>
    <n v="39"/>
    <x v="1"/>
  </r>
  <r>
    <d v="2026-05-28T00:00:00"/>
    <s v="Adult"/>
    <x v="14"/>
    <n v="340"/>
    <n v="117"/>
    <n v="49"/>
    <n v="58"/>
    <n v="564"/>
    <x v="8"/>
    <n v="107"/>
    <x v="1"/>
  </r>
  <r>
    <d v="2026-05-28T00:00:00"/>
    <s v="Adult"/>
    <x v="29"/>
    <n v="1736"/>
    <n v="387"/>
    <n v="50"/>
    <n v="13"/>
    <n v="2186"/>
    <x v="8"/>
    <n v="63"/>
    <x v="1"/>
  </r>
  <r>
    <d v="2026-05-28T00:00:00"/>
    <s v="Adult"/>
    <x v="11"/>
    <n v="797"/>
    <n v="804"/>
    <n v="235"/>
    <n v="14"/>
    <n v="1850"/>
    <x v="8"/>
    <n v="249"/>
    <x v="1"/>
  </r>
  <r>
    <d v="2026-05-28T00:00:00"/>
    <s v="Adult"/>
    <x v="27"/>
    <n v="586"/>
    <n v="186"/>
    <n v="65"/>
    <n v="20"/>
    <n v="857"/>
    <x v="8"/>
    <n v="85"/>
    <x v="1"/>
  </r>
  <r>
    <d v="2026-05-28T00:00:00"/>
    <s v="Adult"/>
    <x v="7"/>
    <n v="592"/>
    <n v="147"/>
    <n v="33"/>
    <n v="80"/>
    <n v="852"/>
    <x v="8"/>
    <n v="113"/>
    <x v="1"/>
  </r>
  <r>
    <d v="2026-05-28T00:00:00"/>
    <s v="Adult"/>
    <x v="38"/>
    <n v="1929"/>
    <n v="915"/>
    <n v="344"/>
    <n v="369"/>
    <n v="3557"/>
    <x v="8"/>
    <n v="713"/>
    <x v="1"/>
  </r>
  <r>
    <d v="2026-05-28T00:00:00"/>
    <s v="Adult"/>
    <x v="35"/>
    <n v="1981"/>
    <n v="748"/>
    <n v="288"/>
    <n v="294"/>
    <n v="3311"/>
    <x v="8"/>
    <n v="582"/>
    <x v="1"/>
  </r>
  <r>
    <d v="2026-05-28T00:00:00"/>
    <s v="Adult"/>
    <x v="36"/>
    <n v="2993"/>
    <n v="934"/>
    <n v="468"/>
    <n v="171"/>
    <n v="4566"/>
    <x v="8"/>
    <n v="639"/>
    <x v="1"/>
  </r>
  <r>
    <d v="2026-05-28T00:00:00"/>
    <s v="Adult"/>
    <x v="44"/>
    <n v="4184"/>
    <n v="1798"/>
    <n v="596"/>
    <n v="468"/>
    <n v="7046"/>
    <x v="8"/>
    <n v="1064"/>
    <x v="1"/>
  </r>
  <r>
    <d v="2026-05-28T00:00:00"/>
    <s v="Adult"/>
    <x v="5"/>
    <n v="420"/>
    <n v="157"/>
    <n v="39"/>
    <n v="18"/>
    <n v="634"/>
    <x v="8"/>
    <n v="57"/>
    <x v="1"/>
  </r>
  <r>
    <d v="2026-05-28T00:00:00"/>
    <s v="Adult"/>
    <x v="45"/>
    <n v="1076"/>
    <n v="453"/>
    <n v="140"/>
    <n v="80"/>
    <n v="1749"/>
    <x v="8"/>
    <n v="220"/>
    <x v="1"/>
  </r>
  <r>
    <d v="2026-05-28T00:00:00"/>
    <s v="Adult"/>
    <x v="46"/>
    <n v="3190"/>
    <n v="1064"/>
    <n v="363"/>
    <n v="257"/>
    <n v="4874"/>
    <x v="8"/>
    <n v="620"/>
    <x v="1"/>
  </r>
  <r>
    <d v="2026-05-28T00:00:00"/>
    <s v="Adult"/>
    <x v="12"/>
    <n v="3189"/>
    <n v="1185"/>
    <n v="496"/>
    <n v="569"/>
    <n v="5439"/>
    <x v="8"/>
    <n v="1065"/>
    <x v="1"/>
  </r>
  <r>
    <d v="2026-05-28T00:00:00"/>
    <s v="Adult"/>
    <x v="34"/>
    <n v="1690"/>
    <n v="1063"/>
    <n v="429"/>
    <n v="334"/>
    <n v="3516"/>
    <x v="8"/>
    <n v="763"/>
    <x v="1"/>
  </r>
  <r>
    <d v="2026-05-28T00:00:00"/>
    <s v="Adult"/>
    <x v="42"/>
    <n v="3460"/>
    <n v="1222"/>
    <n v="465"/>
    <n v="600"/>
    <n v="5747"/>
    <x v="8"/>
    <n v="1065"/>
    <x v="1"/>
  </r>
  <r>
    <d v="2026-05-28T00:00:00"/>
    <s v="Adult"/>
    <x v="24"/>
    <n v="678"/>
    <n v="276"/>
    <n v="60"/>
    <n v="37"/>
    <n v="1052"/>
    <x v="8"/>
    <n v="97"/>
    <x v="1"/>
  </r>
  <r>
    <d v="2026-06-25T00:00:00"/>
    <s v="Adult"/>
    <x v="23"/>
    <n v="5221"/>
    <n v="3462"/>
    <n v="1944"/>
    <n v="1909"/>
    <n v="12536"/>
    <x v="9"/>
    <n v="3853"/>
    <x v="1"/>
  </r>
  <r>
    <d v="2026-06-25T00:00:00"/>
    <s v="Adult"/>
    <x v="30"/>
    <n v="1592"/>
    <n v="486"/>
    <n v="60"/>
    <n v="9"/>
    <n v="2146"/>
    <x v="9"/>
    <n v="69"/>
    <x v="1"/>
  </r>
  <r>
    <d v="2026-06-25T00:00:00"/>
    <s v="Adult"/>
    <x v="40"/>
    <n v="1044"/>
    <n v="368"/>
    <n v="194"/>
    <n v="133"/>
    <n v="1739"/>
    <x v="9"/>
    <n v="327"/>
    <x v="1"/>
  </r>
  <r>
    <d v="2026-06-25T00:00:00"/>
    <s v="Adult"/>
    <x v="3"/>
    <n v="540"/>
    <n v="138"/>
    <n v="203"/>
    <n v="40"/>
    <n v="921"/>
    <x v="9"/>
    <n v="243"/>
    <x v="1"/>
  </r>
  <r>
    <d v="2026-06-25T00:00:00"/>
    <s v="Adult"/>
    <x v="41"/>
    <n v="6696"/>
    <n v="3342"/>
    <n v="1261"/>
    <n v="2392"/>
    <n v="13691"/>
    <x v="9"/>
    <n v="3653"/>
    <x v="1"/>
  </r>
  <r>
    <d v="2026-06-25T00:00:00"/>
    <s v="Adult"/>
    <x v="32"/>
    <n v="2539"/>
    <n v="1006"/>
    <n v="129"/>
    <n v="33"/>
    <n v="3707"/>
    <x v="9"/>
    <n v="162"/>
    <x v="1"/>
  </r>
  <r>
    <d v="2026-06-25T00:00:00"/>
    <s v="Adult"/>
    <x v="43"/>
    <n v="5758"/>
    <n v="2748"/>
    <n v="1143"/>
    <n v="1441"/>
    <n v="11090"/>
    <x v="9"/>
    <n v="2584"/>
    <x v="1"/>
  </r>
  <r>
    <d v="2026-06-25T00:00:00"/>
    <s v="Adult"/>
    <x v="22"/>
    <n v="900"/>
    <n v="218"/>
    <n v="36"/>
    <n v="4"/>
    <n v="1158"/>
    <x v="9"/>
    <n v="40"/>
    <x v="1"/>
  </r>
  <r>
    <d v="2026-06-25T00:00:00"/>
    <s v="Adult"/>
    <x v="2"/>
    <n v="728"/>
    <n v="300"/>
    <n v="78"/>
    <n v="17"/>
    <n v="1123"/>
    <x v="9"/>
    <n v="95"/>
    <x v="1"/>
  </r>
  <r>
    <d v="2026-06-25T00:00:00"/>
    <s v="Adult"/>
    <x v="20"/>
    <n v="208"/>
    <n v="99"/>
    <n v="19"/>
    <n v="18"/>
    <n v="344"/>
    <x v="9"/>
    <n v="37"/>
    <x v="1"/>
  </r>
  <r>
    <d v="2026-06-25T00:00:00"/>
    <s v="Adult"/>
    <x v="18"/>
    <n v="1403"/>
    <n v="882"/>
    <n v="331"/>
    <n v="223"/>
    <n v="2838"/>
    <x v="9"/>
    <n v="554"/>
    <x v="1"/>
  </r>
  <r>
    <d v="2026-06-25T00:00:00"/>
    <s v="Adult"/>
    <x v="15"/>
    <n v="303"/>
    <n v="109"/>
    <n v="33"/>
    <n v="6"/>
    <n v="451"/>
    <x v="9"/>
    <n v="39"/>
    <x v="1"/>
  </r>
  <r>
    <d v="2026-06-25T00:00:00"/>
    <s v="Adult"/>
    <x v="14"/>
    <n v="322"/>
    <n v="132"/>
    <n v="45"/>
    <n v="60"/>
    <n v="559"/>
    <x v="9"/>
    <n v="105"/>
    <x v="1"/>
  </r>
  <r>
    <d v="2026-06-25T00:00:00"/>
    <s v="Adult"/>
    <x v="29"/>
    <n v="1773"/>
    <n v="434"/>
    <n v="71"/>
    <n v="13"/>
    <n v="2291"/>
    <x v="9"/>
    <n v="84"/>
    <x v="1"/>
  </r>
  <r>
    <d v="2026-06-25T00:00:00"/>
    <s v="Adult"/>
    <x v="11"/>
    <n v="716"/>
    <n v="880"/>
    <n v="215"/>
    <n v="27"/>
    <n v="1838"/>
    <x v="9"/>
    <n v="242"/>
    <x v="1"/>
  </r>
  <r>
    <d v="2026-06-25T00:00:00"/>
    <s v="Adult"/>
    <x v="27"/>
    <n v="596"/>
    <n v="144"/>
    <n v="26"/>
    <n v="3"/>
    <n v="770"/>
    <x v="9"/>
    <n v="29"/>
    <x v="1"/>
  </r>
  <r>
    <d v="2026-06-25T00:00:00"/>
    <s v="Adult"/>
    <x v="7"/>
    <n v="635"/>
    <n v="159"/>
    <n v="34"/>
    <n v="81"/>
    <n v="909"/>
    <x v="9"/>
    <n v="115"/>
    <x v="1"/>
  </r>
  <r>
    <d v="2026-06-25T00:00:00"/>
    <s v="Adult"/>
    <x v="38"/>
    <n v="2009"/>
    <n v="898"/>
    <n v="381"/>
    <n v="392"/>
    <n v="3680"/>
    <x v="9"/>
    <n v="773"/>
    <x v="1"/>
  </r>
  <r>
    <d v="2026-06-25T00:00:00"/>
    <s v="Adult"/>
    <x v="35"/>
    <n v="1938"/>
    <n v="796"/>
    <n v="301"/>
    <n v="283"/>
    <n v="3319"/>
    <x v="9"/>
    <n v="584"/>
    <x v="1"/>
  </r>
  <r>
    <d v="2026-06-25T00:00:00"/>
    <s v="Adult"/>
    <x v="36"/>
    <n v="3010"/>
    <n v="889"/>
    <n v="484"/>
    <n v="185"/>
    <n v="4569"/>
    <x v="9"/>
    <n v="669"/>
    <x v="1"/>
  </r>
  <r>
    <d v="2026-06-25T00:00:00"/>
    <s v="Adult"/>
    <x v="44"/>
    <n v="4001"/>
    <n v="1791"/>
    <n v="644"/>
    <n v="459"/>
    <n v="6895"/>
    <x v="9"/>
    <n v="1103"/>
    <x v="1"/>
  </r>
  <r>
    <d v="2026-06-25T00:00:00"/>
    <s v="Adult"/>
    <x v="1"/>
    <n v="693"/>
    <n v="253"/>
    <n v="58"/>
    <n v="1"/>
    <n v="1005"/>
    <x v="9"/>
    <n v="59"/>
    <x v="1"/>
  </r>
  <r>
    <d v="2026-06-25T00:00:00"/>
    <s v="Adult"/>
    <x v="5"/>
    <n v="412"/>
    <n v="156"/>
    <n v="45"/>
    <n v="18"/>
    <n v="631"/>
    <x v="9"/>
    <n v="63"/>
    <x v="1"/>
  </r>
  <r>
    <d v="2026-06-25T00:00:00"/>
    <s v="Adult"/>
    <x v="45"/>
    <n v="966"/>
    <n v="516"/>
    <n v="146"/>
    <n v="92"/>
    <n v="1720"/>
    <x v="9"/>
    <n v="238"/>
    <x v="1"/>
  </r>
  <r>
    <d v="2026-06-25T00:00:00"/>
    <s v="Adult"/>
    <x v="46"/>
    <n v="3037"/>
    <n v="1211"/>
    <n v="352"/>
    <n v="269"/>
    <n v="4869"/>
    <x v="9"/>
    <n v="621"/>
    <x v="1"/>
  </r>
  <r>
    <d v="2026-06-25T00:00:00"/>
    <s v="Adult"/>
    <x v="12"/>
    <n v="3071"/>
    <n v="1187"/>
    <n v="501"/>
    <n v="500"/>
    <n v="5259"/>
    <x v="9"/>
    <n v="1001"/>
    <x v="1"/>
  </r>
  <r>
    <d v="2026-06-25T00:00:00"/>
    <s v="Adult"/>
    <x v="34"/>
    <n v="1699"/>
    <n v="1033"/>
    <n v="438"/>
    <n v="365"/>
    <n v="3535"/>
    <x v="9"/>
    <n v="803"/>
    <x v="1"/>
  </r>
  <r>
    <d v="2026-06-25T00:00:00"/>
    <s v="Adult"/>
    <x v="42"/>
    <n v="3448"/>
    <n v="1220"/>
    <n v="480"/>
    <n v="568"/>
    <n v="5716"/>
    <x v="9"/>
    <n v="1048"/>
    <x v="1"/>
  </r>
  <r>
    <d v="2026-06-25T00:00:00"/>
    <s v="Adult"/>
    <x v="24"/>
    <n v="619"/>
    <n v="316"/>
    <n v="63"/>
    <n v="37"/>
    <n v="1035"/>
    <x v="9"/>
    <n v="100"/>
    <x v="1"/>
  </r>
  <r>
    <d v="2026-07-30T00:00:00"/>
    <s v="Adult"/>
    <x v="23"/>
    <n v="5026"/>
    <n v="3098"/>
    <n v="1914"/>
    <n v="1791"/>
    <n v="11828"/>
    <x v="10"/>
    <n v="3705"/>
    <x v="1"/>
  </r>
  <r>
    <d v="2026-07-30T00:00:00"/>
    <s v="Adult"/>
    <x v="30"/>
    <n v="1503"/>
    <n v="305"/>
    <n v="55"/>
    <n v="7"/>
    <n v="1870"/>
    <x v="10"/>
    <n v="62"/>
    <x v="1"/>
  </r>
  <r>
    <d v="2026-07-30T00:00:00"/>
    <s v="Adult"/>
    <x v="40"/>
    <n v="1109"/>
    <n v="327"/>
    <n v="186"/>
    <n v="126"/>
    <n v="1748"/>
    <x v="10"/>
    <n v="312"/>
    <x v="1"/>
  </r>
  <r>
    <d v="2026-07-30T00:00:00"/>
    <s v="Adult"/>
    <x v="3"/>
    <n v="523"/>
    <n v="125"/>
    <n v="203"/>
    <n v="58"/>
    <n v="909"/>
    <x v="10"/>
    <n v="261"/>
    <x v="1"/>
  </r>
  <r>
    <d v="2026-07-30T00:00:00"/>
    <s v="Adult"/>
    <x v="41"/>
    <n v="6956"/>
    <n v="3172"/>
    <n v="1310"/>
    <n v="2291"/>
    <n v="13730"/>
    <x v="10"/>
    <n v="3601"/>
    <x v="1"/>
  </r>
  <r>
    <d v="2026-07-30T00:00:00"/>
    <s v="Adult"/>
    <x v="32"/>
    <n v="2514"/>
    <n v="998"/>
    <n v="131"/>
    <n v="22"/>
    <n v="3664"/>
    <x v="10"/>
    <n v="153"/>
    <x v="1"/>
  </r>
  <r>
    <d v="2026-07-30T00:00:00"/>
    <s v="Adult"/>
    <x v="43"/>
    <n v="5950"/>
    <n v="2612"/>
    <n v="1258"/>
    <n v="1462"/>
    <n v="11282"/>
    <x v="10"/>
    <n v="2720"/>
    <x v="1"/>
  </r>
  <r>
    <d v="2026-07-30T00:00:00"/>
    <s v="Adult"/>
    <x v="2"/>
    <n v="763"/>
    <n v="301"/>
    <n v="78"/>
    <n v="12"/>
    <n v="1154"/>
    <x v="10"/>
    <n v="90"/>
    <x v="1"/>
  </r>
  <r>
    <d v="2026-07-30T00:00:00"/>
    <s v="Adult"/>
    <x v="26"/>
    <n v="586"/>
    <n v="141"/>
    <n v="32"/>
    <n v="3"/>
    <n v="762"/>
    <x v="10"/>
    <n v="35"/>
    <x v="1"/>
  </r>
  <r>
    <d v="2026-07-30T00:00:00"/>
    <s v="Adult"/>
    <x v="20"/>
    <n v="265"/>
    <n v="78"/>
    <n v="27"/>
    <n v="9"/>
    <n v="380"/>
    <x v="10"/>
    <n v="36"/>
    <x v="1"/>
  </r>
  <r>
    <d v="2026-07-30T00:00:00"/>
    <s v="Adult"/>
    <x v="18"/>
    <n v="1600"/>
    <n v="788"/>
    <n v="350"/>
    <n v="257"/>
    <n v="2995"/>
    <x v="10"/>
    <n v="607"/>
    <x v="1"/>
  </r>
  <r>
    <d v="2026-07-30T00:00:00"/>
    <s v="Adult"/>
    <x v="15"/>
    <n v="329"/>
    <n v="99"/>
    <n v="35"/>
    <n v="5"/>
    <n v="468"/>
    <x v="10"/>
    <n v="40"/>
    <x v="1"/>
  </r>
  <r>
    <d v="2026-07-30T00:00:00"/>
    <s v="Adult"/>
    <x v="14"/>
    <n v="369"/>
    <n v="124"/>
    <n v="54"/>
    <n v="58"/>
    <n v="605"/>
    <x v="10"/>
    <n v="112"/>
    <x v="1"/>
  </r>
  <r>
    <d v="2026-07-30T00:00:00"/>
    <s v="Adult"/>
    <x v="29"/>
    <n v="1936"/>
    <n v="319"/>
    <n v="13"/>
    <n v="9"/>
    <n v="2276"/>
    <x v="10"/>
    <n v="22"/>
    <x v="1"/>
  </r>
  <r>
    <d v="2026-07-30T00:00:00"/>
    <s v="Adult"/>
    <x v="11"/>
    <n v="709"/>
    <n v="860"/>
    <n v="271"/>
    <n v="54"/>
    <n v="1894"/>
    <x v="10"/>
    <n v="325"/>
    <x v="1"/>
  </r>
  <r>
    <d v="2026-07-30T00:00:00"/>
    <s v="Adult"/>
    <x v="21"/>
    <n v="371"/>
    <n v="51"/>
    <n v="33"/>
    <n v="3"/>
    <n v="458"/>
    <x v="10"/>
    <n v="36"/>
    <x v="1"/>
  </r>
  <r>
    <d v="2026-07-30T00:00:00"/>
    <s v="Adult"/>
    <x v="7"/>
    <n v="641"/>
    <n v="164"/>
    <n v="27"/>
    <n v="80"/>
    <n v="911"/>
    <x v="10"/>
    <n v="107"/>
    <x v="1"/>
  </r>
  <r>
    <d v="2026-07-30T00:00:00"/>
    <s v="Adult"/>
    <x v="10"/>
    <n v="479"/>
    <n v="45"/>
    <n v="3"/>
    <n v="18"/>
    <n v="545"/>
    <x v="10"/>
    <n v="21"/>
    <x v="1"/>
  </r>
  <r>
    <d v="2026-07-30T00:00:00"/>
    <s v="Adult"/>
    <x v="38"/>
    <n v="2348"/>
    <n v="800"/>
    <n v="407"/>
    <n v="414"/>
    <n v="3969"/>
    <x v="10"/>
    <n v="821"/>
    <x v="1"/>
  </r>
  <r>
    <d v="2026-07-30T00:00:00"/>
    <s v="Adult"/>
    <x v="35"/>
    <n v="2105"/>
    <n v="681"/>
    <n v="276"/>
    <n v="272"/>
    <n v="3334"/>
    <x v="10"/>
    <n v="548"/>
    <x v="1"/>
  </r>
  <r>
    <d v="2026-07-30T00:00:00"/>
    <s v="Adult"/>
    <x v="36"/>
    <n v="3058"/>
    <n v="817"/>
    <n v="487"/>
    <n v="139"/>
    <n v="4501"/>
    <x v="10"/>
    <n v="626"/>
    <x v="1"/>
  </r>
  <r>
    <d v="2026-07-30T00:00:00"/>
    <s v="Adult"/>
    <x v="44"/>
    <n v="4120"/>
    <n v="1665"/>
    <n v="716"/>
    <n v="485"/>
    <n v="6986"/>
    <x v="10"/>
    <n v="1201"/>
    <x v="1"/>
  </r>
  <r>
    <d v="2026-07-30T00:00:00"/>
    <s v="Adult"/>
    <x v="5"/>
    <n v="411"/>
    <n v="145"/>
    <n v="52"/>
    <n v="12"/>
    <n v="620"/>
    <x v="10"/>
    <n v="64"/>
    <x v="1"/>
  </r>
  <r>
    <d v="2026-07-30T00:00:00"/>
    <s v="Adult"/>
    <x v="45"/>
    <n v="1062"/>
    <n v="480"/>
    <n v="176"/>
    <n v="102"/>
    <n v="1821"/>
    <x v="10"/>
    <n v="278"/>
    <x v="1"/>
  </r>
  <r>
    <d v="2026-07-30T00:00:00"/>
    <s v="Adult"/>
    <x v="46"/>
    <n v="3128"/>
    <n v="1118"/>
    <n v="361"/>
    <n v="281"/>
    <n v="4888"/>
    <x v="10"/>
    <n v="642"/>
    <x v="1"/>
  </r>
  <r>
    <d v="2026-07-30T00:00:00"/>
    <s v="Adult"/>
    <x v="12"/>
    <n v="3198"/>
    <n v="1102"/>
    <n v="484"/>
    <n v="455"/>
    <n v="5239"/>
    <x v="10"/>
    <n v="939"/>
    <x v="1"/>
  </r>
  <r>
    <d v="2026-07-30T00:00:00"/>
    <s v="Adult"/>
    <x v="34"/>
    <n v="1693"/>
    <n v="1027"/>
    <n v="459"/>
    <n v="387"/>
    <n v="3566"/>
    <x v="10"/>
    <n v="846"/>
    <x v="1"/>
  </r>
  <r>
    <d v="2026-07-30T00:00:00"/>
    <s v="Adult"/>
    <x v="42"/>
    <n v="3433"/>
    <n v="1162"/>
    <n v="529"/>
    <n v="565"/>
    <n v="5689"/>
    <x v="10"/>
    <n v="1094"/>
    <x v="1"/>
  </r>
  <r>
    <d v="2026-07-30T00:00:00"/>
    <s v="Adult"/>
    <x v="24"/>
    <n v="607"/>
    <n v="299"/>
    <n v="61"/>
    <n v="35"/>
    <n v="1001"/>
    <x v="10"/>
    <n v="96"/>
    <x v="1"/>
  </r>
  <r>
    <d v="2026-08-27T00:00:00"/>
    <s v="Adult"/>
    <x v="23"/>
    <n v="4833"/>
    <n v="2927"/>
    <n v="1949"/>
    <n v="1687"/>
    <n v="11397"/>
    <x v="11"/>
    <n v="3636"/>
    <x v="1"/>
  </r>
  <r>
    <d v="2026-08-27T00:00:00"/>
    <s v="Adult"/>
    <x v="40"/>
    <n v="1083"/>
    <n v="329"/>
    <n v="167"/>
    <n v="130"/>
    <n v="1709"/>
    <x v="11"/>
    <n v="297"/>
    <x v="1"/>
  </r>
  <r>
    <d v="2026-08-27T00:00:00"/>
    <s v="Adult"/>
    <x v="3"/>
    <n v="449"/>
    <n v="132"/>
    <n v="174"/>
    <n v="96"/>
    <n v="851"/>
    <x v="11"/>
    <n v="270"/>
    <x v="1"/>
  </r>
  <r>
    <d v="2026-08-27T00:00:00"/>
    <s v="Adult"/>
    <x v="13"/>
    <n v="588"/>
    <n v="223"/>
    <n v="123"/>
    <n v="1"/>
    <n v="935"/>
    <x v="11"/>
    <n v="124"/>
    <x v="1"/>
  </r>
  <r>
    <d v="2026-08-27T00:00:00"/>
    <s v="Adult"/>
    <x v="41"/>
    <n v="6678"/>
    <n v="3638"/>
    <n v="1332"/>
    <n v="2280"/>
    <n v="13927"/>
    <x v="11"/>
    <n v="3612"/>
    <x v="1"/>
  </r>
  <r>
    <d v="2026-08-27T00:00:00"/>
    <s v="Adult"/>
    <x v="32"/>
    <n v="2411"/>
    <n v="1208"/>
    <n v="142"/>
    <n v="35"/>
    <n v="3795"/>
    <x v="11"/>
    <n v="177"/>
    <x v="1"/>
  </r>
  <r>
    <d v="2026-08-27T00:00:00"/>
    <s v="Adult"/>
    <x v="43"/>
    <n v="6009"/>
    <n v="2631"/>
    <n v="1369"/>
    <n v="1527"/>
    <n v="11536"/>
    <x v="11"/>
    <n v="2896"/>
    <x v="1"/>
  </r>
  <r>
    <d v="2026-08-27T00:00:00"/>
    <s v="Adult"/>
    <x v="22"/>
    <n v="989"/>
    <n v="187"/>
    <n v="35"/>
    <n v="9"/>
    <n v="1220"/>
    <x v="11"/>
    <n v="44"/>
    <x v="1"/>
  </r>
  <r>
    <d v="2026-08-27T00:00:00"/>
    <s v="Adult"/>
    <x v="2"/>
    <n v="597"/>
    <n v="313"/>
    <n v="84"/>
    <n v="14"/>
    <n v="1008"/>
    <x v="11"/>
    <n v="98"/>
    <x v="1"/>
  </r>
  <r>
    <d v="2026-08-27T00:00:00"/>
    <s v="Adult"/>
    <x v="26"/>
    <n v="577"/>
    <n v="172"/>
    <n v="38"/>
    <n v="4"/>
    <n v="790"/>
    <x v="11"/>
    <n v="42"/>
    <x v="1"/>
  </r>
  <r>
    <d v="2026-08-27T00:00:00"/>
    <s v="Adult"/>
    <x v="20"/>
    <n v="287"/>
    <n v="67"/>
    <n v="29"/>
    <n v="4"/>
    <n v="386"/>
    <x v="11"/>
    <n v="33"/>
    <x v="1"/>
  </r>
  <r>
    <d v="2026-08-27T00:00:00"/>
    <s v="Adult"/>
    <x v="18"/>
    <n v="1513"/>
    <n v="795"/>
    <n v="335"/>
    <n v="287"/>
    <n v="2930"/>
    <x v="11"/>
    <n v="622"/>
    <x v="1"/>
  </r>
  <r>
    <d v="2026-08-27T00:00:00"/>
    <s v="Adult"/>
    <x v="14"/>
    <n v="347"/>
    <n v="130"/>
    <n v="58"/>
    <n v="52"/>
    <n v="587"/>
    <x v="11"/>
    <n v="110"/>
    <x v="1"/>
  </r>
  <r>
    <d v="2026-08-27T00:00:00"/>
    <s v="Adult"/>
    <x v="11"/>
    <n v="640"/>
    <n v="652"/>
    <n v="440"/>
    <n v="54"/>
    <n v="1786"/>
    <x v="11"/>
    <n v="494"/>
    <x v="1"/>
  </r>
  <r>
    <d v="2026-08-27T00:00:00"/>
    <s v="Adult"/>
    <x v="7"/>
    <n v="569"/>
    <n v="196"/>
    <n v="31"/>
    <n v="80"/>
    <n v="876"/>
    <x v="11"/>
    <n v="111"/>
    <x v="1"/>
  </r>
  <r>
    <d v="2026-08-27T00:00:00"/>
    <s v="Adult"/>
    <x v="10"/>
    <n v="474"/>
    <n v="58"/>
    <n v="1"/>
    <n v="18"/>
    <n v="551"/>
    <x v="11"/>
    <n v="19"/>
    <x v="1"/>
  </r>
  <r>
    <d v="2026-08-27T00:00:00"/>
    <s v="Adult"/>
    <x v="38"/>
    <n v="2487"/>
    <n v="830"/>
    <n v="419"/>
    <n v="413"/>
    <n v="4149"/>
    <x v="11"/>
    <n v="832"/>
    <x v="1"/>
  </r>
  <r>
    <d v="2026-08-27T00:00:00"/>
    <s v="Adult"/>
    <x v="35"/>
    <n v="2010"/>
    <n v="666"/>
    <n v="260"/>
    <n v="245"/>
    <n v="3181"/>
    <x v="11"/>
    <n v="505"/>
    <x v="1"/>
  </r>
  <r>
    <d v="2026-08-27T00:00:00"/>
    <s v="Adult"/>
    <x v="36"/>
    <n v="3000"/>
    <n v="817"/>
    <n v="450"/>
    <n v="95"/>
    <n v="4362"/>
    <x v="11"/>
    <n v="545"/>
    <x v="1"/>
  </r>
  <r>
    <d v="2026-08-27T00:00:00"/>
    <s v="Adult"/>
    <x v="44"/>
    <n v="3985"/>
    <n v="1716"/>
    <n v="747"/>
    <n v="574"/>
    <n v="7021"/>
    <x v="11"/>
    <n v="1321"/>
    <x v="1"/>
  </r>
  <r>
    <d v="2026-08-27T00:00:00"/>
    <s v="Adult"/>
    <x v="1"/>
    <n v="749"/>
    <n v="257"/>
    <n v="48"/>
    <n v="3"/>
    <n v="1057"/>
    <x v="11"/>
    <n v="51"/>
    <x v="1"/>
  </r>
  <r>
    <d v="2026-08-27T00:00:00"/>
    <s v="Adult"/>
    <x v="5"/>
    <n v="470"/>
    <n v="156"/>
    <n v="60"/>
    <n v="18"/>
    <n v="704"/>
    <x v="11"/>
    <n v="78"/>
    <x v="1"/>
  </r>
  <r>
    <d v="2026-08-27T00:00:00"/>
    <s v="Adult"/>
    <x v="45"/>
    <n v="836"/>
    <n v="445"/>
    <n v="171"/>
    <n v="91"/>
    <n v="1543"/>
    <x v="11"/>
    <n v="262"/>
    <x v="1"/>
  </r>
  <r>
    <d v="2026-08-27T00:00:00"/>
    <s v="Adult"/>
    <x v="46"/>
    <n v="3109"/>
    <n v="1147"/>
    <n v="374"/>
    <n v="290"/>
    <n v="4920"/>
    <x v="11"/>
    <n v="664"/>
    <x v="1"/>
  </r>
  <r>
    <d v="2026-08-27T00:00:00"/>
    <s v="Adult"/>
    <x v="12"/>
    <n v="3051"/>
    <n v="1083"/>
    <n v="460"/>
    <n v="425"/>
    <n v="5019"/>
    <x v="11"/>
    <n v="885"/>
    <x v="1"/>
  </r>
  <r>
    <d v="2026-08-27T00:00:00"/>
    <s v="Adult"/>
    <x v="34"/>
    <n v="1658"/>
    <n v="996"/>
    <n v="398"/>
    <n v="414"/>
    <n v="3467"/>
    <x v="11"/>
    <n v="812"/>
    <x v="1"/>
  </r>
  <r>
    <d v="2026-08-27T00:00:00"/>
    <s v="Adult"/>
    <x v="42"/>
    <n v="3204"/>
    <n v="1221"/>
    <n v="517"/>
    <n v="655"/>
    <n v="5596"/>
    <x v="11"/>
    <n v="1172"/>
    <x v="1"/>
  </r>
  <r>
    <d v="2026-08-27T00:00:00"/>
    <s v="Adult"/>
    <x v="24"/>
    <n v="618"/>
    <n v="256"/>
    <n v="105"/>
    <n v="56"/>
    <n v="1035"/>
    <x v="11"/>
    <n v="161"/>
    <x v="1"/>
  </r>
  <r>
    <d v="2023-01-26T00:00:00"/>
    <s v="Adult"/>
    <x v="23"/>
    <n v="21651"/>
    <n v="7237"/>
    <n v="212"/>
    <n v="11"/>
    <n v="29110"/>
    <x v="36"/>
    <n v="223"/>
    <x v="0"/>
  </r>
  <r>
    <d v="2023-01-26T00:00:00"/>
    <s v="Adult"/>
    <x v="16"/>
    <n v="3957"/>
    <n v="2824"/>
    <n v="268"/>
    <n v="4"/>
    <n v="7052"/>
    <x v="36"/>
    <n v="272"/>
    <x v="0"/>
  </r>
  <r>
    <d v="2023-01-26T00:00:00"/>
    <s v="Adult"/>
    <x v="30"/>
    <n v="4324"/>
    <n v="530"/>
    <n v="54"/>
    <n v="4"/>
    <n v="4911"/>
    <x v="36"/>
    <n v="58"/>
    <x v="0"/>
  </r>
  <r>
    <d v="2023-01-26T00:00:00"/>
    <s v="Adult"/>
    <x v="9"/>
    <n v="1878"/>
    <n v="809"/>
    <n v="329"/>
    <n v="305"/>
    <n v="3321"/>
    <x v="36"/>
    <n v="634"/>
    <x v="0"/>
  </r>
  <r>
    <d v="2023-01-26T00:00:00"/>
    <s v="Adult"/>
    <x v="40"/>
    <n v="13060"/>
    <n v="6364"/>
    <n v="4433"/>
    <n v="7597"/>
    <n v="31454"/>
    <x v="36"/>
    <n v="12030"/>
    <x v="0"/>
  </r>
  <r>
    <d v="2023-01-26T00:00:00"/>
    <s v="Adult"/>
    <x v="6"/>
    <n v="1700"/>
    <n v="312"/>
    <n v="48"/>
    <n v="24"/>
    <n v="2084"/>
    <x v="36"/>
    <n v="72"/>
    <x v="0"/>
  </r>
  <r>
    <d v="2023-01-26T00:00:00"/>
    <s v="Adult"/>
    <x v="3"/>
    <n v="1971"/>
    <n v="1153"/>
    <n v="518"/>
    <n v="632"/>
    <n v="4274"/>
    <x v="36"/>
    <n v="1150"/>
    <x v="0"/>
  </r>
  <r>
    <d v="2023-01-26T00:00:00"/>
    <s v="Adult"/>
    <x v="13"/>
    <n v="447"/>
    <n v="313"/>
    <n v="77"/>
    <n v="24"/>
    <n v="861"/>
    <x v="36"/>
    <n v="101"/>
    <x v="0"/>
  </r>
  <r>
    <d v="2023-01-26T00:00:00"/>
    <s v="Adult"/>
    <x v="41"/>
    <n v="18224"/>
    <n v="10002"/>
    <n v="6535"/>
    <n v="13465"/>
    <n v="48226"/>
    <x v="36"/>
    <n v="20000"/>
    <x v="0"/>
  </r>
  <r>
    <d v="2023-01-26T00:00:00"/>
    <s v="Adult"/>
    <x v="32"/>
    <n v="7200"/>
    <n v="2857"/>
    <n v="1481"/>
    <n v="3593"/>
    <n v="15130"/>
    <x v="36"/>
    <n v="5074"/>
    <x v="0"/>
  </r>
  <r>
    <d v="2023-01-26T00:00:00"/>
    <s v="Adult"/>
    <x v="17"/>
    <n v="1988"/>
    <n v="898"/>
    <n v="185"/>
    <n v="105"/>
    <n v="3176"/>
    <x v="36"/>
    <n v="290"/>
    <x v="0"/>
  </r>
  <r>
    <d v="2023-01-26T00:00:00"/>
    <s v="Adult"/>
    <x v="4"/>
    <n v="1992"/>
    <n v="747"/>
    <n v="240"/>
    <n v="230"/>
    <n v="3209"/>
    <x v="36"/>
    <n v="470"/>
    <x v="0"/>
  </r>
  <r>
    <d v="2023-01-26T00:00:00"/>
    <s v="Adult"/>
    <x v="43"/>
    <n v="20926"/>
    <n v="6418"/>
    <n v="2878"/>
    <n v="7925"/>
    <n v="38147"/>
    <x v="36"/>
    <n v="10803"/>
    <x v="0"/>
  </r>
  <r>
    <d v="2023-01-26T00:00:00"/>
    <s v="Adult"/>
    <x v="22"/>
    <n v="4314"/>
    <n v="1995"/>
    <n v="719"/>
    <n v="1840"/>
    <n v="8868"/>
    <x v="36"/>
    <n v="2559"/>
    <x v="0"/>
  </r>
  <r>
    <d v="2023-01-26T00:00:00"/>
    <s v="Adult"/>
    <x v="2"/>
    <n v="2732"/>
    <n v="1232"/>
    <n v="597"/>
    <n v="1761"/>
    <n v="6322"/>
    <x v="36"/>
    <n v="2358"/>
    <x v="0"/>
  </r>
  <r>
    <d v="2023-01-26T00:00:00"/>
    <s v="Adult"/>
    <x v="26"/>
    <n v="3996"/>
    <n v="2481"/>
    <n v="1347"/>
    <n v="1250"/>
    <n v="9074"/>
    <x v="36"/>
    <n v="2597"/>
    <x v="0"/>
  </r>
  <r>
    <d v="2023-01-26T00:00:00"/>
    <s v="Adult"/>
    <x v="20"/>
    <n v="2159"/>
    <n v="1230"/>
    <n v="717"/>
    <n v="543"/>
    <n v="4649"/>
    <x v="36"/>
    <n v="1260"/>
    <x v="0"/>
  </r>
  <r>
    <d v="2023-01-26T00:00:00"/>
    <s v="Adult"/>
    <x v="18"/>
    <n v="7265"/>
    <n v="3757"/>
    <n v="1046"/>
    <n v="402"/>
    <n v="12470"/>
    <x v="36"/>
    <n v="1448"/>
    <x v="0"/>
  </r>
  <r>
    <d v="2023-01-26T00:00:00"/>
    <s v="Adult"/>
    <x v="15"/>
    <n v="5248"/>
    <n v="2044"/>
    <n v="875"/>
    <n v="631"/>
    <n v="8798"/>
    <x v="36"/>
    <n v="1506"/>
    <x v="0"/>
  </r>
  <r>
    <d v="2023-01-26T00:00:00"/>
    <s v="Adult"/>
    <x v="29"/>
    <n v="2749"/>
    <n v="923"/>
    <n v="105"/>
    <n v="27"/>
    <n v="3804"/>
    <x v="36"/>
    <n v="132"/>
    <x v="0"/>
  </r>
  <r>
    <d v="2023-01-26T00:00:00"/>
    <s v="Adult"/>
    <x v="11"/>
    <n v="316"/>
    <n v="181"/>
    <n v="65"/>
    <n v="23"/>
    <n v="585"/>
    <x v="36"/>
    <n v="88"/>
    <x v="0"/>
  </r>
  <r>
    <d v="2023-01-26T00:00:00"/>
    <s v="Adult"/>
    <x v="27"/>
    <n v="6649"/>
    <n v="3628"/>
    <n v="805"/>
    <n v="211"/>
    <n v="11293"/>
    <x v="36"/>
    <n v="1016"/>
    <x v="0"/>
  </r>
  <r>
    <d v="2023-01-26T00:00:00"/>
    <s v="Adult"/>
    <x v="0"/>
    <n v="2948"/>
    <n v="1225"/>
    <n v="527"/>
    <n v="1176"/>
    <n v="5876"/>
    <x v="36"/>
    <n v="1703"/>
    <x v="0"/>
  </r>
  <r>
    <d v="2023-01-26T00:00:00"/>
    <s v="Adult"/>
    <x v="21"/>
    <n v="1867"/>
    <n v="678"/>
    <n v="258"/>
    <n v="579"/>
    <n v="3381"/>
    <x v="36"/>
    <n v="837"/>
    <x v="0"/>
  </r>
  <r>
    <d v="2023-01-26T00:00:00"/>
    <s v="Adult"/>
    <x v="7"/>
    <n v="2882"/>
    <n v="1383"/>
    <n v="629"/>
    <n v="1384"/>
    <n v="6278"/>
    <x v="36"/>
    <n v="2013"/>
    <x v="0"/>
  </r>
  <r>
    <d v="2023-01-26T00:00:00"/>
    <s v="Adult"/>
    <x v="38"/>
    <n v="4738"/>
    <n v="2829"/>
    <n v="1574"/>
    <n v="3609"/>
    <n v="12750"/>
    <x v="36"/>
    <n v="5183"/>
    <x v="0"/>
  </r>
  <r>
    <d v="2023-01-26T00:00:00"/>
    <s v="Adult"/>
    <x v="35"/>
    <n v="7440"/>
    <n v="3582"/>
    <n v="1846"/>
    <n v="2441"/>
    <n v="15309"/>
    <x v="36"/>
    <n v="4287"/>
    <x v="0"/>
  </r>
  <r>
    <d v="2023-01-26T00:00:00"/>
    <s v="Adult"/>
    <x v="36"/>
    <n v="9365"/>
    <n v="5016"/>
    <n v="2409"/>
    <n v="5857"/>
    <n v="22647"/>
    <x v="36"/>
    <n v="8266"/>
    <x v="0"/>
  </r>
  <r>
    <d v="2023-01-26T00:00:00"/>
    <s v="Adult"/>
    <x v="37"/>
    <n v="2197"/>
    <n v="1847"/>
    <n v="1156"/>
    <n v="2478"/>
    <n v="7677"/>
    <x v="36"/>
    <n v="3634"/>
    <x v="0"/>
  </r>
  <r>
    <d v="2023-01-26T00:00:00"/>
    <s v="Adult"/>
    <x v="44"/>
    <n v="14567"/>
    <n v="4517"/>
    <n v="1779"/>
    <n v="1915"/>
    <n v="22778"/>
    <x v="36"/>
    <n v="3694"/>
    <x v="0"/>
  </r>
  <r>
    <d v="2023-01-26T00:00:00"/>
    <s v="Adult"/>
    <x v="1"/>
    <n v="608"/>
    <n v="322"/>
    <n v="207"/>
    <n v="289"/>
    <n v="1426"/>
    <x v="36"/>
    <n v="496"/>
    <x v="0"/>
  </r>
  <r>
    <d v="2023-01-26T00:00:00"/>
    <s v="Adult"/>
    <x v="5"/>
    <n v="3060"/>
    <n v="1136"/>
    <n v="116"/>
    <n v="28"/>
    <n v="4339"/>
    <x v="36"/>
    <n v="144"/>
    <x v="0"/>
  </r>
  <r>
    <d v="2023-01-26T00:00:00"/>
    <s v="Adult"/>
    <x v="45"/>
    <n v="2802"/>
    <n v="743"/>
    <n v="189"/>
    <n v="164"/>
    <n v="3898"/>
    <x v="36"/>
    <n v="353"/>
    <x v="0"/>
  </r>
  <r>
    <d v="2023-01-26T00:00:00"/>
    <s v="Adult"/>
    <x v="46"/>
    <n v="16574"/>
    <n v="4811"/>
    <n v="1305"/>
    <n v="1117"/>
    <n v="23806"/>
    <x v="36"/>
    <n v="2422"/>
    <x v="0"/>
  </r>
  <r>
    <d v="2023-01-26T00:00:00"/>
    <s v="Adult"/>
    <x v="12"/>
    <n v="12544"/>
    <n v="9741"/>
    <n v="5557"/>
    <n v="9359"/>
    <n v="37201"/>
    <x v="36"/>
    <n v="14916"/>
    <x v="0"/>
  </r>
  <r>
    <d v="2023-01-26T00:00:00"/>
    <s v="Adult"/>
    <x v="8"/>
    <n v="1966"/>
    <n v="819"/>
    <n v="313"/>
    <n v="196"/>
    <n v="3293"/>
    <x v="36"/>
    <n v="509"/>
    <x v="0"/>
  </r>
  <r>
    <d v="2023-01-26T00:00:00"/>
    <s v="Adult"/>
    <x v="19"/>
    <n v="4968"/>
    <n v="1604"/>
    <n v="860"/>
    <n v="270"/>
    <n v="7701"/>
    <x v="36"/>
    <n v="1130"/>
    <x v="0"/>
  </r>
  <r>
    <d v="2023-01-26T00:00:00"/>
    <s v="Adult"/>
    <x v="34"/>
    <n v="13114"/>
    <n v="6246"/>
    <n v="3874"/>
    <n v="5786"/>
    <n v="29019"/>
    <x v="36"/>
    <n v="9660"/>
    <x v="0"/>
  </r>
  <r>
    <d v="2023-01-26T00:00:00"/>
    <s v="Adult"/>
    <x v="42"/>
    <n v="14854"/>
    <n v="7860"/>
    <n v="3779"/>
    <n v="5578"/>
    <n v="32070"/>
    <x v="36"/>
    <n v="9357"/>
    <x v="0"/>
  </r>
  <r>
    <d v="2023-01-26T00:00:00"/>
    <s v="Adult"/>
    <x v="24"/>
    <n v="2671"/>
    <n v="803"/>
    <n v="114"/>
    <n v="5"/>
    <n v="3593"/>
    <x v="36"/>
    <n v="119"/>
    <x v="0"/>
  </r>
  <r>
    <d v="2023-02-23T00:00:00"/>
    <s v="Adult"/>
    <x v="23"/>
    <n v="21660"/>
    <n v="7881"/>
    <n v="577"/>
    <n v="15"/>
    <n v="30133"/>
    <x v="37"/>
    <n v="592"/>
    <x v="0"/>
  </r>
  <r>
    <d v="2023-02-23T00:00:00"/>
    <s v="Adult"/>
    <x v="9"/>
    <n v="1860"/>
    <n v="803"/>
    <n v="278"/>
    <n v="324"/>
    <n v="3265"/>
    <x v="37"/>
    <n v="602"/>
    <x v="0"/>
  </r>
  <r>
    <d v="2023-02-23T00:00:00"/>
    <s v="Adult"/>
    <x v="40"/>
    <n v="13253"/>
    <n v="6311"/>
    <n v="4561"/>
    <n v="7610"/>
    <n v="31734"/>
    <x v="37"/>
    <n v="12171"/>
    <x v="0"/>
  </r>
  <r>
    <d v="2023-02-23T00:00:00"/>
    <s v="Adult"/>
    <x v="6"/>
    <n v="1789"/>
    <n v="233"/>
    <n v="34"/>
    <n v="17"/>
    <n v="2073"/>
    <x v="37"/>
    <n v="51"/>
    <x v="0"/>
  </r>
  <r>
    <d v="2023-02-23T00:00:00"/>
    <s v="Adult"/>
    <x v="3"/>
    <n v="2116"/>
    <n v="1138"/>
    <n v="440"/>
    <n v="610"/>
    <n v="4304"/>
    <x v="37"/>
    <n v="1050"/>
    <x v="0"/>
  </r>
  <r>
    <d v="2023-02-23T00:00:00"/>
    <s v="Adult"/>
    <x v="13"/>
    <n v="466"/>
    <n v="307"/>
    <n v="74"/>
    <n v="15"/>
    <n v="862"/>
    <x v="37"/>
    <n v="89"/>
    <x v="0"/>
  </r>
  <r>
    <d v="2023-02-23T00:00:00"/>
    <s v="Adult"/>
    <x v="41"/>
    <n v="18760"/>
    <n v="10017"/>
    <n v="6723"/>
    <n v="13740"/>
    <n v="49240"/>
    <x v="37"/>
    <n v="20463"/>
    <x v="0"/>
  </r>
  <r>
    <d v="2023-02-23T00:00:00"/>
    <s v="Adult"/>
    <x v="32"/>
    <n v="7479"/>
    <n v="2809"/>
    <n v="1507"/>
    <n v="3560"/>
    <n v="15354"/>
    <x v="37"/>
    <n v="5067"/>
    <x v="0"/>
  </r>
  <r>
    <d v="2023-02-23T00:00:00"/>
    <s v="Adult"/>
    <x v="17"/>
    <n v="1978"/>
    <n v="925"/>
    <n v="228"/>
    <n v="96"/>
    <n v="3227"/>
    <x v="37"/>
    <n v="324"/>
    <x v="0"/>
  </r>
  <r>
    <d v="2023-02-23T00:00:00"/>
    <s v="Adult"/>
    <x v="4"/>
    <n v="2101"/>
    <n v="736"/>
    <n v="234"/>
    <n v="213"/>
    <n v="3284"/>
    <x v="37"/>
    <n v="447"/>
    <x v="0"/>
  </r>
  <r>
    <d v="2023-02-23T00:00:00"/>
    <s v="Adult"/>
    <x v="43"/>
    <n v="20836"/>
    <n v="6664"/>
    <n v="2876"/>
    <n v="7926"/>
    <n v="38301"/>
    <x v="37"/>
    <n v="10802"/>
    <x v="0"/>
  </r>
  <r>
    <d v="2023-02-23T00:00:00"/>
    <s v="Adult"/>
    <x v="22"/>
    <n v="4264"/>
    <n v="1946"/>
    <n v="733"/>
    <n v="1894"/>
    <n v="8837"/>
    <x v="37"/>
    <n v="2627"/>
    <x v="0"/>
  </r>
  <r>
    <d v="2023-02-23T00:00:00"/>
    <s v="Adult"/>
    <x v="2"/>
    <n v="2719"/>
    <n v="1185"/>
    <n v="603"/>
    <n v="1678"/>
    <n v="6184"/>
    <x v="37"/>
    <n v="2281"/>
    <x v="0"/>
  </r>
  <r>
    <d v="2023-02-23T00:00:00"/>
    <s v="Adult"/>
    <x v="26"/>
    <n v="4053"/>
    <n v="2493"/>
    <n v="1342"/>
    <n v="1347"/>
    <n v="9235"/>
    <x v="37"/>
    <n v="2689"/>
    <x v="0"/>
  </r>
  <r>
    <d v="2023-02-23T00:00:00"/>
    <s v="Adult"/>
    <x v="20"/>
    <n v="2142"/>
    <n v="1193"/>
    <n v="723"/>
    <n v="562"/>
    <n v="4620"/>
    <x v="37"/>
    <n v="1285"/>
    <x v="0"/>
  </r>
  <r>
    <d v="2023-02-23T00:00:00"/>
    <s v="Adult"/>
    <x v="18"/>
    <n v="7256"/>
    <n v="3663"/>
    <n v="1089"/>
    <n v="473"/>
    <n v="12481"/>
    <x v="37"/>
    <n v="1562"/>
    <x v="0"/>
  </r>
  <r>
    <d v="2023-02-23T00:00:00"/>
    <s v="Adult"/>
    <x v="15"/>
    <n v="5422"/>
    <n v="2108"/>
    <n v="912"/>
    <n v="576"/>
    <n v="9018"/>
    <x v="37"/>
    <n v="1488"/>
    <x v="0"/>
  </r>
  <r>
    <d v="2023-02-23T00:00:00"/>
    <s v="Adult"/>
    <x v="29"/>
    <n v="2675"/>
    <n v="1066"/>
    <n v="96"/>
    <n v="34"/>
    <n v="3871"/>
    <x v="37"/>
    <n v="130"/>
    <x v="0"/>
  </r>
  <r>
    <d v="2023-02-23T00:00:00"/>
    <s v="Adult"/>
    <x v="11"/>
    <n v="328"/>
    <n v="200"/>
    <n v="63"/>
    <n v="27"/>
    <n v="618"/>
    <x v="37"/>
    <n v="90"/>
    <x v="0"/>
  </r>
  <r>
    <d v="2023-02-23T00:00:00"/>
    <s v="Adult"/>
    <x v="27"/>
    <n v="6828"/>
    <n v="3884"/>
    <n v="860"/>
    <n v="151"/>
    <n v="11722"/>
    <x v="37"/>
    <n v="1011"/>
    <x v="0"/>
  </r>
  <r>
    <d v="2023-02-23T00:00:00"/>
    <s v="Adult"/>
    <x v="0"/>
    <n v="3070"/>
    <n v="1239"/>
    <n v="544"/>
    <n v="1130"/>
    <n v="5983"/>
    <x v="37"/>
    <n v="1674"/>
    <x v="0"/>
  </r>
  <r>
    <d v="2023-02-23T00:00:00"/>
    <s v="Adult"/>
    <x v="21"/>
    <n v="1945"/>
    <n v="624"/>
    <n v="296"/>
    <n v="538"/>
    <n v="3403"/>
    <x v="37"/>
    <n v="834"/>
    <x v="0"/>
  </r>
  <r>
    <d v="2023-02-23T00:00:00"/>
    <s v="Adult"/>
    <x v="7"/>
    <n v="2983"/>
    <n v="1400"/>
    <n v="656"/>
    <n v="1357"/>
    <n v="6396"/>
    <x v="37"/>
    <n v="2013"/>
    <x v="0"/>
  </r>
  <r>
    <d v="2023-02-23T00:00:00"/>
    <s v="Adult"/>
    <x v="38"/>
    <n v="4883"/>
    <n v="2865"/>
    <n v="1671"/>
    <n v="3596"/>
    <n v="13015"/>
    <x v="37"/>
    <n v="5267"/>
    <x v="0"/>
  </r>
  <r>
    <d v="2023-02-23T00:00:00"/>
    <s v="Adult"/>
    <x v="35"/>
    <n v="7519"/>
    <n v="3548"/>
    <n v="1909"/>
    <n v="2529"/>
    <n v="15505"/>
    <x v="37"/>
    <n v="4438"/>
    <x v="0"/>
  </r>
  <r>
    <d v="2023-02-23T00:00:00"/>
    <s v="Adult"/>
    <x v="36"/>
    <n v="9537"/>
    <n v="4750"/>
    <n v="2714"/>
    <n v="5849"/>
    <n v="22850"/>
    <x v="37"/>
    <n v="8563"/>
    <x v="0"/>
  </r>
  <r>
    <d v="2023-02-23T00:00:00"/>
    <s v="Adult"/>
    <x v="37"/>
    <n v="2199"/>
    <n v="1937"/>
    <n v="1224"/>
    <n v="2525"/>
    <n v="7884"/>
    <x v="37"/>
    <n v="3749"/>
    <x v="0"/>
  </r>
  <r>
    <d v="2023-02-23T00:00:00"/>
    <s v="Adult"/>
    <x v="44"/>
    <n v="15055"/>
    <n v="4445"/>
    <n v="1918"/>
    <n v="2036"/>
    <n v="23453"/>
    <x v="37"/>
    <n v="3954"/>
    <x v="0"/>
  </r>
  <r>
    <d v="2023-02-23T00:00:00"/>
    <s v="Adult"/>
    <x v="1"/>
    <n v="559"/>
    <n v="305"/>
    <n v="244"/>
    <n v="285"/>
    <n v="1393"/>
    <x v="37"/>
    <n v="529"/>
    <x v="0"/>
  </r>
  <r>
    <d v="2023-02-23T00:00:00"/>
    <s v="Adult"/>
    <x v="5"/>
    <n v="3089"/>
    <n v="1146"/>
    <n v="160"/>
    <n v="16"/>
    <n v="4411"/>
    <x v="37"/>
    <n v="176"/>
    <x v="0"/>
  </r>
  <r>
    <d v="2023-02-23T00:00:00"/>
    <s v="Adult"/>
    <x v="45"/>
    <n v="2742"/>
    <n v="756"/>
    <n v="188"/>
    <n v="169"/>
    <n v="3855"/>
    <x v="37"/>
    <n v="357"/>
    <x v="0"/>
  </r>
  <r>
    <d v="2023-02-23T00:00:00"/>
    <s v="Adult"/>
    <x v="46"/>
    <n v="16994"/>
    <n v="4829"/>
    <n v="1255"/>
    <n v="1008"/>
    <n v="24085"/>
    <x v="37"/>
    <n v="2263"/>
    <x v="0"/>
  </r>
  <r>
    <d v="2023-02-23T00:00:00"/>
    <s v="Adult"/>
    <x v="12"/>
    <n v="12179"/>
    <n v="9688"/>
    <n v="5731"/>
    <n v="9079"/>
    <n v="36677"/>
    <x v="37"/>
    <n v="14810"/>
    <x v="0"/>
  </r>
  <r>
    <d v="2023-02-23T00:00:00"/>
    <s v="Adult"/>
    <x v="8"/>
    <n v="2082"/>
    <n v="777"/>
    <n v="312"/>
    <n v="199"/>
    <n v="3370"/>
    <x v="37"/>
    <n v="511"/>
    <x v="0"/>
  </r>
  <r>
    <d v="2023-02-23T00:00:00"/>
    <s v="Adult"/>
    <x v="19"/>
    <n v="5234"/>
    <n v="1724"/>
    <n v="835"/>
    <n v="362"/>
    <n v="8155"/>
    <x v="37"/>
    <n v="1197"/>
    <x v="0"/>
  </r>
  <r>
    <d v="2023-02-23T00:00:00"/>
    <s v="Adult"/>
    <x v="34"/>
    <n v="13321"/>
    <n v="6194"/>
    <n v="3870"/>
    <n v="5121"/>
    <n v="28506"/>
    <x v="37"/>
    <n v="8991"/>
    <x v="0"/>
  </r>
  <r>
    <d v="2023-02-23T00:00:00"/>
    <s v="Adult"/>
    <x v="42"/>
    <n v="15122"/>
    <n v="7720"/>
    <n v="3681"/>
    <n v="5159"/>
    <n v="31682"/>
    <x v="37"/>
    <n v="8840"/>
    <x v="0"/>
  </r>
  <r>
    <d v="2023-03-30T00:00:00"/>
    <s v="Adult"/>
    <x v="25"/>
    <n v="642"/>
    <n v="173"/>
    <n v="57"/>
    <n v="6"/>
    <n v="877"/>
    <x v="38"/>
    <n v="63"/>
    <x v="0"/>
  </r>
  <r>
    <d v="2023-03-30T00:00:00"/>
    <s v="Adult"/>
    <x v="23"/>
    <n v="22265"/>
    <n v="8392"/>
    <n v="804"/>
    <n v="6"/>
    <n v="31466"/>
    <x v="38"/>
    <n v="810"/>
    <x v="0"/>
  </r>
  <r>
    <d v="2023-03-30T00:00:00"/>
    <s v="Adult"/>
    <x v="30"/>
    <n v="3998"/>
    <n v="555"/>
    <n v="43"/>
    <n v="4"/>
    <n v="4600"/>
    <x v="38"/>
    <n v="47"/>
    <x v="0"/>
  </r>
  <r>
    <d v="2023-03-30T00:00:00"/>
    <s v="Adult"/>
    <x v="9"/>
    <n v="1866"/>
    <n v="661"/>
    <n v="275"/>
    <n v="272"/>
    <n v="3074"/>
    <x v="38"/>
    <n v="547"/>
    <x v="0"/>
  </r>
  <r>
    <d v="2023-03-30T00:00:00"/>
    <s v="Adult"/>
    <x v="40"/>
    <n v="13250"/>
    <n v="6422"/>
    <n v="4480"/>
    <n v="7757"/>
    <n v="31909"/>
    <x v="38"/>
    <n v="12237"/>
    <x v="0"/>
  </r>
  <r>
    <d v="2023-03-30T00:00:00"/>
    <s v="Adult"/>
    <x v="6"/>
    <n v="1873"/>
    <n v="172"/>
    <n v="25"/>
    <n v="6"/>
    <n v="2076"/>
    <x v="38"/>
    <n v="31"/>
    <x v="0"/>
  </r>
  <r>
    <d v="2023-03-30T00:00:00"/>
    <s v="Adult"/>
    <x v="3"/>
    <n v="2307"/>
    <n v="1119"/>
    <n v="377"/>
    <n v="606"/>
    <n v="4409"/>
    <x v="38"/>
    <n v="983"/>
    <x v="0"/>
  </r>
  <r>
    <d v="2023-03-30T00:00:00"/>
    <s v="Adult"/>
    <x v="13"/>
    <n v="495"/>
    <n v="364"/>
    <n v="87"/>
    <n v="12"/>
    <n v="958"/>
    <x v="38"/>
    <n v="99"/>
    <x v="0"/>
  </r>
  <r>
    <d v="2023-03-30T00:00:00"/>
    <s v="Adult"/>
    <x v="41"/>
    <n v="19670"/>
    <n v="9978"/>
    <n v="5817"/>
    <n v="13265"/>
    <n v="48729"/>
    <x v="38"/>
    <n v="19082"/>
    <x v="0"/>
  </r>
  <r>
    <d v="2023-03-30T00:00:00"/>
    <s v="Adult"/>
    <x v="32"/>
    <n v="7178"/>
    <n v="2739"/>
    <n v="1466"/>
    <n v="3615"/>
    <n v="14997"/>
    <x v="38"/>
    <n v="5081"/>
    <x v="0"/>
  </r>
  <r>
    <d v="2023-03-30T00:00:00"/>
    <s v="Adult"/>
    <x v="17"/>
    <n v="1905"/>
    <n v="1008"/>
    <n v="249"/>
    <n v="25"/>
    <n v="3187"/>
    <x v="38"/>
    <n v="274"/>
    <x v="0"/>
  </r>
  <r>
    <d v="2023-03-30T00:00:00"/>
    <s v="Adult"/>
    <x v="4"/>
    <n v="2108"/>
    <n v="822"/>
    <n v="222"/>
    <n v="197"/>
    <n v="3349"/>
    <x v="38"/>
    <n v="419"/>
    <x v="0"/>
  </r>
  <r>
    <d v="2023-03-30T00:00:00"/>
    <s v="Adult"/>
    <x v="43"/>
    <n v="20839"/>
    <n v="6970"/>
    <n v="2809"/>
    <n v="7957"/>
    <n v="38575"/>
    <x v="38"/>
    <n v="10766"/>
    <x v="0"/>
  </r>
  <r>
    <d v="2023-03-30T00:00:00"/>
    <s v="Adult"/>
    <x v="22"/>
    <n v="4227"/>
    <n v="1800"/>
    <n v="755"/>
    <n v="1733"/>
    <n v="8515"/>
    <x v="38"/>
    <n v="2488"/>
    <x v="0"/>
  </r>
  <r>
    <d v="2023-03-30T00:00:00"/>
    <s v="Adult"/>
    <x v="2"/>
    <n v="2750"/>
    <n v="1188"/>
    <n v="608"/>
    <n v="1714"/>
    <n v="6259"/>
    <x v="38"/>
    <n v="2322"/>
    <x v="0"/>
  </r>
  <r>
    <d v="2023-03-30T00:00:00"/>
    <s v="Adult"/>
    <x v="26"/>
    <n v="3894"/>
    <n v="2624"/>
    <n v="1357"/>
    <n v="1421"/>
    <n v="9296"/>
    <x v="38"/>
    <n v="2778"/>
    <x v="0"/>
  </r>
  <r>
    <d v="2023-03-30T00:00:00"/>
    <s v="Adult"/>
    <x v="20"/>
    <n v="2147"/>
    <n v="1136"/>
    <n v="637"/>
    <n v="522"/>
    <n v="4441"/>
    <x v="38"/>
    <n v="1159"/>
    <x v="0"/>
  </r>
  <r>
    <d v="2023-03-30T00:00:00"/>
    <s v="Adult"/>
    <x v="18"/>
    <n v="7404"/>
    <n v="3657"/>
    <n v="963"/>
    <n v="772"/>
    <n v="12796"/>
    <x v="38"/>
    <n v="1735"/>
    <x v="0"/>
  </r>
  <r>
    <d v="2023-03-30T00:00:00"/>
    <s v="Adult"/>
    <x v="15"/>
    <n v="5300"/>
    <n v="2131"/>
    <n v="896"/>
    <n v="656"/>
    <n v="8983"/>
    <x v="38"/>
    <n v="1552"/>
    <x v="0"/>
  </r>
  <r>
    <d v="2023-03-30T00:00:00"/>
    <s v="Adult"/>
    <x v="29"/>
    <n v="2598"/>
    <n v="1111"/>
    <n v="102"/>
    <n v="36"/>
    <n v="3847"/>
    <x v="38"/>
    <n v="138"/>
    <x v="0"/>
  </r>
  <r>
    <d v="2023-03-30T00:00:00"/>
    <s v="Adult"/>
    <x v="11"/>
    <n v="324"/>
    <n v="213"/>
    <n v="59"/>
    <n v="31"/>
    <n v="627"/>
    <x v="38"/>
    <n v="90"/>
    <x v="0"/>
  </r>
  <r>
    <d v="2023-03-30T00:00:00"/>
    <s v="Adult"/>
    <x v="27"/>
    <n v="6874"/>
    <n v="4097"/>
    <n v="880"/>
    <n v="98"/>
    <n v="11947"/>
    <x v="38"/>
    <n v="978"/>
    <x v="0"/>
  </r>
  <r>
    <d v="2023-03-30T00:00:00"/>
    <s v="Adult"/>
    <x v="0"/>
    <n v="3120"/>
    <n v="1186"/>
    <n v="527"/>
    <n v="972"/>
    <n v="5805"/>
    <x v="38"/>
    <n v="1499"/>
    <x v="0"/>
  </r>
  <r>
    <d v="2023-03-30T00:00:00"/>
    <s v="Adult"/>
    <x v="21"/>
    <n v="1959"/>
    <n v="586"/>
    <n v="261"/>
    <n v="513"/>
    <n v="3318"/>
    <x v="38"/>
    <n v="774"/>
    <x v="0"/>
  </r>
  <r>
    <d v="2023-03-30T00:00:00"/>
    <s v="Adult"/>
    <x v="7"/>
    <n v="2910"/>
    <n v="1406"/>
    <n v="655"/>
    <n v="1040"/>
    <n v="6011"/>
    <x v="38"/>
    <n v="1695"/>
    <x v="0"/>
  </r>
  <r>
    <d v="2023-03-30T00:00:00"/>
    <s v="Adult"/>
    <x v="38"/>
    <n v="5051"/>
    <n v="2918"/>
    <n v="1588"/>
    <n v="3354"/>
    <n v="12911"/>
    <x v="38"/>
    <n v="4942"/>
    <x v="0"/>
  </r>
  <r>
    <d v="2023-03-30T00:00:00"/>
    <s v="Adult"/>
    <x v="35"/>
    <n v="7775"/>
    <n v="3806"/>
    <n v="1686"/>
    <n v="2475"/>
    <n v="15741"/>
    <x v="38"/>
    <n v="4161"/>
    <x v="0"/>
  </r>
  <r>
    <d v="2023-03-30T00:00:00"/>
    <s v="Adult"/>
    <x v="36"/>
    <n v="9557"/>
    <n v="4931"/>
    <n v="2762"/>
    <n v="5893"/>
    <n v="23142"/>
    <x v="38"/>
    <n v="8655"/>
    <x v="0"/>
  </r>
  <r>
    <d v="2023-03-30T00:00:00"/>
    <s v="Adult"/>
    <x v="37"/>
    <n v="1928"/>
    <n v="1975"/>
    <n v="1215"/>
    <n v="2741"/>
    <n v="7858"/>
    <x v="38"/>
    <n v="3956"/>
    <x v="0"/>
  </r>
  <r>
    <d v="2023-03-30T00:00:00"/>
    <s v="Adult"/>
    <x v="44"/>
    <n v="14750"/>
    <n v="4517"/>
    <n v="1821"/>
    <n v="2221"/>
    <n v="23308"/>
    <x v="38"/>
    <n v="4042"/>
    <x v="0"/>
  </r>
  <r>
    <d v="2023-03-30T00:00:00"/>
    <s v="Adult"/>
    <x v="1"/>
    <n v="555"/>
    <n v="321"/>
    <n v="256"/>
    <n v="239"/>
    <n v="1371"/>
    <x v="38"/>
    <n v="495"/>
    <x v="0"/>
  </r>
  <r>
    <d v="2023-03-30T00:00:00"/>
    <s v="Adult"/>
    <x v="5"/>
    <n v="3123"/>
    <n v="1169"/>
    <n v="212"/>
    <n v="6"/>
    <n v="4510"/>
    <x v="38"/>
    <n v="218"/>
    <x v="0"/>
  </r>
  <r>
    <d v="2023-03-30T00:00:00"/>
    <s v="Adult"/>
    <x v="45"/>
    <n v="2693"/>
    <n v="869"/>
    <n v="194"/>
    <n v="175"/>
    <n v="3931"/>
    <x v="38"/>
    <n v="369"/>
    <x v="0"/>
  </r>
  <r>
    <d v="2023-03-30T00:00:00"/>
    <s v="Adult"/>
    <x v="46"/>
    <n v="16775"/>
    <n v="4821"/>
    <n v="1272"/>
    <n v="842"/>
    <n v="23709"/>
    <x v="38"/>
    <n v="2114"/>
    <x v="0"/>
  </r>
  <r>
    <d v="2023-03-30T00:00:00"/>
    <s v="Adult"/>
    <x v="12"/>
    <n v="11757"/>
    <n v="9570"/>
    <n v="5617"/>
    <n v="8634"/>
    <n v="35577"/>
    <x v="38"/>
    <n v="14251"/>
    <x v="0"/>
  </r>
  <r>
    <d v="2023-03-30T00:00:00"/>
    <s v="Adult"/>
    <x v="8"/>
    <n v="2168"/>
    <n v="804"/>
    <n v="307"/>
    <n v="173"/>
    <n v="3451"/>
    <x v="38"/>
    <n v="480"/>
    <x v="0"/>
  </r>
  <r>
    <d v="2023-03-30T00:00:00"/>
    <s v="Adult"/>
    <x v="19"/>
    <n v="5414"/>
    <n v="1983"/>
    <n v="773"/>
    <n v="421"/>
    <n v="8590"/>
    <x v="38"/>
    <n v="1194"/>
    <x v="0"/>
  </r>
  <r>
    <d v="2023-03-30T00:00:00"/>
    <s v="Adult"/>
    <x v="34"/>
    <n v="13121"/>
    <n v="6202"/>
    <n v="3662"/>
    <n v="3576"/>
    <n v="26560"/>
    <x v="38"/>
    <n v="7238"/>
    <x v="0"/>
  </r>
  <r>
    <d v="2023-03-30T00:00:00"/>
    <s v="Adult"/>
    <x v="42"/>
    <n v="15446"/>
    <n v="7538"/>
    <n v="3457"/>
    <n v="4748"/>
    <n v="31188"/>
    <x v="38"/>
    <n v="8205"/>
    <x v="0"/>
  </r>
  <r>
    <d v="2023-03-30T00:00:00"/>
    <s v="Adult"/>
    <x v="24"/>
    <n v="2629"/>
    <n v="776"/>
    <n v="138"/>
    <n v="4"/>
    <n v="3547"/>
    <x v="38"/>
    <n v="142"/>
    <x v="0"/>
  </r>
  <r>
    <d v="2023-04-27T00:00:00"/>
    <s v="Adult"/>
    <x v="23"/>
    <n v="22364"/>
    <n v="9075"/>
    <n v="985"/>
    <n v="6"/>
    <n v="32431"/>
    <x v="39"/>
    <n v="991"/>
    <x v="0"/>
  </r>
  <r>
    <d v="2023-04-27T00:00:00"/>
    <s v="Adult"/>
    <x v="9"/>
    <n v="1581"/>
    <n v="594"/>
    <n v="252"/>
    <n v="228"/>
    <n v="2655"/>
    <x v="39"/>
    <n v="480"/>
    <x v="0"/>
  </r>
  <r>
    <d v="2023-04-27T00:00:00"/>
    <s v="Adult"/>
    <x v="40"/>
    <n v="12997"/>
    <n v="6672"/>
    <n v="4343"/>
    <n v="7829"/>
    <n v="31841"/>
    <x v="39"/>
    <n v="12172"/>
    <x v="0"/>
  </r>
  <r>
    <d v="2023-04-27T00:00:00"/>
    <s v="Adult"/>
    <x v="3"/>
    <n v="2403"/>
    <n v="1125"/>
    <n v="379"/>
    <n v="609"/>
    <n v="4516"/>
    <x v="39"/>
    <n v="988"/>
    <x v="0"/>
  </r>
  <r>
    <d v="2023-04-27T00:00:00"/>
    <s v="Adult"/>
    <x v="13"/>
    <n v="526"/>
    <n v="398"/>
    <n v="81"/>
    <n v="16"/>
    <n v="1022"/>
    <x v="39"/>
    <n v="97"/>
    <x v="0"/>
  </r>
  <r>
    <d v="2023-04-27T00:00:00"/>
    <s v="Adult"/>
    <x v="41"/>
    <n v="19607"/>
    <n v="9739"/>
    <n v="5655"/>
    <n v="12836"/>
    <n v="47837"/>
    <x v="39"/>
    <n v="18491"/>
    <x v="0"/>
  </r>
  <r>
    <d v="2023-04-27T00:00:00"/>
    <s v="Adult"/>
    <x v="32"/>
    <n v="7403"/>
    <n v="2925"/>
    <n v="1440"/>
    <n v="3661"/>
    <n v="15430"/>
    <x v="39"/>
    <n v="5101"/>
    <x v="0"/>
  </r>
  <r>
    <d v="2023-04-27T00:00:00"/>
    <s v="Adult"/>
    <x v="17"/>
    <n v="1881"/>
    <n v="1047"/>
    <n v="245"/>
    <n v="7"/>
    <n v="3181"/>
    <x v="39"/>
    <n v="252"/>
    <x v="0"/>
  </r>
  <r>
    <d v="2023-04-27T00:00:00"/>
    <s v="Adult"/>
    <x v="4"/>
    <n v="2223"/>
    <n v="839"/>
    <n v="238"/>
    <n v="164"/>
    <n v="3465"/>
    <x v="39"/>
    <n v="402"/>
    <x v="0"/>
  </r>
  <r>
    <d v="2023-04-27T00:00:00"/>
    <s v="Adult"/>
    <x v="43"/>
    <n v="21310"/>
    <n v="7056"/>
    <n v="2802"/>
    <n v="7832"/>
    <n v="39001"/>
    <x v="39"/>
    <n v="10634"/>
    <x v="0"/>
  </r>
  <r>
    <d v="2023-04-27T00:00:00"/>
    <s v="Adult"/>
    <x v="22"/>
    <n v="4339"/>
    <n v="1799"/>
    <n v="728"/>
    <n v="1636"/>
    <n v="8503"/>
    <x v="39"/>
    <n v="2364"/>
    <x v="0"/>
  </r>
  <r>
    <d v="2023-04-27T00:00:00"/>
    <s v="Adult"/>
    <x v="2"/>
    <n v="2872"/>
    <n v="1245"/>
    <n v="578"/>
    <n v="1570"/>
    <n v="6265"/>
    <x v="39"/>
    <n v="2148"/>
    <x v="0"/>
  </r>
  <r>
    <d v="2023-04-27T00:00:00"/>
    <s v="Adult"/>
    <x v="26"/>
    <n v="4152"/>
    <n v="2676"/>
    <n v="1365"/>
    <n v="1494"/>
    <n v="9688"/>
    <x v="39"/>
    <n v="2859"/>
    <x v="0"/>
  </r>
  <r>
    <d v="2023-04-27T00:00:00"/>
    <s v="Adult"/>
    <x v="20"/>
    <n v="2082"/>
    <n v="1160"/>
    <n v="670"/>
    <n v="505"/>
    <n v="4417"/>
    <x v="39"/>
    <n v="1175"/>
    <x v="0"/>
  </r>
  <r>
    <d v="2023-04-27T00:00:00"/>
    <s v="Adult"/>
    <x v="18"/>
    <n v="7344"/>
    <n v="3545"/>
    <n v="802"/>
    <n v="653"/>
    <n v="12345"/>
    <x v="39"/>
    <n v="1455"/>
    <x v="0"/>
  </r>
  <r>
    <d v="2023-04-27T00:00:00"/>
    <s v="Adult"/>
    <x v="15"/>
    <n v="5345"/>
    <n v="2152"/>
    <n v="909"/>
    <n v="651"/>
    <n v="9058"/>
    <x v="39"/>
    <n v="1560"/>
    <x v="0"/>
  </r>
  <r>
    <d v="2023-04-27T00:00:00"/>
    <s v="Adult"/>
    <x v="29"/>
    <n v="2246"/>
    <n v="1453"/>
    <n v="158"/>
    <n v="57"/>
    <n v="3914"/>
    <x v="39"/>
    <n v="215"/>
    <x v="0"/>
  </r>
  <r>
    <d v="2023-04-27T00:00:00"/>
    <s v="Adult"/>
    <x v="11"/>
    <n v="317"/>
    <n v="238"/>
    <n v="47"/>
    <n v="28"/>
    <n v="630"/>
    <x v="39"/>
    <n v="75"/>
    <x v="0"/>
  </r>
  <r>
    <d v="2023-04-27T00:00:00"/>
    <s v="Adult"/>
    <x v="27"/>
    <n v="7049"/>
    <n v="4123"/>
    <n v="996"/>
    <n v="97"/>
    <n v="12265"/>
    <x v="39"/>
    <n v="1093"/>
    <x v="0"/>
  </r>
  <r>
    <d v="2023-04-27T00:00:00"/>
    <s v="Adult"/>
    <x v="0"/>
    <n v="3346"/>
    <n v="1244"/>
    <n v="551"/>
    <n v="865"/>
    <n v="6006"/>
    <x v="39"/>
    <n v="1416"/>
    <x v="0"/>
  </r>
  <r>
    <d v="2023-04-27T00:00:00"/>
    <s v="Adult"/>
    <x v="21"/>
    <n v="1940"/>
    <n v="563"/>
    <n v="238"/>
    <n v="493"/>
    <n v="3235"/>
    <x v="39"/>
    <n v="731"/>
    <x v="0"/>
  </r>
  <r>
    <d v="2023-04-27T00:00:00"/>
    <s v="Adult"/>
    <x v="7"/>
    <n v="3027"/>
    <n v="1425"/>
    <n v="638"/>
    <n v="957"/>
    <n v="6048"/>
    <x v="39"/>
    <n v="1595"/>
    <x v="0"/>
  </r>
  <r>
    <d v="2023-04-27T00:00:00"/>
    <s v="Adult"/>
    <x v="38"/>
    <n v="5030"/>
    <n v="2957"/>
    <n v="1637"/>
    <n v="3365"/>
    <n v="12989"/>
    <x v="39"/>
    <n v="5002"/>
    <x v="0"/>
  </r>
  <r>
    <d v="2023-04-27T00:00:00"/>
    <s v="Adult"/>
    <x v="35"/>
    <n v="7487"/>
    <n v="3512"/>
    <n v="1512"/>
    <n v="2518"/>
    <n v="15029"/>
    <x v="39"/>
    <n v="4030"/>
    <x v="0"/>
  </r>
  <r>
    <d v="2023-04-27T00:00:00"/>
    <s v="Adult"/>
    <x v="36"/>
    <n v="9500"/>
    <n v="5088"/>
    <n v="2717"/>
    <n v="5834"/>
    <n v="23140"/>
    <x v="39"/>
    <n v="8551"/>
    <x v="0"/>
  </r>
  <r>
    <d v="2023-04-27T00:00:00"/>
    <s v="Adult"/>
    <x v="37"/>
    <n v="2077"/>
    <n v="1977"/>
    <n v="1289"/>
    <n v="2858"/>
    <n v="8202"/>
    <x v="39"/>
    <n v="4147"/>
    <x v="0"/>
  </r>
  <r>
    <d v="2023-04-27T00:00:00"/>
    <s v="Adult"/>
    <x v="44"/>
    <n v="14711"/>
    <n v="4836"/>
    <n v="1787"/>
    <n v="2276"/>
    <n v="23610"/>
    <x v="39"/>
    <n v="4063"/>
    <x v="0"/>
  </r>
  <r>
    <d v="2023-04-27T00:00:00"/>
    <s v="Adult"/>
    <x v="1"/>
    <n v="574"/>
    <n v="307"/>
    <n v="272"/>
    <n v="151"/>
    <n v="1304"/>
    <x v="39"/>
    <n v="423"/>
    <x v="0"/>
  </r>
  <r>
    <d v="2023-04-27T00:00:00"/>
    <s v="Adult"/>
    <x v="5"/>
    <n v="3187"/>
    <n v="1136"/>
    <n v="296"/>
    <n v="6"/>
    <n v="4626"/>
    <x v="39"/>
    <n v="302"/>
    <x v="0"/>
  </r>
  <r>
    <d v="2023-04-27T00:00:00"/>
    <s v="Adult"/>
    <x v="45"/>
    <n v="2623"/>
    <n v="1015"/>
    <n v="233"/>
    <n v="188"/>
    <n v="4060"/>
    <x v="39"/>
    <n v="421"/>
    <x v="0"/>
  </r>
  <r>
    <d v="2023-04-27T00:00:00"/>
    <s v="Adult"/>
    <x v="46"/>
    <n v="17064"/>
    <n v="4880"/>
    <n v="1219"/>
    <n v="781"/>
    <n v="23944"/>
    <x v="39"/>
    <n v="2000"/>
    <x v="0"/>
  </r>
  <r>
    <d v="2023-04-27T00:00:00"/>
    <s v="Adult"/>
    <x v="12"/>
    <n v="12335"/>
    <n v="9117"/>
    <n v="5150"/>
    <n v="8445"/>
    <n v="35048"/>
    <x v="39"/>
    <n v="13595"/>
    <x v="0"/>
  </r>
  <r>
    <d v="2023-04-27T00:00:00"/>
    <s v="Adult"/>
    <x v="8"/>
    <n v="2160"/>
    <n v="824"/>
    <n v="306"/>
    <n v="164"/>
    <n v="3454"/>
    <x v="39"/>
    <n v="470"/>
    <x v="0"/>
  </r>
  <r>
    <d v="2023-04-27T00:00:00"/>
    <s v="Adult"/>
    <x v="19"/>
    <n v="5256"/>
    <n v="2254"/>
    <n v="772"/>
    <n v="407"/>
    <n v="8690"/>
    <x v="39"/>
    <n v="1179"/>
    <x v="0"/>
  </r>
  <r>
    <d v="2023-04-27T00:00:00"/>
    <s v="Adult"/>
    <x v="34"/>
    <n v="13118"/>
    <n v="6128"/>
    <n v="3446"/>
    <n v="3275"/>
    <n v="25967"/>
    <x v="39"/>
    <n v="6721"/>
    <x v="0"/>
  </r>
  <r>
    <d v="2023-04-27T00:00:00"/>
    <s v="Adult"/>
    <x v="42"/>
    <n v="15641"/>
    <n v="7441"/>
    <n v="3528"/>
    <n v="4754"/>
    <n v="31365"/>
    <x v="39"/>
    <n v="8282"/>
    <x v="0"/>
  </r>
  <r>
    <d v="2023-05-25T00:00:00"/>
    <s v="Adult"/>
    <x v="25"/>
    <n v="663"/>
    <n v="186"/>
    <n v="53"/>
    <n v="4"/>
    <n v="906"/>
    <x v="40"/>
    <n v="57"/>
    <x v="0"/>
  </r>
  <r>
    <d v="2023-05-25T00:00:00"/>
    <s v="Adult"/>
    <x v="23"/>
    <n v="22716"/>
    <n v="8853"/>
    <n v="1246"/>
    <n v="8"/>
    <n v="32823"/>
    <x v="40"/>
    <n v="1254"/>
    <x v="0"/>
  </r>
  <r>
    <d v="2023-05-25T00:00:00"/>
    <s v="Adult"/>
    <x v="16"/>
    <n v="4222"/>
    <n v="2326"/>
    <n v="871"/>
    <n v="4"/>
    <n v="7423"/>
    <x v="40"/>
    <n v="875"/>
    <x v="0"/>
  </r>
  <r>
    <d v="2023-05-25T00:00:00"/>
    <s v="Adult"/>
    <x v="30"/>
    <n v="4425"/>
    <n v="580"/>
    <n v="68"/>
    <n v="10"/>
    <n v="5083"/>
    <x v="40"/>
    <n v="78"/>
    <x v="0"/>
  </r>
  <r>
    <d v="2023-05-25T00:00:00"/>
    <s v="Adult"/>
    <x v="9"/>
    <n v="1724"/>
    <n v="664"/>
    <n v="234"/>
    <n v="232"/>
    <n v="2854"/>
    <x v="40"/>
    <n v="466"/>
    <x v="0"/>
  </r>
  <r>
    <d v="2023-05-25T00:00:00"/>
    <s v="Adult"/>
    <x v="40"/>
    <n v="13173"/>
    <n v="6614"/>
    <n v="4328"/>
    <n v="7615"/>
    <n v="31731"/>
    <x v="40"/>
    <n v="11943"/>
    <x v="0"/>
  </r>
  <r>
    <d v="2023-05-25T00:00:00"/>
    <s v="Adult"/>
    <x v="3"/>
    <n v="2555"/>
    <n v="1072"/>
    <n v="383"/>
    <n v="634"/>
    <n v="4644"/>
    <x v="40"/>
    <n v="1017"/>
    <x v="0"/>
  </r>
  <r>
    <d v="2023-05-25T00:00:00"/>
    <s v="Adult"/>
    <x v="13"/>
    <n v="559"/>
    <n v="357"/>
    <n v="47"/>
    <n v="15"/>
    <n v="978"/>
    <x v="40"/>
    <n v="62"/>
    <x v="0"/>
  </r>
  <r>
    <d v="2023-05-25T00:00:00"/>
    <s v="Adult"/>
    <x v="41"/>
    <n v="20721"/>
    <n v="9874"/>
    <n v="5857"/>
    <n v="12905"/>
    <n v="49357"/>
    <x v="40"/>
    <n v="18762"/>
    <x v="0"/>
  </r>
  <r>
    <d v="2023-05-25T00:00:00"/>
    <s v="Adult"/>
    <x v="32"/>
    <n v="7296"/>
    <n v="2678"/>
    <n v="1443"/>
    <n v="3620"/>
    <n v="15037"/>
    <x v="40"/>
    <n v="5063"/>
    <x v="0"/>
  </r>
  <r>
    <d v="2023-05-25T00:00:00"/>
    <s v="Adult"/>
    <x v="4"/>
    <n v="2325"/>
    <n v="862"/>
    <n v="240"/>
    <n v="139"/>
    <n v="3566"/>
    <x v="40"/>
    <n v="379"/>
    <x v="0"/>
  </r>
  <r>
    <d v="2023-05-25T00:00:00"/>
    <s v="Adult"/>
    <x v="43"/>
    <n v="21847"/>
    <n v="6986"/>
    <n v="2896"/>
    <n v="7461"/>
    <n v="39191"/>
    <x v="40"/>
    <n v="10357"/>
    <x v="0"/>
  </r>
  <r>
    <d v="2023-05-25T00:00:00"/>
    <s v="Adult"/>
    <x v="22"/>
    <n v="4437"/>
    <n v="1900"/>
    <n v="814"/>
    <n v="1532"/>
    <n v="8683"/>
    <x v="40"/>
    <n v="2346"/>
    <x v="0"/>
  </r>
  <r>
    <d v="2023-05-25T00:00:00"/>
    <s v="Adult"/>
    <x v="2"/>
    <n v="2967"/>
    <n v="1230"/>
    <n v="545"/>
    <n v="1307"/>
    <n v="6049"/>
    <x v="40"/>
    <n v="1852"/>
    <x v="0"/>
  </r>
  <r>
    <d v="2023-05-25T00:00:00"/>
    <s v="Adult"/>
    <x v="26"/>
    <n v="4171"/>
    <n v="2565"/>
    <n v="1407"/>
    <n v="1521"/>
    <n v="9664"/>
    <x v="40"/>
    <n v="2928"/>
    <x v="0"/>
  </r>
  <r>
    <d v="2023-05-25T00:00:00"/>
    <s v="Adult"/>
    <x v="20"/>
    <n v="2057"/>
    <n v="1214"/>
    <n v="597"/>
    <n v="496"/>
    <n v="4364"/>
    <x v="40"/>
    <n v="1093"/>
    <x v="0"/>
  </r>
  <r>
    <d v="2023-05-25T00:00:00"/>
    <s v="Adult"/>
    <x v="18"/>
    <n v="7279"/>
    <n v="3142"/>
    <n v="743"/>
    <n v="457"/>
    <n v="11621"/>
    <x v="40"/>
    <n v="1200"/>
    <x v="0"/>
  </r>
  <r>
    <d v="2023-05-25T00:00:00"/>
    <s v="Adult"/>
    <x v="15"/>
    <n v="5305"/>
    <n v="2213"/>
    <n v="943"/>
    <n v="598"/>
    <n v="9059"/>
    <x v="40"/>
    <n v="1541"/>
    <x v="0"/>
  </r>
  <r>
    <d v="2023-05-25T00:00:00"/>
    <s v="Adult"/>
    <x v="29"/>
    <n v="2192"/>
    <n v="1453"/>
    <n v="232"/>
    <n v="73"/>
    <n v="3950"/>
    <x v="40"/>
    <n v="305"/>
    <x v="0"/>
  </r>
  <r>
    <d v="2023-05-25T00:00:00"/>
    <s v="Adult"/>
    <x v="11"/>
    <n v="370"/>
    <n v="254"/>
    <n v="55"/>
    <n v="27"/>
    <n v="706"/>
    <x v="40"/>
    <n v="82"/>
    <x v="0"/>
  </r>
  <r>
    <d v="2023-05-25T00:00:00"/>
    <s v="Adult"/>
    <x v="27"/>
    <n v="7337"/>
    <n v="3962"/>
    <n v="1027"/>
    <n v="153"/>
    <n v="12480"/>
    <x v="40"/>
    <n v="1180"/>
    <x v="0"/>
  </r>
  <r>
    <d v="2023-05-25T00:00:00"/>
    <s v="Adult"/>
    <x v="0"/>
    <n v="3469"/>
    <n v="1298"/>
    <n v="551"/>
    <n v="792"/>
    <n v="6110"/>
    <x v="40"/>
    <n v="1343"/>
    <x v="0"/>
  </r>
  <r>
    <d v="2023-05-25T00:00:00"/>
    <s v="Adult"/>
    <x v="21"/>
    <n v="1959"/>
    <n v="511"/>
    <n v="232"/>
    <n v="460"/>
    <n v="3162"/>
    <x v="40"/>
    <n v="692"/>
    <x v="0"/>
  </r>
  <r>
    <d v="2023-05-25T00:00:00"/>
    <s v="Adult"/>
    <x v="7"/>
    <n v="2926"/>
    <n v="1397"/>
    <n v="671"/>
    <n v="937"/>
    <n v="5931"/>
    <x v="40"/>
    <n v="1608"/>
    <x v="0"/>
  </r>
  <r>
    <d v="2023-05-25T00:00:00"/>
    <s v="Adult"/>
    <x v="38"/>
    <n v="5144"/>
    <n v="2392"/>
    <n v="1642"/>
    <n v="3292"/>
    <n v="12470"/>
    <x v="40"/>
    <n v="4934"/>
    <x v="0"/>
  </r>
  <r>
    <d v="2023-05-25T00:00:00"/>
    <s v="Adult"/>
    <x v="35"/>
    <n v="7855"/>
    <n v="3525"/>
    <n v="1524"/>
    <n v="2445"/>
    <n v="15349"/>
    <x v="40"/>
    <n v="3969"/>
    <x v="0"/>
  </r>
  <r>
    <d v="2023-05-25T00:00:00"/>
    <s v="Adult"/>
    <x v="36"/>
    <n v="9854"/>
    <n v="5108"/>
    <n v="2737"/>
    <n v="5695"/>
    <n v="23394"/>
    <x v="40"/>
    <n v="8432"/>
    <x v="0"/>
  </r>
  <r>
    <d v="2023-05-25T00:00:00"/>
    <s v="Adult"/>
    <x v="37"/>
    <n v="2323"/>
    <n v="1975"/>
    <n v="1392"/>
    <n v="2913"/>
    <n v="8603"/>
    <x v="40"/>
    <n v="4305"/>
    <x v="0"/>
  </r>
  <r>
    <d v="2023-05-25T00:00:00"/>
    <s v="Adult"/>
    <x v="44"/>
    <n v="15145"/>
    <n v="4839"/>
    <n v="1815"/>
    <n v="2327"/>
    <n v="24127"/>
    <x v="40"/>
    <n v="4142"/>
    <x v="0"/>
  </r>
  <r>
    <d v="2023-05-25T00:00:00"/>
    <s v="Adult"/>
    <x v="1"/>
    <n v="638"/>
    <n v="274"/>
    <n v="255"/>
    <n v="123"/>
    <n v="1290"/>
    <x v="40"/>
    <n v="378"/>
    <x v="0"/>
  </r>
  <r>
    <d v="2023-05-25T00:00:00"/>
    <s v="Adult"/>
    <x v="5"/>
    <n v="3583"/>
    <n v="1126"/>
    <n v="333"/>
    <n v="10"/>
    <n v="5052"/>
    <x v="40"/>
    <n v="343"/>
    <x v="0"/>
  </r>
  <r>
    <d v="2023-05-25T00:00:00"/>
    <s v="Adult"/>
    <x v="45"/>
    <n v="2722"/>
    <n v="1050"/>
    <n v="261"/>
    <n v="203"/>
    <n v="4236"/>
    <x v="40"/>
    <n v="464"/>
    <x v="0"/>
  </r>
  <r>
    <d v="2023-05-25T00:00:00"/>
    <s v="Adult"/>
    <x v="46"/>
    <n v="17320"/>
    <n v="5049"/>
    <n v="1251"/>
    <n v="731"/>
    <n v="24352"/>
    <x v="40"/>
    <n v="1982"/>
    <x v="0"/>
  </r>
  <r>
    <d v="2023-05-25T00:00:00"/>
    <s v="Adult"/>
    <x v="12"/>
    <n v="12953"/>
    <n v="8834"/>
    <n v="5180"/>
    <n v="8380"/>
    <n v="35347"/>
    <x v="40"/>
    <n v="13560"/>
    <x v="0"/>
  </r>
  <r>
    <d v="2023-05-25T00:00:00"/>
    <s v="Adult"/>
    <x v="8"/>
    <n v="2194"/>
    <n v="788"/>
    <n v="314"/>
    <n v="161"/>
    <n v="3457"/>
    <x v="40"/>
    <n v="475"/>
    <x v="0"/>
  </r>
  <r>
    <d v="2023-05-25T00:00:00"/>
    <s v="Adult"/>
    <x v="19"/>
    <n v="5593"/>
    <n v="2072"/>
    <n v="831"/>
    <n v="391"/>
    <n v="8887"/>
    <x v="40"/>
    <n v="1222"/>
    <x v="0"/>
  </r>
  <r>
    <d v="2023-05-25T00:00:00"/>
    <s v="Adult"/>
    <x v="34"/>
    <n v="13486"/>
    <n v="6075"/>
    <n v="3413"/>
    <n v="2981"/>
    <n v="25956"/>
    <x v="40"/>
    <n v="6394"/>
    <x v="0"/>
  </r>
  <r>
    <d v="2023-05-25T00:00:00"/>
    <s v="Adult"/>
    <x v="42"/>
    <n v="16201"/>
    <n v="7029"/>
    <n v="3463"/>
    <n v="4861"/>
    <n v="31554"/>
    <x v="40"/>
    <n v="8324"/>
    <x v="0"/>
  </r>
  <r>
    <d v="2023-05-25T00:00:00"/>
    <s v="Adult"/>
    <x v="24"/>
    <n v="2769"/>
    <n v="820"/>
    <n v="169"/>
    <n v="4"/>
    <n v="3762"/>
    <x v="40"/>
    <n v="173"/>
    <x v="0"/>
  </r>
  <r>
    <d v="2023-06-29T00:00:00"/>
    <s v="Adult"/>
    <x v="23"/>
    <n v="23814"/>
    <n v="7937"/>
    <n v="1375"/>
    <n v="8"/>
    <n v="33135"/>
    <x v="30"/>
    <n v="1383"/>
    <x v="0"/>
  </r>
  <r>
    <d v="2023-06-29T00:00:00"/>
    <s v="Adult"/>
    <x v="16"/>
    <n v="4629"/>
    <n v="2140"/>
    <n v="916"/>
    <n v="6"/>
    <n v="7692"/>
    <x v="30"/>
    <n v="922"/>
    <x v="0"/>
  </r>
  <r>
    <d v="2023-06-29T00:00:00"/>
    <s v="Adult"/>
    <x v="9"/>
    <n v="1681"/>
    <n v="648"/>
    <n v="248"/>
    <n v="198"/>
    <n v="2775"/>
    <x v="30"/>
    <n v="446"/>
    <x v="0"/>
  </r>
  <r>
    <d v="2023-06-29T00:00:00"/>
    <s v="Adult"/>
    <x v="40"/>
    <n v="13057"/>
    <n v="6404"/>
    <n v="4382"/>
    <n v="7290"/>
    <n v="31134"/>
    <x v="30"/>
    <n v="11672"/>
    <x v="0"/>
  </r>
  <r>
    <d v="2023-06-29T00:00:00"/>
    <s v="Adult"/>
    <x v="3"/>
    <n v="2733"/>
    <n v="924"/>
    <n v="433"/>
    <n v="612"/>
    <n v="4702"/>
    <x v="30"/>
    <n v="1045"/>
    <x v="0"/>
  </r>
  <r>
    <d v="2023-06-29T00:00:00"/>
    <s v="Adult"/>
    <x v="13"/>
    <n v="571"/>
    <n v="312"/>
    <n v="72"/>
    <n v="8"/>
    <n v="963"/>
    <x v="30"/>
    <n v="80"/>
    <x v="0"/>
  </r>
  <r>
    <d v="2023-06-29T00:00:00"/>
    <s v="Adult"/>
    <x v="41"/>
    <n v="20566"/>
    <n v="9731"/>
    <n v="5943"/>
    <n v="11619"/>
    <n v="47859"/>
    <x v="30"/>
    <n v="17562"/>
    <x v="0"/>
  </r>
  <r>
    <d v="2023-06-29T00:00:00"/>
    <s v="Adult"/>
    <x v="32"/>
    <n v="7441"/>
    <n v="2626"/>
    <n v="1553"/>
    <n v="3292"/>
    <n v="14913"/>
    <x v="30"/>
    <n v="4845"/>
    <x v="0"/>
  </r>
  <r>
    <d v="2023-06-29T00:00:00"/>
    <s v="Adult"/>
    <x v="4"/>
    <n v="2364"/>
    <n v="844"/>
    <n v="219"/>
    <n v="133"/>
    <n v="3560"/>
    <x v="30"/>
    <n v="352"/>
    <x v="0"/>
  </r>
  <r>
    <d v="2023-06-29T00:00:00"/>
    <s v="Adult"/>
    <x v="43"/>
    <n v="22311"/>
    <n v="6824"/>
    <n v="3067"/>
    <n v="7010"/>
    <n v="39213"/>
    <x v="30"/>
    <n v="10077"/>
    <x v="0"/>
  </r>
  <r>
    <d v="2023-06-29T00:00:00"/>
    <s v="Adult"/>
    <x v="22"/>
    <n v="4209"/>
    <n v="1865"/>
    <n v="901"/>
    <n v="1285"/>
    <n v="8260"/>
    <x v="30"/>
    <n v="2186"/>
    <x v="0"/>
  </r>
  <r>
    <d v="2023-06-29T00:00:00"/>
    <s v="Adult"/>
    <x v="2"/>
    <n v="3148"/>
    <n v="1169"/>
    <n v="600"/>
    <n v="1150"/>
    <n v="6068"/>
    <x v="30"/>
    <n v="1750"/>
    <x v="0"/>
  </r>
  <r>
    <d v="2023-06-29T00:00:00"/>
    <s v="Adult"/>
    <x v="26"/>
    <n v="4320"/>
    <n v="2117"/>
    <n v="1342"/>
    <n v="1367"/>
    <n v="9146"/>
    <x v="30"/>
    <n v="2709"/>
    <x v="0"/>
  </r>
  <r>
    <d v="2023-06-29T00:00:00"/>
    <s v="Adult"/>
    <x v="20"/>
    <n v="1998"/>
    <n v="1106"/>
    <n v="655"/>
    <n v="472"/>
    <n v="4231"/>
    <x v="30"/>
    <n v="1127"/>
    <x v="0"/>
  </r>
  <r>
    <d v="2023-06-29T00:00:00"/>
    <s v="Adult"/>
    <x v="18"/>
    <n v="7880"/>
    <n v="2964"/>
    <n v="693"/>
    <n v="190"/>
    <n v="11727"/>
    <x v="30"/>
    <n v="883"/>
    <x v="0"/>
  </r>
  <r>
    <d v="2023-06-29T00:00:00"/>
    <s v="Adult"/>
    <x v="15"/>
    <n v="5466"/>
    <n v="2168"/>
    <n v="1028"/>
    <n v="473"/>
    <n v="9135"/>
    <x v="30"/>
    <n v="1501"/>
    <x v="0"/>
  </r>
  <r>
    <d v="2023-06-29T00:00:00"/>
    <s v="Adult"/>
    <x v="29"/>
    <n v="2026"/>
    <n v="1506"/>
    <n v="271"/>
    <n v="75"/>
    <n v="3878"/>
    <x v="30"/>
    <n v="346"/>
    <x v="0"/>
  </r>
  <r>
    <d v="2023-06-29T00:00:00"/>
    <s v="Adult"/>
    <x v="11"/>
    <n v="425"/>
    <n v="242"/>
    <n v="94"/>
    <n v="29"/>
    <n v="790"/>
    <x v="30"/>
    <n v="123"/>
    <x v="0"/>
  </r>
  <r>
    <d v="2023-06-29T00:00:00"/>
    <s v="Adult"/>
    <x v="27"/>
    <n v="7569"/>
    <n v="3070"/>
    <n v="826"/>
    <n v="108"/>
    <n v="11574"/>
    <x v="30"/>
    <n v="934"/>
    <x v="0"/>
  </r>
  <r>
    <d v="2023-06-29T00:00:00"/>
    <s v="Adult"/>
    <x v="0"/>
    <n v="3576"/>
    <n v="1414"/>
    <n v="517"/>
    <n v="742"/>
    <n v="6249"/>
    <x v="30"/>
    <n v="1259"/>
    <x v="0"/>
  </r>
  <r>
    <d v="2023-06-29T00:00:00"/>
    <s v="Adult"/>
    <x v="21"/>
    <n v="1970"/>
    <n v="511"/>
    <n v="199"/>
    <n v="414"/>
    <n v="3095"/>
    <x v="30"/>
    <n v="613"/>
    <x v="0"/>
  </r>
  <r>
    <d v="2023-06-29T00:00:00"/>
    <s v="Adult"/>
    <x v="7"/>
    <n v="3468"/>
    <n v="1386"/>
    <n v="724"/>
    <n v="629"/>
    <n v="6207"/>
    <x v="30"/>
    <n v="1353"/>
    <x v="0"/>
  </r>
  <r>
    <d v="2023-06-29T00:00:00"/>
    <s v="Adult"/>
    <x v="38"/>
    <n v="5339"/>
    <n v="2353"/>
    <n v="1821"/>
    <n v="2919"/>
    <n v="12432"/>
    <x v="30"/>
    <n v="4740"/>
    <x v="0"/>
  </r>
  <r>
    <d v="2023-06-29T00:00:00"/>
    <s v="Adult"/>
    <x v="35"/>
    <n v="8292"/>
    <n v="3259"/>
    <n v="1737"/>
    <n v="2487"/>
    <n v="15775"/>
    <x v="30"/>
    <n v="4224"/>
    <x v="0"/>
  </r>
  <r>
    <d v="2023-06-29T00:00:00"/>
    <s v="Adult"/>
    <x v="36"/>
    <n v="10553"/>
    <n v="4886"/>
    <n v="2827"/>
    <n v="5613"/>
    <n v="23879"/>
    <x v="30"/>
    <n v="8440"/>
    <x v="0"/>
  </r>
  <r>
    <d v="2023-06-29T00:00:00"/>
    <s v="Adult"/>
    <x v="37"/>
    <n v="2403"/>
    <n v="1802"/>
    <n v="1535"/>
    <n v="3004"/>
    <n v="8745"/>
    <x v="30"/>
    <n v="4539"/>
    <x v="0"/>
  </r>
  <r>
    <d v="2023-06-29T00:00:00"/>
    <s v="Adult"/>
    <x v="44"/>
    <n v="15974"/>
    <n v="5072"/>
    <n v="2023"/>
    <n v="2298"/>
    <n v="25367"/>
    <x v="30"/>
    <n v="4321"/>
    <x v="0"/>
  </r>
  <r>
    <d v="2023-06-29T00:00:00"/>
    <s v="Adult"/>
    <x v="1"/>
    <n v="652"/>
    <n v="219"/>
    <n v="238"/>
    <n v="101"/>
    <n v="1210"/>
    <x v="30"/>
    <n v="339"/>
    <x v="0"/>
  </r>
  <r>
    <d v="2023-06-29T00:00:00"/>
    <s v="Adult"/>
    <x v="5"/>
    <n v="3724"/>
    <n v="1103"/>
    <n v="372"/>
    <n v="16"/>
    <n v="5216"/>
    <x v="30"/>
    <n v="388"/>
    <x v="0"/>
  </r>
  <r>
    <d v="2023-06-29T00:00:00"/>
    <s v="Adult"/>
    <x v="45"/>
    <n v="2709"/>
    <n v="942"/>
    <n v="279"/>
    <n v="218"/>
    <n v="4148"/>
    <x v="30"/>
    <n v="497"/>
    <x v="0"/>
  </r>
  <r>
    <d v="2023-06-29T00:00:00"/>
    <s v="Adult"/>
    <x v="46"/>
    <n v="17760"/>
    <n v="5404"/>
    <n v="1284"/>
    <n v="543"/>
    <n v="24992"/>
    <x v="30"/>
    <n v="1827"/>
    <x v="0"/>
  </r>
  <r>
    <d v="2023-06-29T00:00:00"/>
    <s v="Adult"/>
    <x v="12"/>
    <n v="13397"/>
    <n v="8359"/>
    <n v="5230"/>
    <n v="8077"/>
    <n v="35064"/>
    <x v="30"/>
    <n v="13307"/>
    <x v="0"/>
  </r>
  <r>
    <d v="2023-06-29T00:00:00"/>
    <s v="Adult"/>
    <x v="8"/>
    <n v="2273"/>
    <n v="644"/>
    <n v="291"/>
    <n v="137"/>
    <n v="3345"/>
    <x v="30"/>
    <n v="428"/>
    <x v="0"/>
  </r>
  <r>
    <d v="2023-06-29T00:00:00"/>
    <s v="Adult"/>
    <x v="19"/>
    <n v="5615"/>
    <n v="1840"/>
    <n v="841"/>
    <n v="416"/>
    <n v="8712"/>
    <x v="30"/>
    <n v="1257"/>
    <x v="0"/>
  </r>
  <r>
    <d v="2023-06-29T00:00:00"/>
    <s v="Adult"/>
    <x v="34"/>
    <n v="13889"/>
    <n v="5717"/>
    <n v="3016"/>
    <n v="2304"/>
    <n v="24927"/>
    <x v="30"/>
    <n v="5320"/>
    <x v="0"/>
  </r>
  <r>
    <d v="2023-06-29T00:00:00"/>
    <s v="Adult"/>
    <x v="42"/>
    <n v="16986"/>
    <n v="6430"/>
    <n v="3337"/>
    <n v="4713"/>
    <n v="31467"/>
    <x v="30"/>
    <n v="8050"/>
    <x v="0"/>
  </r>
  <r>
    <d v="2023-07-27T00:00:00"/>
    <s v="Adult"/>
    <x v="25"/>
    <n v="742"/>
    <n v="169"/>
    <n v="61"/>
    <n v="4"/>
    <n v="977"/>
    <x v="31"/>
    <n v="65"/>
    <x v="0"/>
  </r>
  <r>
    <d v="2023-07-27T00:00:00"/>
    <s v="Adult"/>
    <x v="23"/>
    <n v="24840"/>
    <n v="8652"/>
    <n v="1587"/>
    <n v="6"/>
    <n v="35086"/>
    <x v="31"/>
    <n v="1593"/>
    <x v="0"/>
  </r>
  <r>
    <d v="2023-07-27T00:00:00"/>
    <s v="Adult"/>
    <x v="16"/>
    <n v="4790"/>
    <n v="2112"/>
    <n v="984"/>
    <n v="9"/>
    <n v="7896"/>
    <x v="31"/>
    <n v="993"/>
    <x v="0"/>
  </r>
  <r>
    <d v="2023-07-27T00:00:00"/>
    <s v="Adult"/>
    <x v="9"/>
    <n v="1910"/>
    <n v="715"/>
    <n v="254"/>
    <n v="143"/>
    <n v="3022"/>
    <x v="31"/>
    <n v="397"/>
    <x v="0"/>
  </r>
  <r>
    <d v="2023-07-27T00:00:00"/>
    <s v="Adult"/>
    <x v="40"/>
    <n v="13519"/>
    <n v="6389"/>
    <n v="4349"/>
    <n v="7052"/>
    <n v="31309"/>
    <x v="31"/>
    <n v="11401"/>
    <x v="0"/>
  </r>
  <r>
    <d v="2023-07-27T00:00:00"/>
    <s v="Adult"/>
    <x v="3"/>
    <n v="2915"/>
    <n v="909"/>
    <n v="466"/>
    <n v="524"/>
    <n v="4814"/>
    <x v="31"/>
    <n v="990"/>
    <x v="0"/>
  </r>
  <r>
    <d v="2023-07-27T00:00:00"/>
    <s v="Adult"/>
    <x v="13"/>
    <n v="598"/>
    <n v="325"/>
    <n v="106"/>
    <n v="9"/>
    <n v="1039"/>
    <x v="31"/>
    <n v="115"/>
    <x v="0"/>
  </r>
  <r>
    <d v="2023-07-27T00:00:00"/>
    <s v="Adult"/>
    <x v="41"/>
    <n v="21129"/>
    <n v="8653"/>
    <n v="5987"/>
    <n v="10598"/>
    <n v="46368"/>
    <x v="31"/>
    <n v="16585"/>
    <x v="0"/>
  </r>
  <r>
    <d v="2023-07-27T00:00:00"/>
    <s v="Adult"/>
    <x v="32"/>
    <n v="7165"/>
    <n v="2285"/>
    <n v="1524"/>
    <n v="2792"/>
    <n v="13767"/>
    <x v="31"/>
    <n v="4316"/>
    <x v="0"/>
  </r>
  <r>
    <d v="2023-07-27T00:00:00"/>
    <s v="Adult"/>
    <x v="4"/>
    <n v="2283"/>
    <n v="947"/>
    <n v="236"/>
    <n v="141"/>
    <n v="3607"/>
    <x v="31"/>
    <n v="377"/>
    <x v="0"/>
  </r>
  <r>
    <d v="2023-07-27T00:00:00"/>
    <s v="Adult"/>
    <x v="43"/>
    <n v="22191"/>
    <n v="6879"/>
    <n v="3216"/>
    <n v="6670"/>
    <n v="38956"/>
    <x v="31"/>
    <n v="9886"/>
    <x v="0"/>
  </r>
  <r>
    <d v="2023-07-27T00:00:00"/>
    <s v="Adult"/>
    <x v="22"/>
    <n v="4251"/>
    <n v="1889"/>
    <n v="984"/>
    <n v="1268"/>
    <n v="8392"/>
    <x v="31"/>
    <n v="2252"/>
    <x v="0"/>
  </r>
  <r>
    <d v="2023-07-27T00:00:00"/>
    <s v="Adult"/>
    <x v="2"/>
    <n v="3280"/>
    <n v="1110"/>
    <n v="615"/>
    <n v="1186"/>
    <n v="6191"/>
    <x v="31"/>
    <n v="1801"/>
    <x v="0"/>
  </r>
  <r>
    <d v="2023-07-27T00:00:00"/>
    <s v="Adult"/>
    <x v="26"/>
    <n v="4458"/>
    <n v="1940"/>
    <n v="1456"/>
    <n v="1324"/>
    <n v="9179"/>
    <x v="31"/>
    <n v="2780"/>
    <x v="0"/>
  </r>
  <r>
    <d v="2023-07-27T00:00:00"/>
    <s v="Adult"/>
    <x v="20"/>
    <n v="2066"/>
    <n v="1063"/>
    <n v="671"/>
    <n v="514"/>
    <n v="4315"/>
    <x v="31"/>
    <n v="1185"/>
    <x v="0"/>
  </r>
  <r>
    <d v="2023-07-27T00:00:00"/>
    <s v="Adult"/>
    <x v="18"/>
    <n v="8538"/>
    <n v="2829"/>
    <n v="717"/>
    <n v="52"/>
    <n v="12136"/>
    <x v="31"/>
    <n v="769"/>
    <x v="0"/>
  </r>
  <r>
    <d v="2023-07-27T00:00:00"/>
    <s v="Adult"/>
    <x v="15"/>
    <n v="5673"/>
    <n v="2138"/>
    <n v="1063"/>
    <n v="377"/>
    <n v="9252"/>
    <x v="31"/>
    <n v="1440"/>
    <x v="0"/>
  </r>
  <r>
    <d v="2023-07-27T00:00:00"/>
    <s v="Adult"/>
    <x v="29"/>
    <n v="1774"/>
    <n v="1458"/>
    <n v="330"/>
    <n v="72"/>
    <n v="3634"/>
    <x v="31"/>
    <n v="402"/>
    <x v="0"/>
  </r>
  <r>
    <d v="2023-07-27T00:00:00"/>
    <s v="Adult"/>
    <x v="11"/>
    <n v="436"/>
    <n v="236"/>
    <n v="120"/>
    <n v="25"/>
    <n v="817"/>
    <x v="31"/>
    <n v="145"/>
    <x v="0"/>
  </r>
  <r>
    <d v="2023-07-27T00:00:00"/>
    <s v="Adult"/>
    <x v="27"/>
    <n v="7904"/>
    <n v="2704"/>
    <n v="772"/>
    <n v="75"/>
    <n v="11456"/>
    <x v="31"/>
    <n v="847"/>
    <x v="0"/>
  </r>
  <r>
    <d v="2023-07-27T00:00:00"/>
    <s v="Adult"/>
    <x v="0"/>
    <n v="3547"/>
    <n v="1268"/>
    <n v="439"/>
    <n v="636"/>
    <n v="5890"/>
    <x v="31"/>
    <n v="1075"/>
    <x v="0"/>
  </r>
  <r>
    <d v="2023-07-27T00:00:00"/>
    <s v="Adult"/>
    <x v="21"/>
    <n v="1990"/>
    <n v="483"/>
    <n v="193"/>
    <n v="357"/>
    <n v="3024"/>
    <x v="31"/>
    <n v="550"/>
    <x v="0"/>
  </r>
  <r>
    <d v="2023-07-27T00:00:00"/>
    <s v="Adult"/>
    <x v="7"/>
    <n v="3435"/>
    <n v="1306"/>
    <n v="776"/>
    <n v="475"/>
    <n v="5992"/>
    <x v="31"/>
    <n v="1251"/>
    <x v="0"/>
  </r>
  <r>
    <d v="2023-07-27T00:00:00"/>
    <s v="Adult"/>
    <x v="38"/>
    <n v="5461"/>
    <n v="2499"/>
    <n v="1846"/>
    <n v="2661"/>
    <n v="12467"/>
    <x v="31"/>
    <n v="4507"/>
    <x v="0"/>
  </r>
  <r>
    <d v="2023-07-27T00:00:00"/>
    <s v="Adult"/>
    <x v="35"/>
    <n v="8621"/>
    <n v="2934"/>
    <n v="1757"/>
    <n v="2398"/>
    <n v="15711"/>
    <x v="31"/>
    <n v="4155"/>
    <x v="0"/>
  </r>
  <r>
    <d v="2023-07-27T00:00:00"/>
    <s v="Adult"/>
    <x v="36"/>
    <n v="11018"/>
    <n v="4956"/>
    <n v="2982"/>
    <n v="5582"/>
    <n v="24539"/>
    <x v="31"/>
    <n v="8564"/>
    <x v="0"/>
  </r>
  <r>
    <d v="2023-07-27T00:00:00"/>
    <s v="Adult"/>
    <x v="37"/>
    <n v="2206"/>
    <n v="1659"/>
    <n v="1598"/>
    <n v="3115"/>
    <n v="8579"/>
    <x v="31"/>
    <n v="4713"/>
    <x v="0"/>
  </r>
  <r>
    <d v="2023-07-27T00:00:00"/>
    <s v="Adult"/>
    <x v="44"/>
    <n v="16879"/>
    <n v="4679"/>
    <n v="2163"/>
    <n v="2257"/>
    <n v="25978"/>
    <x v="31"/>
    <n v="4420"/>
    <x v="0"/>
  </r>
  <r>
    <d v="2023-07-27T00:00:00"/>
    <s v="Adult"/>
    <x v="1"/>
    <n v="605"/>
    <n v="213"/>
    <n v="171"/>
    <n v="106"/>
    <n v="1095"/>
    <x v="31"/>
    <n v="277"/>
    <x v="0"/>
  </r>
  <r>
    <d v="2023-07-27T00:00:00"/>
    <s v="Adult"/>
    <x v="5"/>
    <n v="3787"/>
    <n v="1068"/>
    <n v="418"/>
    <n v="10"/>
    <n v="5284"/>
    <x v="31"/>
    <n v="428"/>
    <x v="0"/>
  </r>
  <r>
    <d v="2023-07-27T00:00:00"/>
    <s v="Adult"/>
    <x v="45"/>
    <n v="2774"/>
    <n v="851"/>
    <n v="288"/>
    <n v="220"/>
    <n v="4134"/>
    <x v="31"/>
    <n v="508"/>
    <x v="0"/>
  </r>
  <r>
    <d v="2023-07-27T00:00:00"/>
    <s v="Adult"/>
    <x v="46"/>
    <n v="18229"/>
    <n v="5382"/>
    <n v="1409"/>
    <n v="429"/>
    <n v="25450"/>
    <x v="31"/>
    <n v="1838"/>
    <x v="0"/>
  </r>
  <r>
    <d v="2023-07-27T00:00:00"/>
    <s v="Adult"/>
    <x v="12"/>
    <n v="13483"/>
    <n v="7955"/>
    <n v="5380"/>
    <n v="7577"/>
    <n v="34395"/>
    <x v="31"/>
    <n v="12957"/>
    <x v="0"/>
  </r>
  <r>
    <d v="2023-07-27T00:00:00"/>
    <s v="Adult"/>
    <x v="8"/>
    <n v="2404"/>
    <n v="637"/>
    <n v="289"/>
    <n v="123"/>
    <n v="3454"/>
    <x v="31"/>
    <n v="412"/>
    <x v="0"/>
  </r>
  <r>
    <d v="2023-07-27T00:00:00"/>
    <s v="Adult"/>
    <x v="19"/>
    <n v="6175"/>
    <n v="1641"/>
    <n v="814"/>
    <n v="345"/>
    <n v="8976"/>
    <x v="31"/>
    <n v="1159"/>
    <x v="0"/>
  </r>
  <r>
    <d v="2023-07-27T00:00:00"/>
    <s v="Adult"/>
    <x v="34"/>
    <n v="14505"/>
    <n v="5554"/>
    <n v="3072"/>
    <n v="2007"/>
    <n v="25139"/>
    <x v="31"/>
    <n v="5079"/>
    <x v="0"/>
  </r>
  <r>
    <d v="2023-07-27T00:00:00"/>
    <s v="Adult"/>
    <x v="42"/>
    <n v="18063"/>
    <n v="6502"/>
    <n v="3556"/>
    <n v="4772"/>
    <n v="32894"/>
    <x v="31"/>
    <n v="8328"/>
    <x v="0"/>
  </r>
  <r>
    <d v="2023-07-27T00:00:00"/>
    <s v="Adult"/>
    <x v="24"/>
    <n v="2986"/>
    <n v="750"/>
    <n v="223"/>
    <n v="18"/>
    <n v="3978"/>
    <x v="31"/>
    <n v="241"/>
    <x v="0"/>
  </r>
  <r>
    <d v="2023-08-31T00:00:00"/>
    <s v="Adult"/>
    <x v="25"/>
    <n v="776"/>
    <n v="226"/>
    <n v="57"/>
    <n v="9"/>
    <n v="1068"/>
    <x v="32"/>
    <n v="66"/>
    <x v="0"/>
  </r>
  <r>
    <d v="2023-08-31T00:00:00"/>
    <s v="Adult"/>
    <x v="23"/>
    <n v="24655"/>
    <n v="9575"/>
    <n v="1888"/>
    <n v="23"/>
    <n v="36141"/>
    <x v="32"/>
    <n v="1911"/>
    <x v="0"/>
  </r>
  <r>
    <d v="2023-08-31T00:00:00"/>
    <s v="Adult"/>
    <x v="16"/>
    <n v="4871"/>
    <n v="2529"/>
    <n v="910"/>
    <n v="19"/>
    <n v="8329"/>
    <x v="32"/>
    <n v="929"/>
    <x v="0"/>
  </r>
  <r>
    <d v="2023-08-31T00:00:00"/>
    <s v="Adult"/>
    <x v="30"/>
    <n v="4869"/>
    <n v="280"/>
    <n v="202"/>
    <n v="6"/>
    <n v="5357"/>
    <x v="32"/>
    <n v="208"/>
    <x v="0"/>
  </r>
  <r>
    <d v="2023-08-31T00:00:00"/>
    <s v="Adult"/>
    <x v="9"/>
    <n v="1758"/>
    <n v="778"/>
    <n v="297"/>
    <n v="87"/>
    <n v="2920"/>
    <x v="32"/>
    <n v="384"/>
    <x v="0"/>
  </r>
  <r>
    <d v="2023-08-31T00:00:00"/>
    <s v="Adult"/>
    <x v="40"/>
    <n v="13691"/>
    <n v="6569"/>
    <n v="4217"/>
    <n v="7135"/>
    <n v="31613"/>
    <x v="32"/>
    <n v="11352"/>
    <x v="0"/>
  </r>
  <r>
    <d v="2023-08-31T00:00:00"/>
    <s v="Adult"/>
    <x v="3"/>
    <n v="3072"/>
    <n v="931"/>
    <n v="448"/>
    <n v="397"/>
    <n v="4848"/>
    <x v="32"/>
    <n v="845"/>
    <x v="0"/>
  </r>
  <r>
    <d v="2023-08-31T00:00:00"/>
    <s v="Adult"/>
    <x v="13"/>
    <n v="532"/>
    <n v="303"/>
    <n v="129"/>
    <n v="4"/>
    <n v="968"/>
    <x v="32"/>
    <n v="133"/>
    <x v="0"/>
  </r>
  <r>
    <d v="2023-08-31T00:00:00"/>
    <s v="Adult"/>
    <x v="41"/>
    <n v="21179"/>
    <n v="9247"/>
    <n v="5707"/>
    <n v="9719"/>
    <n v="45852"/>
    <x v="32"/>
    <n v="15426"/>
    <x v="0"/>
  </r>
  <r>
    <d v="2023-08-31T00:00:00"/>
    <s v="Adult"/>
    <x v="32"/>
    <n v="7196"/>
    <n v="2224"/>
    <n v="1463"/>
    <n v="2575"/>
    <n v="13459"/>
    <x v="32"/>
    <n v="4038"/>
    <x v="0"/>
  </r>
  <r>
    <d v="2023-08-31T00:00:00"/>
    <s v="Adult"/>
    <x v="4"/>
    <n v="2193"/>
    <n v="1063"/>
    <n v="227"/>
    <n v="164"/>
    <n v="3647"/>
    <x v="32"/>
    <n v="391"/>
    <x v="0"/>
  </r>
  <r>
    <d v="2023-08-31T00:00:00"/>
    <s v="Adult"/>
    <x v="43"/>
    <n v="22447"/>
    <n v="7148"/>
    <n v="3193"/>
    <n v="6360"/>
    <n v="39149"/>
    <x v="32"/>
    <n v="9553"/>
    <x v="0"/>
  </r>
  <r>
    <d v="2023-08-31T00:00:00"/>
    <s v="Adult"/>
    <x v="22"/>
    <n v="4041"/>
    <n v="1951"/>
    <n v="950"/>
    <n v="1070"/>
    <n v="8012"/>
    <x v="32"/>
    <n v="2020"/>
    <x v="0"/>
  </r>
  <r>
    <d v="2023-08-31T00:00:00"/>
    <s v="Adult"/>
    <x v="2"/>
    <n v="3021"/>
    <n v="1163"/>
    <n v="609"/>
    <n v="1246"/>
    <n v="6040"/>
    <x v="32"/>
    <n v="1855"/>
    <x v="0"/>
  </r>
  <r>
    <d v="2023-08-31T00:00:00"/>
    <s v="Adult"/>
    <x v="26"/>
    <n v="4282"/>
    <n v="2066"/>
    <n v="1432"/>
    <n v="1507"/>
    <n v="9287"/>
    <x v="32"/>
    <n v="2939"/>
    <x v="0"/>
  </r>
  <r>
    <d v="2023-08-31T00:00:00"/>
    <s v="Adult"/>
    <x v="20"/>
    <n v="2136"/>
    <n v="1078"/>
    <n v="622"/>
    <n v="507"/>
    <n v="4343"/>
    <x v="32"/>
    <n v="1129"/>
    <x v="0"/>
  </r>
  <r>
    <d v="2023-08-31T00:00:00"/>
    <s v="Adult"/>
    <x v="15"/>
    <n v="5914"/>
    <n v="2289"/>
    <n v="1084"/>
    <n v="281"/>
    <n v="9568"/>
    <x v="32"/>
    <n v="1365"/>
    <x v="0"/>
  </r>
  <r>
    <d v="2023-08-31T00:00:00"/>
    <s v="Adult"/>
    <x v="29"/>
    <n v="2004"/>
    <n v="1474"/>
    <n v="313"/>
    <n v="68"/>
    <n v="3859"/>
    <x v="32"/>
    <n v="381"/>
    <x v="0"/>
  </r>
  <r>
    <d v="2023-08-31T00:00:00"/>
    <s v="Adult"/>
    <x v="27"/>
    <n v="7934"/>
    <n v="2689"/>
    <n v="686"/>
    <n v="93"/>
    <n v="11403"/>
    <x v="32"/>
    <n v="779"/>
    <x v="0"/>
  </r>
  <r>
    <d v="2023-08-31T00:00:00"/>
    <s v="Adult"/>
    <x v="0"/>
    <n v="3524"/>
    <n v="1358"/>
    <n v="397"/>
    <n v="610"/>
    <n v="5889"/>
    <x v="32"/>
    <n v="1007"/>
    <x v="0"/>
  </r>
  <r>
    <d v="2023-08-31T00:00:00"/>
    <s v="Adult"/>
    <x v="21"/>
    <n v="1929"/>
    <n v="459"/>
    <n v="146"/>
    <n v="243"/>
    <n v="2777"/>
    <x v="32"/>
    <n v="389"/>
    <x v="0"/>
  </r>
  <r>
    <d v="2023-08-31T00:00:00"/>
    <s v="Adult"/>
    <x v="7"/>
    <n v="3140"/>
    <n v="1339"/>
    <n v="710"/>
    <n v="418"/>
    <n v="5607"/>
    <x v="32"/>
    <n v="1128"/>
    <x v="0"/>
  </r>
  <r>
    <d v="2023-08-31T00:00:00"/>
    <s v="Adult"/>
    <x v="38"/>
    <n v="5194"/>
    <n v="2646"/>
    <n v="1827"/>
    <n v="2677"/>
    <n v="12344"/>
    <x v="32"/>
    <n v="4504"/>
    <x v="0"/>
  </r>
  <r>
    <d v="2023-08-31T00:00:00"/>
    <s v="Adult"/>
    <x v="35"/>
    <n v="8313"/>
    <n v="2847"/>
    <n v="1748"/>
    <n v="2351"/>
    <n v="15259"/>
    <x v="32"/>
    <n v="4099"/>
    <x v="0"/>
  </r>
  <r>
    <d v="2023-08-31T00:00:00"/>
    <s v="Adult"/>
    <x v="36"/>
    <n v="10841"/>
    <n v="5193"/>
    <n v="2929"/>
    <n v="5761"/>
    <n v="24724"/>
    <x v="32"/>
    <n v="8690"/>
    <x v="0"/>
  </r>
  <r>
    <d v="2023-08-31T00:00:00"/>
    <s v="Adult"/>
    <x v="37"/>
    <n v="2290"/>
    <n v="1632"/>
    <n v="1639"/>
    <n v="3266"/>
    <n v="8828"/>
    <x v="32"/>
    <n v="4905"/>
    <x v="0"/>
  </r>
  <r>
    <d v="2023-08-31T00:00:00"/>
    <s v="Adult"/>
    <x v="44"/>
    <n v="17036"/>
    <n v="4844"/>
    <n v="2043"/>
    <n v="2044"/>
    <n v="25968"/>
    <x v="32"/>
    <n v="4087"/>
    <x v="0"/>
  </r>
  <r>
    <d v="2023-08-31T00:00:00"/>
    <s v="Adult"/>
    <x v="1"/>
    <n v="600"/>
    <n v="203"/>
    <n v="153"/>
    <n v="100"/>
    <n v="1056"/>
    <x v="32"/>
    <n v="253"/>
    <x v="0"/>
  </r>
  <r>
    <d v="2023-08-31T00:00:00"/>
    <s v="Adult"/>
    <x v="5"/>
    <n v="3805"/>
    <n v="1119"/>
    <n v="391"/>
    <n v="23"/>
    <n v="5338"/>
    <x v="32"/>
    <n v="414"/>
    <x v="0"/>
  </r>
  <r>
    <d v="2023-08-31T00:00:00"/>
    <s v="Adult"/>
    <x v="45"/>
    <n v="2634"/>
    <n v="831"/>
    <n v="322"/>
    <n v="256"/>
    <n v="4043"/>
    <x v="32"/>
    <n v="578"/>
    <x v="0"/>
  </r>
  <r>
    <d v="2023-08-31T00:00:00"/>
    <s v="Adult"/>
    <x v="46"/>
    <n v="18271"/>
    <n v="5569"/>
    <n v="1465"/>
    <n v="366"/>
    <n v="25672"/>
    <x v="32"/>
    <n v="1831"/>
    <x v="0"/>
  </r>
  <r>
    <d v="2023-08-31T00:00:00"/>
    <s v="Adult"/>
    <x v="12"/>
    <n v="13221"/>
    <n v="8217"/>
    <n v="5255"/>
    <n v="7234"/>
    <n v="33928"/>
    <x v="32"/>
    <n v="12489"/>
    <x v="0"/>
  </r>
  <r>
    <d v="2023-08-31T00:00:00"/>
    <s v="Adult"/>
    <x v="8"/>
    <n v="2455"/>
    <n v="715"/>
    <n v="278"/>
    <n v="122"/>
    <n v="3570"/>
    <x v="32"/>
    <n v="400"/>
    <x v="0"/>
  </r>
  <r>
    <d v="2023-08-31T00:00:00"/>
    <s v="Adult"/>
    <x v="19"/>
    <n v="6245"/>
    <n v="1673"/>
    <n v="765"/>
    <n v="388"/>
    <n v="9071"/>
    <x v="32"/>
    <n v="1153"/>
    <x v="0"/>
  </r>
  <r>
    <d v="2023-08-31T00:00:00"/>
    <s v="Adult"/>
    <x v="34"/>
    <n v="14820"/>
    <n v="5410"/>
    <n v="2852"/>
    <n v="1411"/>
    <n v="24494"/>
    <x v="32"/>
    <n v="4263"/>
    <x v="0"/>
  </r>
  <r>
    <d v="2023-08-31T00:00:00"/>
    <s v="Adult"/>
    <x v="42"/>
    <n v="18014"/>
    <n v="7157"/>
    <n v="3597"/>
    <n v="4914"/>
    <n v="33682"/>
    <x v="32"/>
    <n v="8511"/>
    <x v="0"/>
  </r>
  <r>
    <d v="2023-08-31T00:00:00"/>
    <s v="Adult"/>
    <x v="24"/>
    <n v="2941"/>
    <n v="817"/>
    <n v="246"/>
    <n v="30"/>
    <n v="4034"/>
    <x v="32"/>
    <n v="276"/>
    <x v="0"/>
  </r>
  <r>
    <d v="2023-09-28T00:00:00"/>
    <s v="Adult"/>
    <x v="25"/>
    <n v="757"/>
    <n v="239"/>
    <n v="69"/>
    <n v="14"/>
    <n v="1078"/>
    <x v="33"/>
    <n v="83"/>
    <x v="0"/>
  </r>
  <r>
    <d v="2023-09-28T00:00:00"/>
    <s v="Adult"/>
    <x v="23"/>
    <n v="24828"/>
    <n v="9706"/>
    <n v="1618"/>
    <n v="30"/>
    <n v="36181"/>
    <x v="33"/>
    <n v="1648"/>
    <x v="0"/>
  </r>
  <r>
    <d v="2023-09-28T00:00:00"/>
    <s v="Adult"/>
    <x v="16"/>
    <n v="4965"/>
    <n v="2534"/>
    <n v="831"/>
    <n v="32"/>
    <n v="8361"/>
    <x v="33"/>
    <n v="863"/>
    <x v="0"/>
  </r>
  <r>
    <d v="2023-09-28T00:00:00"/>
    <s v="Adult"/>
    <x v="30"/>
    <n v="4689"/>
    <n v="251"/>
    <n v="231"/>
    <n v="12"/>
    <n v="5183"/>
    <x v="33"/>
    <n v="243"/>
    <x v="0"/>
  </r>
  <r>
    <d v="2023-09-28T00:00:00"/>
    <s v="Adult"/>
    <x v="9"/>
    <n v="1780"/>
    <n v="782"/>
    <n v="269"/>
    <n v="111"/>
    <n v="2942"/>
    <x v="33"/>
    <n v="380"/>
    <x v="0"/>
  </r>
  <r>
    <d v="2023-09-28T00:00:00"/>
    <s v="Adult"/>
    <x v="40"/>
    <n v="13530"/>
    <n v="6621"/>
    <n v="4171"/>
    <n v="6931"/>
    <n v="31253"/>
    <x v="33"/>
    <n v="11102"/>
    <x v="0"/>
  </r>
  <r>
    <d v="2023-09-28T00:00:00"/>
    <s v="Adult"/>
    <x v="3"/>
    <n v="3131"/>
    <n v="984"/>
    <n v="418"/>
    <n v="341"/>
    <n v="4874"/>
    <x v="33"/>
    <n v="759"/>
    <x v="0"/>
  </r>
  <r>
    <d v="2023-09-28T00:00:00"/>
    <s v="Adult"/>
    <x v="13"/>
    <n v="535"/>
    <n v="315"/>
    <n v="144"/>
    <n v="7"/>
    <n v="1001"/>
    <x v="33"/>
    <n v="151"/>
    <x v="0"/>
  </r>
  <r>
    <d v="2023-09-28T00:00:00"/>
    <s v="Adult"/>
    <x v="41"/>
    <n v="20608"/>
    <n v="9149"/>
    <n v="5800"/>
    <n v="9430"/>
    <n v="44986"/>
    <x v="33"/>
    <n v="15230"/>
    <x v="0"/>
  </r>
  <r>
    <d v="2023-09-28T00:00:00"/>
    <s v="Adult"/>
    <x v="32"/>
    <n v="7573"/>
    <n v="2175"/>
    <n v="1456"/>
    <n v="2364"/>
    <n v="13567"/>
    <x v="33"/>
    <n v="3820"/>
    <x v="0"/>
  </r>
  <r>
    <d v="2023-09-28T00:00:00"/>
    <s v="Adult"/>
    <x v="4"/>
    <n v="2126"/>
    <n v="1055"/>
    <n v="277"/>
    <n v="164"/>
    <n v="3622"/>
    <x v="33"/>
    <n v="441"/>
    <x v="0"/>
  </r>
  <r>
    <d v="2023-09-28T00:00:00"/>
    <s v="Adult"/>
    <x v="43"/>
    <n v="22569"/>
    <n v="7231"/>
    <n v="3176"/>
    <n v="6039"/>
    <n v="39014"/>
    <x v="33"/>
    <n v="9215"/>
    <x v="0"/>
  </r>
  <r>
    <d v="2023-09-28T00:00:00"/>
    <s v="Adult"/>
    <x v="22"/>
    <n v="4229"/>
    <n v="1912"/>
    <n v="785"/>
    <n v="1027"/>
    <n v="7953"/>
    <x v="33"/>
    <n v="1812"/>
    <x v="0"/>
  </r>
  <r>
    <d v="2023-09-28T00:00:00"/>
    <s v="Adult"/>
    <x v="2"/>
    <n v="3168"/>
    <n v="1179"/>
    <n v="518"/>
    <n v="1211"/>
    <n v="6076"/>
    <x v="33"/>
    <n v="1729"/>
    <x v="0"/>
  </r>
  <r>
    <d v="2023-09-28T00:00:00"/>
    <s v="Adult"/>
    <x v="26"/>
    <n v="4493"/>
    <n v="2151"/>
    <n v="1479"/>
    <n v="1573"/>
    <n v="9696"/>
    <x v="33"/>
    <n v="3052"/>
    <x v="0"/>
  </r>
  <r>
    <d v="2023-09-28T00:00:00"/>
    <s v="Adult"/>
    <x v="20"/>
    <n v="2299"/>
    <n v="1023"/>
    <n v="609"/>
    <n v="475"/>
    <n v="4405"/>
    <x v="33"/>
    <n v="1084"/>
    <x v="0"/>
  </r>
  <r>
    <d v="2023-09-28T00:00:00"/>
    <s v="Adult"/>
    <x v="15"/>
    <n v="6016"/>
    <n v="2293"/>
    <n v="1052"/>
    <n v="203"/>
    <n v="9563"/>
    <x v="33"/>
    <n v="1255"/>
    <x v="0"/>
  </r>
  <r>
    <d v="2023-09-28T00:00:00"/>
    <s v="Adult"/>
    <x v="29"/>
    <n v="2169"/>
    <n v="1554"/>
    <n v="373"/>
    <n v="71"/>
    <n v="4167"/>
    <x v="33"/>
    <n v="444"/>
    <x v="0"/>
  </r>
  <r>
    <d v="2023-09-28T00:00:00"/>
    <s v="Adult"/>
    <x v="27"/>
    <n v="7997"/>
    <n v="2723"/>
    <n v="561"/>
    <n v="56"/>
    <n v="11336"/>
    <x v="33"/>
    <n v="617"/>
    <x v="0"/>
  </r>
  <r>
    <d v="2023-09-28T00:00:00"/>
    <s v="Adult"/>
    <x v="0"/>
    <n v="3515"/>
    <n v="1540"/>
    <n v="436"/>
    <n v="540"/>
    <n v="6031"/>
    <x v="33"/>
    <n v="976"/>
    <x v="0"/>
  </r>
  <r>
    <d v="2023-09-28T00:00:00"/>
    <s v="Adult"/>
    <x v="21"/>
    <n v="1858"/>
    <n v="421"/>
    <n v="139"/>
    <n v="227"/>
    <n v="2644"/>
    <x v="33"/>
    <n v="366"/>
    <x v="0"/>
  </r>
  <r>
    <d v="2023-09-28T00:00:00"/>
    <s v="Adult"/>
    <x v="7"/>
    <n v="2821"/>
    <n v="1197"/>
    <n v="575"/>
    <n v="392"/>
    <n v="4985"/>
    <x v="33"/>
    <n v="967"/>
    <x v="0"/>
  </r>
  <r>
    <d v="2023-09-28T00:00:00"/>
    <s v="Adult"/>
    <x v="38"/>
    <n v="5181"/>
    <n v="2729"/>
    <n v="1713"/>
    <n v="2700"/>
    <n v="12323"/>
    <x v="33"/>
    <n v="4413"/>
    <x v="0"/>
  </r>
  <r>
    <d v="2023-09-28T00:00:00"/>
    <s v="Adult"/>
    <x v="35"/>
    <n v="8410"/>
    <n v="2338"/>
    <n v="1602"/>
    <n v="2077"/>
    <n v="14426"/>
    <x v="33"/>
    <n v="3679"/>
    <x v="0"/>
  </r>
  <r>
    <d v="2023-09-28T00:00:00"/>
    <s v="Adult"/>
    <x v="36"/>
    <n v="10698"/>
    <n v="5314"/>
    <n v="3043"/>
    <n v="5780"/>
    <n v="24834"/>
    <x v="33"/>
    <n v="8823"/>
    <x v="0"/>
  </r>
  <r>
    <d v="2023-09-28T00:00:00"/>
    <s v="Adult"/>
    <x v="37"/>
    <n v="2020"/>
    <n v="1598"/>
    <n v="1715"/>
    <n v="3411"/>
    <n v="8743"/>
    <x v="33"/>
    <n v="5126"/>
    <x v="0"/>
  </r>
  <r>
    <d v="2023-09-28T00:00:00"/>
    <s v="Adult"/>
    <x v="44"/>
    <n v="17135"/>
    <n v="4994"/>
    <n v="1974"/>
    <n v="1955"/>
    <n v="26057"/>
    <x v="33"/>
    <n v="3929"/>
    <x v="0"/>
  </r>
  <r>
    <d v="2023-09-28T00:00:00"/>
    <s v="Adult"/>
    <x v="1"/>
    <n v="562"/>
    <n v="185"/>
    <n v="165"/>
    <n v="99"/>
    <n v="1011"/>
    <x v="33"/>
    <n v="264"/>
    <x v="0"/>
  </r>
  <r>
    <d v="2023-09-28T00:00:00"/>
    <s v="Adult"/>
    <x v="5"/>
    <n v="3803"/>
    <n v="1138"/>
    <n v="382"/>
    <n v="49"/>
    <n v="5371"/>
    <x v="33"/>
    <n v="431"/>
    <x v="0"/>
  </r>
  <r>
    <d v="2023-09-28T00:00:00"/>
    <s v="Adult"/>
    <x v="45"/>
    <n v="2605"/>
    <n v="885"/>
    <n v="356"/>
    <n v="171"/>
    <n v="4016"/>
    <x v="33"/>
    <n v="527"/>
    <x v="0"/>
  </r>
  <r>
    <d v="2023-09-28T00:00:00"/>
    <s v="Adult"/>
    <x v="46"/>
    <n v="18455"/>
    <n v="5801"/>
    <n v="1464"/>
    <n v="409"/>
    <n v="26128"/>
    <x v="33"/>
    <n v="1873"/>
    <x v="0"/>
  </r>
  <r>
    <d v="2023-09-28T00:00:00"/>
    <s v="Adult"/>
    <x v="12"/>
    <n v="13166"/>
    <n v="8228"/>
    <n v="5110"/>
    <n v="6413"/>
    <n v="32916"/>
    <x v="33"/>
    <n v="11523"/>
    <x v="0"/>
  </r>
  <r>
    <d v="2023-09-28T00:00:00"/>
    <s v="Adult"/>
    <x v="8"/>
    <n v="2505"/>
    <n v="764"/>
    <n v="279"/>
    <n v="146"/>
    <n v="3694"/>
    <x v="33"/>
    <n v="425"/>
    <x v="0"/>
  </r>
  <r>
    <d v="2023-09-28T00:00:00"/>
    <s v="Adult"/>
    <x v="19"/>
    <n v="6435"/>
    <n v="1845"/>
    <n v="736"/>
    <n v="356"/>
    <n v="9371"/>
    <x v="33"/>
    <n v="1092"/>
    <x v="0"/>
  </r>
  <r>
    <d v="2023-09-28T00:00:00"/>
    <s v="Adult"/>
    <x v="34"/>
    <n v="14818"/>
    <n v="5387"/>
    <n v="2555"/>
    <n v="1239"/>
    <n v="23999"/>
    <x v="33"/>
    <n v="3794"/>
    <x v="0"/>
  </r>
  <r>
    <d v="2023-09-28T00:00:00"/>
    <s v="Adult"/>
    <x v="42"/>
    <n v="18059"/>
    <n v="7401"/>
    <n v="3662"/>
    <n v="5110"/>
    <n v="34232"/>
    <x v="33"/>
    <n v="8772"/>
    <x v="0"/>
  </r>
  <r>
    <d v="2023-09-28T00:00:00"/>
    <s v="Adult"/>
    <x v="24"/>
    <n v="2995"/>
    <n v="739"/>
    <n v="253"/>
    <n v="55"/>
    <n v="4041"/>
    <x v="33"/>
    <n v="308"/>
    <x v="0"/>
  </r>
  <r>
    <d v="2023-10-26T00:00:00"/>
    <s v="Adult"/>
    <x v="25"/>
    <n v="709"/>
    <n v="214"/>
    <n v="91"/>
    <n v="15"/>
    <n v="1029"/>
    <x v="41"/>
    <n v="106"/>
    <x v="0"/>
  </r>
  <r>
    <d v="2023-10-26T00:00:00"/>
    <s v="Adult"/>
    <x v="23"/>
    <n v="24666"/>
    <n v="8618"/>
    <n v="1371"/>
    <n v="41"/>
    <n v="34696"/>
    <x v="41"/>
    <n v="1412"/>
    <x v="0"/>
  </r>
  <r>
    <d v="2023-10-26T00:00:00"/>
    <s v="Adult"/>
    <x v="16"/>
    <n v="4794"/>
    <n v="1890"/>
    <n v="595"/>
    <n v="36"/>
    <n v="7315"/>
    <x v="41"/>
    <n v="631"/>
    <x v="0"/>
  </r>
  <r>
    <d v="2023-10-26T00:00:00"/>
    <s v="Adult"/>
    <x v="9"/>
    <n v="1797"/>
    <n v="771"/>
    <n v="275"/>
    <n v="132"/>
    <n v="2975"/>
    <x v="41"/>
    <n v="407"/>
    <x v="0"/>
  </r>
  <r>
    <d v="2023-10-26T00:00:00"/>
    <s v="Adult"/>
    <x v="40"/>
    <n v="14098"/>
    <n v="6717"/>
    <n v="4190"/>
    <n v="6693"/>
    <n v="31697"/>
    <x v="41"/>
    <n v="10883"/>
    <x v="0"/>
  </r>
  <r>
    <d v="2023-10-26T00:00:00"/>
    <s v="Adult"/>
    <x v="3"/>
    <n v="3137"/>
    <n v="1007"/>
    <n v="391"/>
    <n v="324"/>
    <n v="4859"/>
    <x v="41"/>
    <n v="715"/>
    <x v="0"/>
  </r>
  <r>
    <d v="2023-10-26T00:00:00"/>
    <s v="Adult"/>
    <x v="41"/>
    <n v="20780"/>
    <n v="8717"/>
    <n v="5369"/>
    <n v="8983"/>
    <n v="43849"/>
    <x v="41"/>
    <n v="14352"/>
    <x v="0"/>
  </r>
  <r>
    <d v="2023-10-26T00:00:00"/>
    <s v="Adult"/>
    <x v="32"/>
    <n v="8012"/>
    <n v="2233"/>
    <n v="1448"/>
    <n v="2185"/>
    <n v="13878"/>
    <x v="41"/>
    <n v="3633"/>
    <x v="0"/>
  </r>
  <r>
    <d v="2023-10-26T00:00:00"/>
    <s v="Adult"/>
    <x v="4"/>
    <n v="2073"/>
    <n v="1128"/>
    <n v="289"/>
    <n v="171"/>
    <n v="3661"/>
    <x v="41"/>
    <n v="460"/>
    <x v="0"/>
  </r>
  <r>
    <d v="2023-10-26T00:00:00"/>
    <s v="Adult"/>
    <x v="43"/>
    <n v="22409"/>
    <n v="7471"/>
    <n v="3093"/>
    <n v="5792"/>
    <n v="38765"/>
    <x v="41"/>
    <n v="8885"/>
    <x v="0"/>
  </r>
  <r>
    <d v="2023-10-26T00:00:00"/>
    <s v="Adult"/>
    <x v="22"/>
    <n v="4160"/>
    <n v="1600"/>
    <n v="602"/>
    <n v="814"/>
    <n v="7176"/>
    <x v="41"/>
    <n v="1416"/>
    <x v="0"/>
  </r>
  <r>
    <d v="2023-10-26T00:00:00"/>
    <s v="Adult"/>
    <x v="2"/>
    <n v="3295"/>
    <n v="1172"/>
    <n v="585"/>
    <n v="1241"/>
    <n v="6293"/>
    <x v="41"/>
    <n v="1826"/>
    <x v="0"/>
  </r>
  <r>
    <d v="2023-10-26T00:00:00"/>
    <s v="Adult"/>
    <x v="26"/>
    <n v="4442"/>
    <n v="2122"/>
    <n v="1482"/>
    <n v="1657"/>
    <n v="9703"/>
    <x v="41"/>
    <n v="3139"/>
    <x v="0"/>
  </r>
  <r>
    <d v="2023-10-26T00:00:00"/>
    <s v="Adult"/>
    <x v="20"/>
    <n v="2271"/>
    <n v="1010"/>
    <n v="609"/>
    <n v="475"/>
    <n v="4365"/>
    <x v="41"/>
    <n v="1084"/>
    <x v="0"/>
  </r>
  <r>
    <d v="2023-10-26T00:00:00"/>
    <s v="Adult"/>
    <x v="18"/>
    <n v="8354"/>
    <n v="2859"/>
    <n v="329"/>
    <n v="4"/>
    <n v="11546"/>
    <x v="41"/>
    <n v="333"/>
    <x v="0"/>
  </r>
  <r>
    <d v="2023-10-26T00:00:00"/>
    <s v="Adult"/>
    <x v="15"/>
    <n v="6126"/>
    <n v="2296"/>
    <n v="1045"/>
    <n v="170"/>
    <n v="9637"/>
    <x v="41"/>
    <n v="1215"/>
    <x v="0"/>
  </r>
  <r>
    <d v="2023-10-26T00:00:00"/>
    <s v="Adult"/>
    <x v="29"/>
    <n v="2820"/>
    <n v="1493"/>
    <n v="440"/>
    <n v="85"/>
    <n v="4838"/>
    <x v="41"/>
    <n v="525"/>
    <x v="0"/>
  </r>
  <r>
    <d v="2023-10-26T00:00:00"/>
    <s v="Adult"/>
    <x v="27"/>
    <n v="8247"/>
    <n v="2709"/>
    <n v="428"/>
    <n v="53"/>
    <n v="11436"/>
    <x v="41"/>
    <n v="481"/>
    <x v="0"/>
  </r>
  <r>
    <d v="2023-10-26T00:00:00"/>
    <s v="Adult"/>
    <x v="0"/>
    <n v="3290"/>
    <n v="1676"/>
    <n v="411"/>
    <n v="452"/>
    <n v="5829"/>
    <x v="41"/>
    <n v="863"/>
    <x v="0"/>
  </r>
  <r>
    <d v="2023-10-26T00:00:00"/>
    <s v="Adult"/>
    <x v="21"/>
    <n v="1797"/>
    <n v="392"/>
    <n v="152"/>
    <n v="202"/>
    <n v="2543"/>
    <x v="41"/>
    <n v="354"/>
    <x v="0"/>
  </r>
  <r>
    <d v="2023-10-26T00:00:00"/>
    <s v="Adult"/>
    <x v="7"/>
    <n v="2688"/>
    <n v="1194"/>
    <n v="438"/>
    <n v="313"/>
    <n v="4633"/>
    <x v="41"/>
    <n v="751"/>
    <x v="0"/>
  </r>
  <r>
    <d v="2023-10-26T00:00:00"/>
    <s v="Adult"/>
    <x v="38"/>
    <n v="5395"/>
    <n v="2804"/>
    <n v="1629"/>
    <n v="2566"/>
    <n v="12394"/>
    <x v="41"/>
    <n v="4195"/>
    <x v="0"/>
  </r>
  <r>
    <d v="2023-10-26T00:00:00"/>
    <s v="Adult"/>
    <x v="35"/>
    <n v="7782"/>
    <n v="2289"/>
    <n v="1505"/>
    <n v="2031"/>
    <n v="13607"/>
    <x v="41"/>
    <n v="3536"/>
    <x v="0"/>
  </r>
  <r>
    <d v="2023-10-26T00:00:00"/>
    <s v="Adult"/>
    <x v="36"/>
    <n v="10868"/>
    <n v="5520"/>
    <n v="3007"/>
    <n v="5640"/>
    <n v="25035"/>
    <x v="41"/>
    <n v="8647"/>
    <x v="0"/>
  </r>
  <r>
    <d v="2023-10-26T00:00:00"/>
    <s v="Adult"/>
    <x v="37"/>
    <n v="2048"/>
    <n v="1602"/>
    <n v="1735"/>
    <n v="3574"/>
    <n v="8959"/>
    <x v="41"/>
    <n v="5309"/>
    <x v="0"/>
  </r>
  <r>
    <d v="2023-10-26T00:00:00"/>
    <s v="Adult"/>
    <x v="44"/>
    <n v="17013"/>
    <n v="5006"/>
    <n v="1799"/>
    <n v="1765"/>
    <n v="25583"/>
    <x v="41"/>
    <n v="3564"/>
    <x v="0"/>
  </r>
  <r>
    <d v="2023-10-26T00:00:00"/>
    <s v="Adult"/>
    <x v="1"/>
    <n v="514"/>
    <n v="210"/>
    <n v="120"/>
    <n v="90"/>
    <n v="934"/>
    <x v="41"/>
    <n v="210"/>
    <x v="0"/>
  </r>
  <r>
    <d v="2023-10-26T00:00:00"/>
    <s v="Adult"/>
    <x v="5"/>
    <n v="3874"/>
    <n v="1136"/>
    <n v="323"/>
    <n v="59"/>
    <n v="5392"/>
    <x v="41"/>
    <n v="382"/>
    <x v="0"/>
  </r>
  <r>
    <d v="2023-10-26T00:00:00"/>
    <s v="Adult"/>
    <x v="45"/>
    <n v="2730"/>
    <n v="852"/>
    <n v="375"/>
    <n v="195"/>
    <n v="4152"/>
    <x v="41"/>
    <n v="570"/>
    <x v="0"/>
  </r>
  <r>
    <d v="2023-10-26T00:00:00"/>
    <s v="Adult"/>
    <x v="46"/>
    <n v="17848"/>
    <n v="5977"/>
    <n v="1530"/>
    <n v="415"/>
    <n v="25770"/>
    <x v="41"/>
    <n v="1945"/>
    <x v="0"/>
  </r>
  <r>
    <d v="2023-10-26T00:00:00"/>
    <s v="Adult"/>
    <x v="12"/>
    <n v="13401"/>
    <n v="8228"/>
    <n v="5054"/>
    <n v="5614"/>
    <n v="32297"/>
    <x v="41"/>
    <n v="10668"/>
    <x v="0"/>
  </r>
  <r>
    <d v="2023-10-26T00:00:00"/>
    <s v="Adult"/>
    <x v="8"/>
    <n v="2414"/>
    <n v="845"/>
    <n v="262"/>
    <n v="80"/>
    <n v="3601"/>
    <x v="41"/>
    <n v="342"/>
    <x v="0"/>
  </r>
  <r>
    <d v="2023-10-26T00:00:00"/>
    <s v="Adult"/>
    <x v="19"/>
    <n v="6489"/>
    <n v="2045"/>
    <n v="673"/>
    <n v="358"/>
    <n v="9565"/>
    <x v="41"/>
    <n v="1031"/>
    <x v="0"/>
  </r>
  <r>
    <d v="2023-10-26T00:00:00"/>
    <s v="Adult"/>
    <x v="34"/>
    <n v="14828"/>
    <n v="4899"/>
    <n v="2300"/>
    <n v="1041"/>
    <n v="23068"/>
    <x v="41"/>
    <n v="3341"/>
    <x v="0"/>
  </r>
  <r>
    <d v="2023-10-26T00:00:00"/>
    <s v="Adult"/>
    <x v="42"/>
    <n v="18459"/>
    <n v="7448"/>
    <n v="3704"/>
    <n v="5074"/>
    <n v="34685"/>
    <x v="41"/>
    <n v="8778"/>
    <x v="0"/>
  </r>
  <r>
    <d v="2023-10-26T00:00:00"/>
    <s v="Adult"/>
    <x v="24"/>
    <n v="2991"/>
    <n v="708"/>
    <n v="189"/>
    <n v="25"/>
    <n v="3913"/>
    <x v="41"/>
    <n v="214"/>
    <x v="0"/>
  </r>
  <r>
    <d v="2023-11-30T00:00:00"/>
    <s v="Adult"/>
    <x v="25"/>
    <n v="619"/>
    <n v="236"/>
    <n v="84"/>
    <n v="23"/>
    <n v="963"/>
    <x v="42"/>
    <n v="107"/>
    <x v="0"/>
  </r>
  <r>
    <d v="2023-11-30T00:00:00"/>
    <s v="Adult"/>
    <x v="23"/>
    <n v="24787"/>
    <n v="8170"/>
    <n v="1137"/>
    <n v="40"/>
    <n v="34134"/>
    <x v="42"/>
    <n v="1177"/>
    <x v="0"/>
  </r>
  <r>
    <d v="2023-11-30T00:00:00"/>
    <s v="Adult"/>
    <x v="16"/>
    <n v="5089"/>
    <n v="1328"/>
    <n v="162"/>
    <n v="35"/>
    <n v="6613"/>
    <x v="42"/>
    <n v="197"/>
    <x v="0"/>
  </r>
  <r>
    <d v="2023-11-30T00:00:00"/>
    <s v="Adult"/>
    <x v="9"/>
    <n v="1559"/>
    <n v="805"/>
    <n v="298"/>
    <n v="110"/>
    <n v="2772"/>
    <x v="42"/>
    <n v="408"/>
    <x v="0"/>
  </r>
  <r>
    <d v="2023-11-30T00:00:00"/>
    <s v="Adult"/>
    <x v="40"/>
    <n v="14271"/>
    <n v="6888"/>
    <n v="3910"/>
    <n v="6165"/>
    <n v="31234"/>
    <x v="42"/>
    <n v="10075"/>
    <x v="0"/>
  </r>
  <r>
    <d v="2023-11-30T00:00:00"/>
    <s v="Adult"/>
    <x v="3"/>
    <n v="3091"/>
    <n v="1021"/>
    <n v="326"/>
    <n v="247"/>
    <n v="4685"/>
    <x v="42"/>
    <n v="573"/>
    <x v="0"/>
  </r>
  <r>
    <d v="2023-11-30T00:00:00"/>
    <s v="Adult"/>
    <x v="41"/>
    <n v="22169"/>
    <n v="8751"/>
    <n v="4844"/>
    <n v="8424"/>
    <n v="44187"/>
    <x v="42"/>
    <n v="13268"/>
    <x v="0"/>
  </r>
  <r>
    <d v="2023-11-30T00:00:00"/>
    <s v="Adult"/>
    <x v="32"/>
    <n v="7714"/>
    <n v="2274"/>
    <n v="1294"/>
    <n v="1996"/>
    <n v="13278"/>
    <x v="42"/>
    <n v="3290"/>
    <x v="0"/>
  </r>
  <r>
    <d v="2023-11-30T00:00:00"/>
    <s v="Adult"/>
    <x v="4"/>
    <n v="2078"/>
    <n v="1042"/>
    <n v="276"/>
    <n v="137"/>
    <n v="3533"/>
    <x v="42"/>
    <n v="413"/>
    <x v="0"/>
  </r>
  <r>
    <d v="2023-11-30T00:00:00"/>
    <s v="Adult"/>
    <x v="43"/>
    <n v="22169"/>
    <n v="7701"/>
    <n v="3129"/>
    <n v="5515"/>
    <n v="38513"/>
    <x v="42"/>
    <n v="8644"/>
    <x v="0"/>
  </r>
  <r>
    <d v="2023-11-30T00:00:00"/>
    <s v="Adult"/>
    <x v="22"/>
    <n v="4052"/>
    <n v="1498"/>
    <n v="524"/>
    <n v="587"/>
    <n v="6661"/>
    <x v="42"/>
    <n v="1111"/>
    <x v="0"/>
  </r>
  <r>
    <d v="2023-11-30T00:00:00"/>
    <s v="Adult"/>
    <x v="2"/>
    <n v="3170"/>
    <n v="1295"/>
    <n v="600"/>
    <n v="1206"/>
    <n v="6271"/>
    <x v="42"/>
    <n v="1806"/>
    <x v="0"/>
  </r>
  <r>
    <d v="2023-11-30T00:00:00"/>
    <s v="Adult"/>
    <x v="26"/>
    <n v="4226"/>
    <n v="2062"/>
    <n v="1296"/>
    <n v="1290"/>
    <n v="8875"/>
    <x v="42"/>
    <n v="2586"/>
    <x v="0"/>
  </r>
  <r>
    <d v="2023-11-30T00:00:00"/>
    <s v="Adult"/>
    <x v="20"/>
    <n v="2232"/>
    <n v="1032"/>
    <n v="558"/>
    <n v="428"/>
    <n v="4251"/>
    <x v="42"/>
    <n v="986"/>
    <x v="0"/>
  </r>
  <r>
    <d v="2023-11-30T00:00:00"/>
    <s v="Adult"/>
    <x v="15"/>
    <n v="6028"/>
    <n v="2368"/>
    <n v="931"/>
    <n v="162"/>
    <n v="9489"/>
    <x v="42"/>
    <n v="1093"/>
    <x v="0"/>
  </r>
  <r>
    <d v="2023-11-30T00:00:00"/>
    <s v="Adult"/>
    <x v="29"/>
    <n v="3219"/>
    <n v="1770"/>
    <n v="494"/>
    <n v="137"/>
    <n v="5620"/>
    <x v="42"/>
    <n v="631"/>
    <x v="0"/>
  </r>
  <r>
    <d v="2023-11-30T00:00:00"/>
    <s v="Adult"/>
    <x v="27"/>
    <n v="7966"/>
    <n v="2302"/>
    <n v="157"/>
    <n v="51"/>
    <n v="10476"/>
    <x v="42"/>
    <n v="208"/>
    <x v="0"/>
  </r>
  <r>
    <d v="2023-11-30T00:00:00"/>
    <s v="Adult"/>
    <x v="0"/>
    <n v="3264"/>
    <n v="1905"/>
    <n v="423"/>
    <n v="416"/>
    <n v="6008"/>
    <x v="42"/>
    <n v="839"/>
    <x v="0"/>
  </r>
  <r>
    <d v="2023-11-30T00:00:00"/>
    <s v="Adult"/>
    <x v="21"/>
    <n v="1838"/>
    <n v="368"/>
    <n v="153"/>
    <n v="174"/>
    <n v="2533"/>
    <x v="42"/>
    <n v="327"/>
    <x v="0"/>
  </r>
  <r>
    <d v="2023-11-30T00:00:00"/>
    <s v="Adult"/>
    <x v="7"/>
    <n v="2451"/>
    <n v="1036"/>
    <n v="316"/>
    <n v="310"/>
    <n v="4113"/>
    <x v="42"/>
    <n v="626"/>
    <x v="0"/>
  </r>
  <r>
    <d v="2023-11-30T00:00:00"/>
    <s v="Adult"/>
    <x v="38"/>
    <n v="5580"/>
    <n v="2781"/>
    <n v="1528"/>
    <n v="2399"/>
    <n v="12288"/>
    <x v="42"/>
    <n v="3927"/>
    <x v="0"/>
  </r>
  <r>
    <d v="2023-11-30T00:00:00"/>
    <s v="Adult"/>
    <x v="35"/>
    <n v="7625"/>
    <n v="2271"/>
    <n v="1366"/>
    <n v="1744"/>
    <n v="13005"/>
    <x v="42"/>
    <n v="3110"/>
    <x v="0"/>
  </r>
  <r>
    <d v="2023-11-30T00:00:00"/>
    <s v="Adult"/>
    <x v="36"/>
    <n v="10968"/>
    <n v="5717"/>
    <n v="2898"/>
    <n v="5479"/>
    <n v="25062"/>
    <x v="42"/>
    <n v="8377"/>
    <x v="0"/>
  </r>
  <r>
    <d v="2023-11-30T00:00:00"/>
    <s v="Adult"/>
    <x v="37"/>
    <n v="2133"/>
    <n v="1582"/>
    <n v="1646"/>
    <n v="3853"/>
    <n v="9215"/>
    <x v="42"/>
    <n v="5499"/>
    <x v="0"/>
  </r>
  <r>
    <d v="2023-11-30T00:00:00"/>
    <s v="Adult"/>
    <x v="44"/>
    <n v="16740"/>
    <n v="5013"/>
    <n v="1445"/>
    <n v="1608"/>
    <n v="24807"/>
    <x v="42"/>
    <n v="3053"/>
    <x v="0"/>
  </r>
  <r>
    <d v="2023-11-30T00:00:00"/>
    <s v="Adult"/>
    <x v="1"/>
    <n v="496"/>
    <n v="204"/>
    <n v="73"/>
    <n v="50"/>
    <n v="824"/>
    <x v="42"/>
    <n v="123"/>
    <x v="0"/>
  </r>
  <r>
    <d v="2023-11-30T00:00:00"/>
    <s v="Adult"/>
    <x v="5"/>
    <n v="3720"/>
    <n v="1297"/>
    <n v="336"/>
    <n v="73"/>
    <n v="5426"/>
    <x v="42"/>
    <n v="409"/>
    <x v="0"/>
  </r>
  <r>
    <d v="2023-11-30T00:00:00"/>
    <s v="Adult"/>
    <x v="45"/>
    <n v="2736"/>
    <n v="894"/>
    <n v="398"/>
    <n v="187"/>
    <n v="4215"/>
    <x v="42"/>
    <n v="585"/>
    <x v="0"/>
  </r>
  <r>
    <d v="2023-11-30T00:00:00"/>
    <s v="Adult"/>
    <x v="46"/>
    <n v="17623"/>
    <n v="6486"/>
    <n v="1625"/>
    <n v="459"/>
    <n v="26193"/>
    <x v="42"/>
    <n v="2084"/>
    <x v="0"/>
  </r>
  <r>
    <d v="2023-11-30T00:00:00"/>
    <s v="Adult"/>
    <x v="12"/>
    <n v="15244"/>
    <n v="8492"/>
    <n v="4698"/>
    <n v="5016"/>
    <n v="33450"/>
    <x v="42"/>
    <n v="9714"/>
    <x v="0"/>
  </r>
  <r>
    <d v="2023-11-30T00:00:00"/>
    <s v="Adult"/>
    <x v="8"/>
    <n v="2421"/>
    <n v="722"/>
    <n v="193"/>
    <n v="73"/>
    <n v="3410"/>
    <x v="42"/>
    <n v="266"/>
    <x v="0"/>
  </r>
  <r>
    <d v="2023-11-30T00:00:00"/>
    <s v="Adult"/>
    <x v="19"/>
    <n v="6145"/>
    <n v="2235"/>
    <n v="588"/>
    <n v="255"/>
    <n v="9223"/>
    <x v="42"/>
    <n v="843"/>
    <x v="0"/>
  </r>
  <r>
    <d v="2023-11-30T00:00:00"/>
    <s v="Adult"/>
    <x v="34"/>
    <n v="14640"/>
    <n v="4762"/>
    <n v="1793"/>
    <n v="727"/>
    <n v="21922"/>
    <x v="42"/>
    <n v="2520"/>
    <x v="0"/>
  </r>
  <r>
    <d v="2023-11-30T00:00:00"/>
    <s v="Adult"/>
    <x v="42"/>
    <n v="18593"/>
    <n v="7807"/>
    <n v="3492"/>
    <n v="4968"/>
    <n v="34860"/>
    <x v="42"/>
    <n v="8460"/>
    <x v="0"/>
  </r>
  <r>
    <d v="2023-11-30T00:00:00"/>
    <s v="Adult"/>
    <x v="24"/>
    <n v="2824"/>
    <n v="782"/>
    <n v="179"/>
    <n v="56"/>
    <n v="3842"/>
    <x v="42"/>
    <n v="235"/>
    <x v="0"/>
  </r>
  <r>
    <d v="2023-12-28T00:00:00"/>
    <s v="Adult"/>
    <x v="25"/>
    <n v="623"/>
    <n v="258"/>
    <n v="71"/>
    <n v="36"/>
    <n v="989"/>
    <x v="43"/>
    <n v="107"/>
    <x v="0"/>
  </r>
  <r>
    <d v="2023-12-28T00:00:00"/>
    <s v="Adult"/>
    <x v="23"/>
    <n v="24734"/>
    <n v="8382"/>
    <n v="550"/>
    <n v="59"/>
    <n v="33726"/>
    <x v="43"/>
    <n v="609"/>
    <x v="0"/>
  </r>
  <r>
    <d v="2023-12-28T00:00:00"/>
    <s v="Adult"/>
    <x v="9"/>
    <n v="1430"/>
    <n v="885"/>
    <n v="294"/>
    <n v="71"/>
    <n v="2680"/>
    <x v="43"/>
    <n v="365"/>
    <x v="0"/>
  </r>
  <r>
    <d v="2023-12-28T00:00:00"/>
    <s v="Adult"/>
    <x v="40"/>
    <n v="14009"/>
    <n v="6919"/>
    <n v="3467"/>
    <n v="5266"/>
    <n v="29661"/>
    <x v="43"/>
    <n v="8733"/>
    <x v="0"/>
  </r>
  <r>
    <d v="2023-12-28T00:00:00"/>
    <s v="Adult"/>
    <x v="3"/>
    <n v="2969"/>
    <n v="1228"/>
    <n v="259"/>
    <n v="219"/>
    <n v="4675"/>
    <x v="43"/>
    <n v="478"/>
    <x v="0"/>
  </r>
  <r>
    <d v="2023-12-28T00:00:00"/>
    <s v="Adult"/>
    <x v="41"/>
    <n v="20948"/>
    <n v="8675"/>
    <n v="4516"/>
    <n v="7808"/>
    <n v="41948"/>
    <x v="43"/>
    <n v="12324"/>
    <x v="0"/>
  </r>
  <r>
    <d v="2023-12-28T00:00:00"/>
    <s v="Adult"/>
    <x v="32"/>
    <n v="7573"/>
    <n v="2119"/>
    <n v="1157"/>
    <n v="1520"/>
    <n v="12369"/>
    <x v="43"/>
    <n v="2677"/>
    <x v="0"/>
  </r>
  <r>
    <d v="2023-12-28T00:00:00"/>
    <s v="Adult"/>
    <x v="4"/>
    <n v="2067"/>
    <n v="859"/>
    <n v="196"/>
    <n v="48"/>
    <n v="3171"/>
    <x v="43"/>
    <n v="244"/>
    <x v="0"/>
  </r>
  <r>
    <d v="2023-12-28T00:00:00"/>
    <s v="Adult"/>
    <x v="43"/>
    <n v="21934"/>
    <n v="7959"/>
    <n v="3256"/>
    <n v="5230"/>
    <n v="38378"/>
    <x v="43"/>
    <n v="8486"/>
    <x v="0"/>
  </r>
  <r>
    <d v="2023-12-28T00:00:00"/>
    <s v="Adult"/>
    <x v="22"/>
    <n v="3796"/>
    <n v="1313"/>
    <n v="496"/>
    <n v="501"/>
    <n v="6107"/>
    <x v="43"/>
    <n v="997"/>
    <x v="0"/>
  </r>
  <r>
    <d v="2023-12-28T00:00:00"/>
    <s v="Adult"/>
    <x v="2"/>
    <n v="3110"/>
    <n v="1358"/>
    <n v="442"/>
    <n v="651"/>
    <n v="5561"/>
    <x v="43"/>
    <n v="1093"/>
    <x v="0"/>
  </r>
  <r>
    <d v="2023-12-28T00:00:00"/>
    <s v="Adult"/>
    <x v="26"/>
    <n v="4245"/>
    <n v="1690"/>
    <n v="1060"/>
    <n v="1039"/>
    <n v="8035"/>
    <x v="43"/>
    <n v="2099"/>
    <x v="0"/>
  </r>
  <r>
    <d v="2023-12-28T00:00:00"/>
    <s v="Adult"/>
    <x v="20"/>
    <n v="2127"/>
    <n v="1070"/>
    <n v="483"/>
    <n v="451"/>
    <n v="4132"/>
    <x v="43"/>
    <n v="934"/>
    <x v="0"/>
  </r>
  <r>
    <d v="2023-12-28T00:00:00"/>
    <s v="Adult"/>
    <x v="15"/>
    <n v="5854"/>
    <n v="2515"/>
    <n v="864"/>
    <n v="160"/>
    <n v="9394"/>
    <x v="43"/>
    <n v="1024"/>
    <x v="0"/>
  </r>
  <r>
    <d v="2023-12-28T00:00:00"/>
    <s v="Adult"/>
    <x v="29"/>
    <n v="2949"/>
    <n v="1767"/>
    <n v="546"/>
    <n v="130"/>
    <n v="5392"/>
    <x v="43"/>
    <n v="676"/>
    <x v="0"/>
  </r>
  <r>
    <d v="2023-12-28T00:00:00"/>
    <s v="Adult"/>
    <x v="27"/>
    <n v="7951"/>
    <n v="2271"/>
    <n v="79"/>
    <n v="32"/>
    <n v="10333"/>
    <x v="43"/>
    <n v="111"/>
    <x v="0"/>
  </r>
  <r>
    <d v="2023-12-28T00:00:00"/>
    <s v="Adult"/>
    <x v="0"/>
    <n v="3281"/>
    <n v="1967"/>
    <n v="467"/>
    <n v="388"/>
    <n v="6103"/>
    <x v="43"/>
    <n v="855"/>
    <x v="0"/>
  </r>
  <r>
    <d v="2023-12-28T00:00:00"/>
    <s v="Adult"/>
    <x v="21"/>
    <n v="1783"/>
    <n v="351"/>
    <n v="145"/>
    <n v="107"/>
    <n v="2386"/>
    <x v="43"/>
    <n v="252"/>
    <x v="0"/>
  </r>
  <r>
    <d v="2023-12-28T00:00:00"/>
    <s v="Adult"/>
    <x v="7"/>
    <n v="2272"/>
    <n v="945"/>
    <n v="253"/>
    <n v="314"/>
    <n v="3785"/>
    <x v="43"/>
    <n v="567"/>
    <x v="0"/>
  </r>
  <r>
    <d v="2023-12-28T00:00:00"/>
    <s v="Adult"/>
    <x v="38"/>
    <n v="5341"/>
    <n v="2775"/>
    <n v="1498"/>
    <n v="2316"/>
    <n v="11930"/>
    <x v="43"/>
    <n v="3814"/>
    <x v="0"/>
  </r>
  <r>
    <d v="2023-12-28T00:00:00"/>
    <s v="Adult"/>
    <x v="35"/>
    <n v="7112"/>
    <n v="2143"/>
    <n v="1219"/>
    <n v="1397"/>
    <n v="11872"/>
    <x v="43"/>
    <n v="2616"/>
    <x v="0"/>
  </r>
  <r>
    <d v="2023-12-28T00:00:00"/>
    <s v="Adult"/>
    <x v="36"/>
    <n v="10665"/>
    <n v="6122"/>
    <n v="2630"/>
    <n v="4274"/>
    <n v="23692"/>
    <x v="43"/>
    <n v="6904"/>
    <x v="0"/>
  </r>
  <r>
    <d v="2023-12-28T00:00:00"/>
    <s v="Adult"/>
    <x v="37"/>
    <n v="2035"/>
    <n v="1615"/>
    <n v="1455"/>
    <n v="3710"/>
    <n v="8816"/>
    <x v="43"/>
    <n v="5165"/>
    <x v="0"/>
  </r>
  <r>
    <d v="2023-12-28T00:00:00"/>
    <s v="Adult"/>
    <x v="44"/>
    <n v="16088"/>
    <n v="4859"/>
    <n v="1325"/>
    <n v="1313"/>
    <n v="23585"/>
    <x v="43"/>
    <n v="2638"/>
    <x v="0"/>
  </r>
  <r>
    <d v="2023-12-28T00:00:00"/>
    <s v="Adult"/>
    <x v="1"/>
    <n v="443"/>
    <n v="219"/>
    <n v="54"/>
    <n v="16"/>
    <n v="732"/>
    <x v="43"/>
    <n v="70"/>
    <x v="0"/>
  </r>
  <r>
    <d v="2023-12-28T00:00:00"/>
    <s v="Adult"/>
    <x v="5"/>
    <n v="3674"/>
    <n v="1314"/>
    <n v="320"/>
    <n v="80"/>
    <n v="5389"/>
    <x v="43"/>
    <n v="400"/>
    <x v="0"/>
  </r>
  <r>
    <d v="2023-12-28T00:00:00"/>
    <s v="Adult"/>
    <x v="45"/>
    <n v="2713"/>
    <n v="930"/>
    <n v="406"/>
    <n v="210"/>
    <n v="4260"/>
    <x v="43"/>
    <n v="616"/>
    <x v="0"/>
  </r>
  <r>
    <d v="2023-12-28T00:00:00"/>
    <s v="Adult"/>
    <x v="46"/>
    <n v="17060"/>
    <n v="6544"/>
    <n v="1874"/>
    <n v="455"/>
    <n v="25933"/>
    <x v="43"/>
    <n v="2329"/>
    <x v="0"/>
  </r>
  <r>
    <d v="2023-12-28T00:00:00"/>
    <s v="Adult"/>
    <x v="12"/>
    <n v="14821"/>
    <n v="8786"/>
    <n v="4486"/>
    <n v="4661"/>
    <n v="32755"/>
    <x v="43"/>
    <n v="9147"/>
    <x v="0"/>
  </r>
  <r>
    <d v="2023-12-28T00:00:00"/>
    <s v="Adult"/>
    <x v="8"/>
    <n v="2418"/>
    <n v="748"/>
    <n v="141"/>
    <n v="52"/>
    <n v="3360"/>
    <x v="43"/>
    <n v="193"/>
    <x v="0"/>
  </r>
  <r>
    <d v="2023-12-28T00:00:00"/>
    <s v="Adult"/>
    <x v="19"/>
    <n v="5900"/>
    <n v="2380"/>
    <n v="562"/>
    <n v="140"/>
    <n v="8983"/>
    <x v="43"/>
    <n v="702"/>
    <x v="0"/>
  </r>
  <r>
    <d v="2023-12-28T00:00:00"/>
    <s v="Adult"/>
    <x v="34"/>
    <n v="14111"/>
    <n v="4478"/>
    <n v="1570"/>
    <n v="655"/>
    <n v="20815"/>
    <x v="43"/>
    <n v="2225"/>
    <x v="0"/>
  </r>
  <r>
    <d v="2023-12-28T00:00:00"/>
    <s v="Adult"/>
    <x v="42"/>
    <n v="18231"/>
    <n v="8275"/>
    <n v="3514"/>
    <n v="4808"/>
    <n v="34829"/>
    <x v="43"/>
    <n v="8322"/>
    <x v="0"/>
  </r>
  <r>
    <d v="2023-12-28T00:00:00"/>
    <s v="Adult"/>
    <x v="24"/>
    <n v="2875"/>
    <n v="778"/>
    <n v="204"/>
    <n v="80"/>
    <n v="3938"/>
    <x v="43"/>
    <n v="284"/>
    <x v="0"/>
  </r>
  <r>
    <d v="2024-01-25T00:00:00"/>
    <s v="Adult"/>
    <x v="25"/>
    <n v="626"/>
    <n v="218"/>
    <n v="63"/>
    <n v="37"/>
    <n v="944"/>
    <x v="12"/>
    <n v="100"/>
    <x v="0"/>
  </r>
  <r>
    <d v="2024-01-25T00:00:00"/>
    <s v="Adult"/>
    <x v="23"/>
    <n v="24513"/>
    <n v="9977"/>
    <n v="910"/>
    <n v="98"/>
    <n v="35497"/>
    <x v="12"/>
    <n v="1008"/>
    <x v="0"/>
  </r>
  <r>
    <d v="2024-01-25T00:00:00"/>
    <s v="Adult"/>
    <x v="16"/>
    <n v="5588"/>
    <n v="1652"/>
    <n v="22"/>
    <n v="18"/>
    <n v="7279"/>
    <x v="12"/>
    <n v="40"/>
    <x v="0"/>
  </r>
  <r>
    <d v="2024-01-25T00:00:00"/>
    <s v="Adult"/>
    <x v="9"/>
    <n v="1370"/>
    <n v="922"/>
    <n v="285"/>
    <n v="60"/>
    <n v="2636"/>
    <x v="12"/>
    <n v="345"/>
    <x v="0"/>
  </r>
  <r>
    <d v="2024-01-25T00:00:00"/>
    <s v="Adult"/>
    <x v="40"/>
    <n v="13986"/>
    <n v="7351"/>
    <n v="3463"/>
    <n v="5222"/>
    <n v="30021"/>
    <x v="12"/>
    <n v="8685"/>
    <x v="0"/>
  </r>
  <r>
    <d v="2024-01-25T00:00:00"/>
    <s v="Adult"/>
    <x v="3"/>
    <n v="2951"/>
    <n v="1347"/>
    <n v="255"/>
    <n v="112"/>
    <n v="4665"/>
    <x v="12"/>
    <n v="367"/>
    <x v="0"/>
  </r>
  <r>
    <d v="2024-01-25T00:00:00"/>
    <s v="Adult"/>
    <x v="13"/>
    <n v="480"/>
    <n v="354"/>
    <n v="227"/>
    <n v="5"/>
    <n v="1066"/>
    <x v="12"/>
    <n v="232"/>
    <x v="0"/>
  </r>
  <r>
    <d v="2024-01-25T00:00:00"/>
    <s v="Adult"/>
    <x v="41"/>
    <n v="20817"/>
    <n v="9212"/>
    <n v="4327"/>
    <n v="7475"/>
    <n v="41830"/>
    <x v="12"/>
    <n v="11802"/>
    <x v="0"/>
  </r>
  <r>
    <d v="2024-01-25T00:00:00"/>
    <s v="Adult"/>
    <x v="32"/>
    <n v="7678"/>
    <n v="2203"/>
    <n v="1098"/>
    <n v="1586"/>
    <n v="12565"/>
    <x v="12"/>
    <n v="2684"/>
    <x v="0"/>
  </r>
  <r>
    <d v="2024-01-25T00:00:00"/>
    <s v="Adult"/>
    <x v="4"/>
    <n v="2178"/>
    <n v="851"/>
    <n v="228"/>
    <n v="52"/>
    <n v="3308"/>
    <x v="12"/>
    <n v="280"/>
    <x v="0"/>
  </r>
  <r>
    <d v="2024-01-25T00:00:00"/>
    <s v="Adult"/>
    <x v="43"/>
    <n v="22236"/>
    <n v="8233"/>
    <n v="3266"/>
    <n v="5288"/>
    <n v="39024"/>
    <x v="12"/>
    <n v="8554"/>
    <x v="0"/>
  </r>
  <r>
    <d v="2024-01-25T00:00:00"/>
    <s v="Adult"/>
    <x v="22"/>
    <n v="3716"/>
    <n v="1371"/>
    <n v="462"/>
    <n v="449"/>
    <n v="5999"/>
    <x v="12"/>
    <n v="911"/>
    <x v="0"/>
  </r>
  <r>
    <d v="2024-01-25T00:00:00"/>
    <s v="Adult"/>
    <x v="2"/>
    <n v="2944"/>
    <n v="1531"/>
    <n v="469"/>
    <n v="697"/>
    <n v="5642"/>
    <x v="12"/>
    <n v="1166"/>
    <x v="0"/>
  </r>
  <r>
    <d v="2024-01-25T00:00:00"/>
    <s v="Adult"/>
    <x v="26"/>
    <n v="4445"/>
    <n v="1842"/>
    <n v="992"/>
    <n v="1148"/>
    <n v="8426"/>
    <x v="12"/>
    <n v="2140"/>
    <x v="0"/>
  </r>
  <r>
    <d v="2024-01-25T00:00:00"/>
    <s v="Adult"/>
    <x v="20"/>
    <n v="2137"/>
    <n v="1079"/>
    <n v="447"/>
    <n v="423"/>
    <n v="4086"/>
    <x v="12"/>
    <n v="870"/>
    <x v="0"/>
  </r>
  <r>
    <d v="2024-01-25T00:00:00"/>
    <s v="Adult"/>
    <x v="15"/>
    <n v="6107"/>
    <n v="2782"/>
    <n v="680"/>
    <n v="159"/>
    <n v="9727"/>
    <x v="12"/>
    <n v="839"/>
    <x v="0"/>
  </r>
  <r>
    <d v="2024-01-25T00:00:00"/>
    <s v="Adult"/>
    <x v="29"/>
    <n v="2889"/>
    <n v="1838"/>
    <n v="530"/>
    <n v="139"/>
    <n v="5396"/>
    <x v="12"/>
    <n v="669"/>
    <x v="0"/>
  </r>
  <r>
    <d v="2024-01-25T00:00:00"/>
    <s v="Adult"/>
    <x v="11"/>
    <n v="324"/>
    <n v="256"/>
    <n v="186"/>
    <n v="24"/>
    <n v="790"/>
    <x v="12"/>
    <n v="210"/>
    <x v="0"/>
  </r>
  <r>
    <d v="2024-01-25T00:00:00"/>
    <s v="Adult"/>
    <x v="27"/>
    <n v="7978"/>
    <n v="2770"/>
    <n v="96"/>
    <n v="52"/>
    <n v="10896"/>
    <x v="12"/>
    <n v="148"/>
    <x v="0"/>
  </r>
  <r>
    <d v="2024-01-25T00:00:00"/>
    <s v="Adult"/>
    <x v="0"/>
    <n v="3288"/>
    <n v="2072"/>
    <n v="510"/>
    <n v="358"/>
    <n v="6228"/>
    <x v="12"/>
    <n v="868"/>
    <x v="0"/>
  </r>
  <r>
    <d v="2024-01-25T00:00:00"/>
    <s v="Adult"/>
    <x v="21"/>
    <n v="1840"/>
    <n v="366"/>
    <n v="139"/>
    <n v="121"/>
    <n v="2466"/>
    <x v="12"/>
    <n v="260"/>
    <x v="0"/>
  </r>
  <r>
    <d v="2024-01-25T00:00:00"/>
    <s v="Adult"/>
    <x v="7"/>
    <n v="2244"/>
    <n v="918"/>
    <n v="250"/>
    <n v="291"/>
    <n v="3703"/>
    <x v="12"/>
    <n v="541"/>
    <x v="0"/>
  </r>
  <r>
    <d v="2024-01-25T00:00:00"/>
    <s v="Adult"/>
    <x v="38"/>
    <n v="5487"/>
    <n v="2898"/>
    <n v="1535"/>
    <n v="2202"/>
    <n v="12122"/>
    <x v="12"/>
    <n v="3737"/>
    <x v="0"/>
  </r>
  <r>
    <d v="2024-01-25T00:00:00"/>
    <s v="Adult"/>
    <x v="35"/>
    <n v="7221"/>
    <n v="2112"/>
    <n v="1140"/>
    <n v="1407"/>
    <n v="11880"/>
    <x v="12"/>
    <n v="2547"/>
    <x v="0"/>
  </r>
  <r>
    <d v="2024-01-25T00:00:00"/>
    <s v="Adult"/>
    <x v="36"/>
    <n v="10725"/>
    <n v="6310"/>
    <n v="2645"/>
    <n v="4132"/>
    <n v="23811"/>
    <x v="12"/>
    <n v="6777"/>
    <x v="0"/>
  </r>
  <r>
    <d v="2024-01-25T00:00:00"/>
    <s v="Adult"/>
    <x v="37"/>
    <n v="1902"/>
    <n v="1430"/>
    <n v="1111"/>
    <n v="3404"/>
    <n v="7848"/>
    <x v="12"/>
    <n v="4515"/>
    <x v="0"/>
  </r>
  <r>
    <d v="2024-01-25T00:00:00"/>
    <s v="Adult"/>
    <x v="44"/>
    <n v="16083"/>
    <n v="4857"/>
    <n v="1320"/>
    <n v="1312"/>
    <n v="23572"/>
    <x v="12"/>
    <n v="2632"/>
    <x v="0"/>
  </r>
  <r>
    <d v="2024-01-25T00:00:00"/>
    <s v="Adult"/>
    <x v="1"/>
    <n v="464"/>
    <n v="261"/>
    <n v="37"/>
    <n v="3"/>
    <n v="765"/>
    <x v="12"/>
    <n v="40"/>
    <x v="0"/>
  </r>
  <r>
    <d v="2024-01-25T00:00:00"/>
    <s v="Adult"/>
    <x v="5"/>
    <n v="3604"/>
    <n v="1377"/>
    <n v="350"/>
    <n v="109"/>
    <n v="5440"/>
    <x v="12"/>
    <n v="459"/>
    <x v="0"/>
  </r>
  <r>
    <d v="2024-01-25T00:00:00"/>
    <s v="Adult"/>
    <x v="45"/>
    <n v="2588"/>
    <n v="977"/>
    <n v="364"/>
    <n v="236"/>
    <n v="4166"/>
    <x v="12"/>
    <n v="600"/>
    <x v="0"/>
  </r>
  <r>
    <d v="2024-01-25T00:00:00"/>
    <s v="Adult"/>
    <x v="46"/>
    <n v="17124"/>
    <n v="7172"/>
    <n v="1945"/>
    <n v="560"/>
    <n v="26801"/>
    <x v="12"/>
    <n v="2505"/>
    <x v="0"/>
  </r>
  <r>
    <d v="2024-01-25T00:00:00"/>
    <s v="Adult"/>
    <x v="12"/>
    <n v="14201"/>
    <n v="8856"/>
    <n v="4254"/>
    <n v="4435"/>
    <n v="31745"/>
    <x v="12"/>
    <n v="8689"/>
    <x v="0"/>
  </r>
  <r>
    <d v="2024-01-25T00:00:00"/>
    <s v="Adult"/>
    <x v="8"/>
    <n v="2315"/>
    <n v="852"/>
    <n v="133"/>
    <n v="50"/>
    <n v="3351"/>
    <x v="12"/>
    <n v="183"/>
    <x v="0"/>
  </r>
  <r>
    <d v="2024-01-25T00:00:00"/>
    <s v="Adult"/>
    <x v="19"/>
    <n v="6271"/>
    <n v="2520"/>
    <n v="648"/>
    <n v="117"/>
    <n v="9556"/>
    <x v="12"/>
    <n v="765"/>
    <x v="0"/>
  </r>
  <r>
    <d v="2024-01-25T00:00:00"/>
    <s v="Adult"/>
    <x v="34"/>
    <n v="14095"/>
    <n v="4579"/>
    <n v="1297"/>
    <n v="702"/>
    <n v="20674"/>
    <x v="12"/>
    <n v="1999"/>
    <x v="0"/>
  </r>
  <r>
    <d v="2024-01-25T00:00:00"/>
    <s v="Adult"/>
    <x v="42"/>
    <n v="17757"/>
    <n v="8863"/>
    <n v="3548"/>
    <n v="4915"/>
    <n v="35083"/>
    <x v="12"/>
    <n v="8463"/>
    <x v="0"/>
  </r>
  <r>
    <d v="2024-01-25T00:00:00"/>
    <s v="Adult"/>
    <x v="24"/>
    <n v="2761"/>
    <n v="874"/>
    <n v="195"/>
    <n v="83"/>
    <n v="3912"/>
    <x v="12"/>
    <n v="278"/>
    <x v="0"/>
  </r>
  <r>
    <d v="2024-02-29T00:00:00"/>
    <s v="Adult"/>
    <x v="25"/>
    <n v="678"/>
    <n v="214"/>
    <n v="76"/>
    <n v="40"/>
    <n v="1008"/>
    <x v="13"/>
    <n v="116"/>
    <x v="0"/>
  </r>
  <r>
    <d v="2024-02-29T00:00:00"/>
    <s v="Adult"/>
    <x v="23"/>
    <n v="25466"/>
    <n v="10376"/>
    <n v="1341"/>
    <n v="150"/>
    <n v="37333"/>
    <x v="13"/>
    <n v="1491"/>
    <x v="0"/>
  </r>
  <r>
    <d v="2024-02-29T00:00:00"/>
    <s v="Adult"/>
    <x v="9"/>
    <n v="1462"/>
    <n v="895"/>
    <n v="263"/>
    <n v="36"/>
    <n v="2655"/>
    <x v="13"/>
    <n v="299"/>
    <x v="0"/>
  </r>
  <r>
    <d v="2024-02-29T00:00:00"/>
    <s v="Adult"/>
    <x v="40"/>
    <n v="14669"/>
    <n v="7393"/>
    <n v="3374"/>
    <n v="5048"/>
    <n v="30484"/>
    <x v="13"/>
    <n v="8422"/>
    <x v="0"/>
  </r>
  <r>
    <d v="2024-02-29T00:00:00"/>
    <s v="Adult"/>
    <x v="3"/>
    <n v="3102"/>
    <n v="1373"/>
    <n v="308"/>
    <n v="91"/>
    <n v="4874"/>
    <x v="13"/>
    <n v="399"/>
    <x v="0"/>
  </r>
  <r>
    <d v="2024-02-29T00:00:00"/>
    <s v="Adult"/>
    <x v="13"/>
    <n v="460"/>
    <n v="373"/>
    <n v="234"/>
    <n v="19"/>
    <n v="1086"/>
    <x v="13"/>
    <n v="253"/>
    <x v="0"/>
  </r>
  <r>
    <d v="2024-02-29T00:00:00"/>
    <s v="Adult"/>
    <x v="41"/>
    <n v="22013"/>
    <n v="8536"/>
    <n v="4250"/>
    <n v="7699"/>
    <n v="42498"/>
    <x v="13"/>
    <n v="11949"/>
    <x v="0"/>
  </r>
  <r>
    <d v="2024-02-29T00:00:00"/>
    <s v="Adult"/>
    <x v="32"/>
    <n v="7795"/>
    <n v="2221"/>
    <n v="1060"/>
    <n v="1660"/>
    <n v="12736"/>
    <x v="13"/>
    <n v="2720"/>
    <x v="0"/>
  </r>
  <r>
    <d v="2024-02-29T00:00:00"/>
    <s v="Adult"/>
    <x v="4"/>
    <n v="2251"/>
    <n v="826"/>
    <n v="282"/>
    <n v="43"/>
    <n v="3402"/>
    <x v="13"/>
    <n v="325"/>
    <x v="0"/>
  </r>
  <r>
    <d v="2024-02-29T00:00:00"/>
    <s v="Adult"/>
    <x v="43"/>
    <n v="21994"/>
    <n v="7767"/>
    <n v="3176"/>
    <n v="5191"/>
    <n v="38127"/>
    <x v="13"/>
    <n v="8367"/>
    <x v="0"/>
  </r>
  <r>
    <d v="2024-02-29T00:00:00"/>
    <s v="Adult"/>
    <x v="22"/>
    <n v="3882"/>
    <n v="1315"/>
    <n v="447"/>
    <n v="427"/>
    <n v="6071"/>
    <x v="13"/>
    <n v="874"/>
    <x v="0"/>
  </r>
  <r>
    <d v="2024-02-29T00:00:00"/>
    <s v="Adult"/>
    <x v="2"/>
    <n v="3025"/>
    <n v="1358"/>
    <n v="557"/>
    <n v="846"/>
    <n v="5786"/>
    <x v="13"/>
    <n v="1403"/>
    <x v="0"/>
  </r>
  <r>
    <d v="2024-02-29T00:00:00"/>
    <s v="Adult"/>
    <x v="26"/>
    <n v="4531"/>
    <n v="1684"/>
    <n v="1011"/>
    <n v="1073"/>
    <n v="8299"/>
    <x v="13"/>
    <n v="2084"/>
    <x v="0"/>
  </r>
  <r>
    <d v="2024-02-29T00:00:00"/>
    <s v="Adult"/>
    <x v="20"/>
    <n v="2232"/>
    <n v="1075"/>
    <n v="455"/>
    <n v="453"/>
    <n v="4214"/>
    <x v="13"/>
    <n v="908"/>
    <x v="0"/>
  </r>
  <r>
    <d v="2024-02-29T00:00:00"/>
    <s v="Adult"/>
    <x v="15"/>
    <n v="6312"/>
    <n v="2820"/>
    <n v="708"/>
    <n v="152"/>
    <n v="9992"/>
    <x v="13"/>
    <n v="860"/>
    <x v="0"/>
  </r>
  <r>
    <d v="2024-02-29T00:00:00"/>
    <s v="Adult"/>
    <x v="29"/>
    <n v="3009"/>
    <n v="1804"/>
    <n v="578"/>
    <n v="181"/>
    <n v="5571"/>
    <x v="13"/>
    <n v="759"/>
    <x v="0"/>
  </r>
  <r>
    <d v="2024-02-29T00:00:00"/>
    <s v="Adult"/>
    <x v="11"/>
    <n v="337"/>
    <n v="260"/>
    <n v="207"/>
    <n v="33"/>
    <n v="837"/>
    <x v="13"/>
    <n v="240"/>
    <x v="0"/>
  </r>
  <r>
    <d v="2024-02-29T00:00:00"/>
    <s v="Adult"/>
    <x v="27"/>
    <n v="8228"/>
    <n v="2990"/>
    <n v="233"/>
    <n v="91"/>
    <n v="11542"/>
    <x v="13"/>
    <n v="324"/>
    <x v="0"/>
  </r>
  <r>
    <d v="2024-02-29T00:00:00"/>
    <s v="Adult"/>
    <x v="0"/>
    <n v="3432"/>
    <n v="2009"/>
    <n v="552"/>
    <n v="239"/>
    <n v="6232"/>
    <x v="13"/>
    <n v="791"/>
    <x v="0"/>
  </r>
  <r>
    <d v="2024-02-29T00:00:00"/>
    <s v="Adult"/>
    <x v="21"/>
    <n v="1872"/>
    <n v="358"/>
    <n v="135"/>
    <n v="99"/>
    <n v="2463"/>
    <x v="13"/>
    <n v="234"/>
    <x v="0"/>
  </r>
  <r>
    <d v="2024-02-29T00:00:00"/>
    <s v="Adult"/>
    <x v="7"/>
    <n v="2172"/>
    <n v="780"/>
    <n v="180"/>
    <n v="222"/>
    <n v="3354"/>
    <x v="13"/>
    <n v="402"/>
    <x v="0"/>
  </r>
  <r>
    <d v="2024-02-29T00:00:00"/>
    <s v="Adult"/>
    <x v="38"/>
    <n v="5674"/>
    <n v="2782"/>
    <n v="1719"/>
    <n v="1906"/>
    <n v="12081"/>
    <x v="13"/>
    <n v="3625"/>
    <x v="0"/>
  </r>
  <r>
    <d v="2024-02-29T00:00:00"/>
    <s v="Adult"/>
    <x v="35"/>
    <n v="7277"/>
    <n v="2262"/>
    <n v="1078"/>
    <n v="1429"/>
    <n v="12046"/>
    <x v="13"/>
    <n v="2507"/>
    <x v="0"/>
  </r>
  <r>
    <d v="2024-02-29T00:00:00"/>
    <s v="Adult"/>
    <x v="36"/>
    <n v="11222"/>
    <n v="6377"/>
    <n v="2645"/>
    <n v="4056"/>
    <n v="24299"/>
    <x v="13"/>
    <n v="6701"/>
    <x v="0"/>
  </r>
  <r>
    <d v="2024-02-29T00:00:00"/>
    <s v="Adult"/>
    <x v="37"/>
    <n v="2086"/>
    <n v="1542"/>
    <n v="1226"/>
    <n v="3831"/>
    <n v="8685"/>
    <x v="13"/>
    <n v="5057"/>
    <x v="0"/>
  </r>
  <r>
    <d v="2024-02-29T00:00:00"/>
    <s v="Adult"/>
    <x v="44"/>
    <n v="16853"/>
    <n v="4923"/>
    <n v="1266"/>
    <n v="1277"/>
    <n v="24318"/>
    <x v="13"/>
    <n v="2543"/>
    <x v="0"/>
  </r>
  <r>
    <d v="2024-02-29T00:00:00"/>
    <s v="Adult"/>
    <x v="1"/>
    <n v="442"/>
    <n v="270"/>
    <n v="22"/>
    <n v="4"/>
    <n v="738"/>
    <x v="13"/>
    <n v="26"/>
    <x v="0"/>
  </r>
  <r>
    <d v="2024-02-29T00:00:00"/>
    <s v="Adult"/>
    <x v="5"/>
    <n v="3523"/>
    <n v="1346"/>
    <n v="404"/>
    <n v="141"/>
    <n v="5415"/>
    <x v="13"/>
    <n v="545"/>
    <x v="0"/>
  </r>
  <r>
    <d v="2024-02-29T00:00:00"/>
    <s v="Adult"/>
    <x v="45"/>
    <n v="2633"/>
    <n v="861"/>
    <n v="339"/>
    <n v="281"/>
    <n v="4114"/>
    <x v="13"/>
    <n v="620"/>
    <x v="0"/>
  </r>
  <r>
    <d v="2024-02-29T00:00:00"/>
    <s v="Adult"/>
    <x v="46"/>
    <n v="17795"/>
    <n v="7409"/>
    <n v="2166"/>
    <n v="651"/>
    <n v="28021"/>
    <x v="13"/>
    <n v="2817"/>
    <x v="0"/>
  </r>
  <r>
    <d v="2024-02-29T00:00:00"/>
    <s v="Adult"/>
    <x v="12"/>
    <n v="14499"/>
    <n v="8845"/>
    <n v="4241"/>
    <n v="3978"/>
    <n v="31564"/>
    <x v="13"/>
    <n v="8219"/>
    <x v="0"/>
  </r>
  <r>
    <d v="2024-02-29T00:00:00"/>
    <s v="Adult"/>
    <x v="8"/>
    <n v="2264"/>
    <n v="886"/>
    <n v="171"/>
    <n v="33"/>
    <n v="3354"/>
    <x v="13"/>
    <n v="204"/>
    <x v="0"/>
  </r>
  <r>
    <d v="2024-02-29T00:00:00"/>
    <s v="Adult"/>
    <x v="19"/>
    <n v="5998"/>
    <n v="2611"/>
    <n v="750"/>
    <n v="153"/>
    <n v="9512"/>
    <x v="13"/>
    <n v="903"/>
    <x v="0"/>
  </r>
  <r>
    <d v="2024-02-29T00:00:00"/>
    <s v="Adult"/>
    <x v="34"/>
    <n v="14204"/>
    <n v="4490"/>
    <n v="1295"/>
    <n v="831"/>
    <n v="20821"/>
    <x v="13"/>
    <n v="2126"/>
    <x v="0"/>
  </r>
  <r>
    <d v="2024-02-29T00:00:00"/>
    <s v="Adult"/>
    <x v="42"/>
    <n v="17815"/>
    <n v="9144"/>
    <n v="3742"/>
    <n v="4857"/>
    <n v="35558"/>
    <x v="13"/>
    <n v="8599"/>
    <x v="0"/>
  </r>
  <r>
    <d v="2024-02-29T00:00:00"/>
    <s v="Adult"/>
    <x v="24"/>
    <n v="2733"/>
    <n v="826"/>
    <n v="252"/>
    <n v="89"/>
    <n v="3900"/>
    <x v="13"/>
    <n v="341"/>
    <x v="0"/>
  </r>
  <r>
    <d v="2024-03-28T00:00:00"/>
    <s v="Adult"/>
    <x v="25"/>
    <n v="714"/>
    <n v="198"/>
    <n v="67"/>
    <n v="43"/>
    <n v="1022"/>
    <x v="14"/>
    <n v="110"/>
    <x v="0"/>
  </r>
  <r>
    <d v="2024-03-28T00:00:00"/>
    <s v="Adult"/>
    <x v="23"/>
    <n v="25832"/>
    <n v="11164"/>
    <n v="1602"/>
    <n v="180"/>
    <n v="38779"/>
    <x v="14"/>
    <n v="1782"/>
    <x v="0"/>
  </r>
  <r>
    <d v="2024-03-28T00:00:00"/>
    <s v="Adult"/>
    <x v="16"/>
    <n v="5182"/>
    <n v="2338"/>
    <n v="141"/>
    <n v="65"/>
    <n v="7726"/>
    <x v="14"/>
    <n v="206"/>
    <x v="0"/>
  </r>
  <r>
    <d v="2024-03-28T00:00:00"/>
    <s v="Adult"/>
    <x v="9"/>
    <n v="1507"/>
    <n v="897"/>
    <n v="226"/>
    <n v="28"/>
    <n v="2658"/>
    <x v="14"/>
    <n v="254"/>
    <x v="0"/>
  </r>
  <r>
    <d v="2024-03-28T00:00:00"/>
    <s v="Adult"/>
    <x v="40"/>
    <n v="15220"/>
    <n v="7328"/>
    <n v="3425"/>
    <n v="4999"/>
    <n v="30972"/>
    <x v="14"/>
    <n v="8424"/>
    <x v="0"/>
  </r>
  <r>
    <d v="2024-03-28T00:00:00"/>
    <s v="Adult"/>
    <x v="3"/>
    <n v="3016"/>
    <n v="1427"/>
    <n v="356"/>
    <n v="82"/>
    <n v="4881"/>
    <x v="14"/>
    <n v="438"/>
    <x v="0"/>
  </r>
  <r>
    <d v="2024-03-28T00:00:00"/>
    <s v="Adult"/>
    <x v="13"/>
    <n v="459"/>
    <n v="356"/>
    <n v="248"/>
    <n v="39"/>
    <n v="1102"/>
    <x v="14"/>
    <n v="287"/>
    <x v="0"/>
  </r>
  <r>
    <d v="2024-03-28T00:00:00"/>
    <s v="Adult"/>
    <x v="41"/>
    <n v="22165"/>
    <n v="8098"/>
    <n v="4095"/>
    <n v="7264"/>
    <n v="41623"/>
    <x v="14"/>
    <n v="11359"/>
    <x v="0"/>
  </r>
  <r>
    <d v="2024-03-28T00:00:00"/>
    <s v="Adult"/>
    <x v="32"/>
    <n v="7881"/>
    <n v="2292"/>
    <n v="1044"/>
    <n v="1728"/>
    <n v="12946"/>
    <x v="14"/>
    <n v="2772"/>
    <x v="0"/>
  </r>
  <r>
    <d v="2024-03-28T00:00:00"/>
    <s v="Adult"/>
    <x v="4"/>
    <n v="2320"/>
    <n v="831"/>
    <n v="306"/>
    <n v="42"/>
    <n v="3499"/>
    <x v="14"/>
    <n v="348"/>
    <x v="0"/>
  </r>
  <r>
    <d v="2024-03-28T00:00:00"/>
    <s v="Adult"/>
    <x v="43"/>
    <n v="22254"/>
    <n v="7568"/>
    <n v="3161"/>
    <n v="5127"/>
    <n v="38110"/>
    <x v="14"/>
    <n v="8288"/>
    <x v="0"/>
  </r>
  <r>
    <d v="2024-03-28T00:00:00"/>
    <s v="Adult"/>
    <x v="22"/>
    <n v="3799"/>
    <n v="1215"/>
    <n v="460"/>
    <n v="375"/>
    <n v="5849"/>
    <x v="14"/>
    <n v="835"/>
    <x v="0"/>
  </r>
  <r>
    <d v="2024-03-28T00:00:00"/>
    <s v="Adult"/>
    <x v="2"/>
    <n v="3040"/>
    <n v="1380"/>
    <n v="522"/>
    <n v="878"/>
    <n v="5820"/>
    <x v="14"/>
    <n v="1400"/>
    <x v="0"/>
  </r>
  <r>
    <d v="2024-03-28T00:00:00"/>
    <s v="Adult"/>
    <x v="26"/>
    <n v="4555"/>
    <n v="1861"/>
    <n v="1061"/>
    <n v="1171"/>
    <n v="8647"/>
    <x v="14"/>
    <n v="2232"/>
    <x v="0"/>
  </r>
  <r>
    <d v="2024-03-28T00:00:00"/>
    <s v="Adult"/>
    <x v="20"/>
    <n v="2245"/>
    <n v="1099"/>
    <n v="481"/>
    <n v="450"/>
    <n v="4275"/>
    <x v="14"/>
    <n v="931"/>
    <x v="0"/>
  </r>
  <r>
    <d v="2024-03-28T00:00:00"/>
    <s v="Adult"/>
    <x v="15"/>
    <n v="6159"/>
    <n v="2940"/>
    <n v="754"/>
    <n v="163"/>
    <n v="10015"/>
    <x v="14"/>
    <n v="917"/>
    <x v="0"/>
  </r>
  <r>
    <d v="2024-03-28T00:00:00"/>
    <s v="Adult"/>
    <x v="29"/>
    <n v="2843"/>
    <n v="1824"/>
    <n v="607"/>
    <n v="186"/>
    <n v="5459"/>
    <x v="14"/>
    <n v="793"/>
    <x v="0"/>
  </r>
  <r>
    <d v="2024-03-28T00:00:00"/>
    <s v="Adult"/>
    <x v="11"/>
    <n v="322"/>
    <n v="276"/>
    <n v="210"/>
    <n v="38"/>
    <n v="846"/>
    <x v="14"/>
    <n v="248"/>
    <x v="0"/>
  </r>
  <r>
    <d v="2024-03-28T00:00:00"/>
    <s v="Adult"/>
    <x v="27"/>
    <n v="8360"/>
    <n v="3280"/>
    <n v="279"/>
    <n v="82"/>
    <n v="12002"/>
    <x v="14"/>
    <n v="361"/>
    <x v="0"/>
  </r>
  <r>
    <d v="2024-03-28T00:00:00"/>
    <s v="Adult"/>
    <x v="0"/>
    <n v="3544"/>
    <n v="2060"/>
    <n v="593"/>
    <n v="163"/>
    <n v="6360"/>
    <x v="14"/>
    <n v="756"/>
    <x v="0"/>
  </r>
  <r>
    <d v="2024-03-28T00:00:00"/>
    <s v="Adult"/>
    <x v="21"/>
    <n v="2061"/>
    <n v="319"/>
    <n v="129"/>
    <n v="80"/>
    <n v="2589"/>
    <x v="14"/>
    <n v="209"/>
    <x v="0"/>
  </r>
  <r>
    <d v="2024-03-28T00:00:00"/>
    <s v="Adult"/>
    <x v="7"/>
    <n v="2318"/>
    <n v="807"/>
    <n v="153"/>
    <n v="185"/>
    <n v="3464"/>
    <x v="14"/>
    <n v="338"/>
    <x v="0"/>
  </r>
  <r>
    <d v="2024-03-28T00:00:00"/>
    <s v="Adult"/>
    <x v="10"/>
    <n v="3747"/>
    <n v="719"/>
    <n v="0"/>
    <n v="1"/>
    <n v="4467"/>
    <x v="14"/>
    <n v="1"/>
    <x v="0"/>
  </r>
  <r>
    <d v="2024-03-28T00:00:00"/>
    <s v="Adult"/>
    <x v="38"/>
    <n v="5715"/>
    <n v="2740"/>
    <n v="1751"/>
    <n v="1713"/>
    <n v="11919"/>
    <x v="14"/>
    <n v="3464"/>
    <x v="0"/>
  </r>
  <r>
    <d v="2024-03-28T00:00:00"/>
    <s v="Adult"/>
    <x v="35"/>
    <n v="7289"/>
    <n v="2391"/>
    <n v="919"/>
    <n v="1617"/>
    <n v="12216"/>
    <x v="14"/>
    <n v="2536"/>
    <x v="0"/>
  </r>
  <r>
    <d v="2024-03-28T00:00:00"/>
    <s v="Adult"/>
    <x v="36"/>
    <n v="11499"/>
    <n v="6458"/>
    <n v="2803"/>
    <n v="4091"/>
    <n v="24851"/>
    <x v="14"/>
    <n v="6894"/>
    <x v="0"/>
  </r>
  <r>
    <d v="2024-03-28T00:00:00"/>
    <s v="Adult"/>
    <x v="37"/>
    <n v="2106"/>
    <n v="1591"/>
    <n v="1207"/>
    <n v="3962"/>
    <n v="8865"/>
    <x v="14"/>
    <n v="5169"/>
    <x v="0"/>
  </r>
  <r>
    <d v="2024-03-28T00:00:00"/>
    <s v="Adult"/>
    <x v="44"/>
    <n v="17124"/>
    <n v="4957"/>
    <n v="1384"/>
    <n v="1184"/>
    <n v="24649"/>
    <x v="14"/>
    <n v="2568"/>
    <x v="0"/>
  </r>
  <r>
    <d v="2024-03-28T00:00:00"/>
    <s v="Adult"/>
    <x v="1"/>
    <n v="389"/>
    <n v="270"/>
    <n v="27"/>
    <n v="1"/>
    <n v="687"/>
    <x v="14"/>
    <n v="28"/>
    <x v="0"/>
  </r>
  <r>
    <d v="2024-03-28T00:00:00"/>
    <s v="Adult"/>
    <x v="5"/>
    <n v="3608"/>
    <n v="1383"/>
    <n v="469"/>
    <n v="176"/>
    <n v="5637"/>
    <x v="14"/>
    <n v="645"/>
    <x v="0"/>
  </r>
  <r>
    <d v="2024-03-28T00:00:00"/>
    <s v="Adult"/>
    <x v="45"/>
    <n v="2646"/>
    <n v="912"/>
    <n v="344"/>
    <n v="294"/>
    <n v="4195"/>
    <x v="14"/>
    <n v="638"/>
    <x v="0"/>
  </r>
  <r>
    <d v="2024-03-28T00:00:00"/>
    <s v="Adult"/>
    <x v="46"/>
    <n v="18680"/>
    <n v="7444"/>
    <n v="2352"/>
    <n v="730"/>
    <n v="29206"/>
    <x v="14"/>
    <n v="3082"/>
    <x v="0"/>
  </r>
  <r>
    <d v="2024-03-28T00:00:00"/>
    <s v="Adult"/>
    <x v="12"/>
    <n v="14181"/>
    <n v="8688"/>
    <n v="4336"/>
    <n v="3655"/>
    <n v="30860"/>
    <x v="14"/>
    <n v="7991"/>
    <x v="0"/>
  </r>
  <r>
    <d v="2024-03-28T00:00:00"/>
    <s v="Adult"/>
    <x v="8"/>
    <n v="2182"/>
    <n v="910"/>
    <n v="207"/>
    <n v="35"/>
    <n v="3333"/>
    <x v="14"/>
    <n v="242"/>
    <x v="0"/>
  </r>
  <r>
    <d v="2024-03-28T00:00:00"/>
    <s v="Adult"/>
    <x v="19"/>
    <n v="6055"/>
    <n v="2399"/>
    <n v="703"/>
    <n v="136"/>
    <n v="9293"/>
    <x v="14"/>
    <n v="839"/>
    <x v="0"/>
  </r>
  <r>
    <d v="2024-03-28T00:00:00"/>
    <s v="Adult"/>
    <x v="34"/>
    <n v="14042"/>
    <n v="4538"/>
    <n v="1278"/>
    <n v="891"/>
    <n v="20748"/>
    <x v="14"/>
    <n v="2169"/>
    <x v="0"/>
  </r>
  <r>
    <d v="2024-03-28T00:00:00"/>
    <s v="Adult"/>
    <x v="42"/>
    <n v="18027"/>
    <n v="9445"/>
    <n v="3988"/>
    <n v="4906"/>
    <n v="36366"/>
    <x v="14"/>
    <n v="8894"/>
    <x v="0"/>
  </r>
  <r>
    <d v="2024-03-28T00:00:00"/>
    <s v="Adult"/>
    <x v="24"/>
    <n v="2845"/>
    <n v="815"/>
    <n v="256"/>
    <n v="109"/>
    <n v="4025"/>
    <x v="14"/>
    <n v="365"/>
    <x v="0"/>
  </r>
  <r>
    <d v="2024-04-25T00:00:00"/>
    <s v="Adult"/>
    <x v="23"/>
    <n v="25889"/>
    <n v="12216"/>
    <n v="1867"/>
    <n v="212"/>
    <n v="40185"/>
    <x v="15"/>
    <n v="2079"/>
    <x v="0"/>
  </r>
  <r>
    <d v="2024-04-25T00:00:00"/>
    <s v="Adult"/>
    <x v="16"/>
    <n v="5009"/>
    <n v="2700"/>
    <n v="152"/>
    <n v="66"/>
    <n v="7927"/>
    <x v="15"/>
    <n v="218"/>
    <x v="0"/>
  </r>
  <r>
    <d v="2024-04-25T00:00:00"/>
    <s v="Adult"/>
    <x v="9"/>
    <n v="1477"/>
    <n v="766"/>
    <n v="162"/>
    <n v="21"/>
    <n v="2426"/>
    <x v="15"/>
    <n v="183"/>
    <x v="0"/>
  </r>
  <r>
    <d v="2024-04-25T00:00:00"/>
    <s v="Adult"/>
    <x v="40"/>
    <n v="15469"/>
    <n v="7225"/>
    <n v="3513"/>
    <n v="4999"/>
    <n v="31206"/>
    <x v="15"/>
    <n v="8512"/>
    <x v="0"/>
  </r>
  <r>
    <d v="2024-04-25T00:00:00"/>
    <s v="Adult"/>
    <x v="3"/>
    <n v="3130"/>
    <n v="1357"/>
    <n v="438"/>
    <n v="78"/>
    <n v="5003"/>
    <x v="15"/>
    <n v="516"/>
    <x v="0"/>
  </r>
  <r>
    <d v="2024-04-25T00:00:00"/>
    <s v="Adult"/>
    <x v="13"/>
    <n v="485"/>
    <n v="353"/>
    <n v="257"/>
    <n v="44"/>
    <n v="1138"/>
    <x v="15"/>
    <n v="301"/>
    <x v="0"/>
  </r>
  <r>
    <d v="2024-04-25T00:00:00"/>
    <s v="Adult"/>
    <x v="41"/>
    <n v="21844"/>
    <n v="8313"/>
    <n v="4312"/>
    <n v="7162"/>
    <n v="41632"/>
    <x v="15"/>
    <n v="11474"/>
    <x v="0"/>
  </r>
  <r>
    <d v="2024-04-25T00:00:00"/>
    <s v="Adult"/>
    <x v="32"/>
    <n v="8106"/>
    <n v="2351"/>
    <n v="981"/>
    <n v="1809"/>
    <n v="13247"/>
    <x v="15"/>
    <n v="2790"/>
    <x v="0"/>
  </r>
  <r>
    <d v="2024-04-25T00:00:00"/>
    <s v="Adult"/>
    <x v="4"/>
    <n v="2381"/>
    <n v="847"/>
    <n v="341"/>
    <n v="54"/>
    <n v="3622"/>
    <x v="15"/>
    <n v="395"/>
    <x v="0"/>
  </r>
  <r>
    <d v="2024-04-25T00:00:00"/>
    <s v="Adult"/>
    <x v="43"/>
    <n v="22298"/>
    <n v="7455"/>
    <n v="3198"/>
    <n v="4961"/>
    <n v="37912"/>
    <x v="15"/>
    <n v="8159"/>
    <x v="0"/>
  </r>
  <r>
    <d v="2024-04-25T00:00:00"/>
    <s v="Adult"/>
    <x v="22"/>
    <n v="3978"/>
    <n v="1127"/>
    <n v="399"/>
    <n v="310"/>
    <n v="5814"/>
    <x v="15"/>
    <n v="709"/>
    <x v="0"/>
  </r>
  <r>
    <d v="2024-04-25T00:00:00"/>
    <s v="Adult"/>
    <x v="2"/>
    <n v="2905"/>
    <n v="1396"/>
    <n v="520"/>
    <n v="862"/>
    <n v="5683"/>
    <x v="15"/>
    <n v="1382"/>
    <x v="0"/>
  </r>
  <r>
    <d v="2024-04-25T00:00:00"/>
    <s v="Adult"/>
    <x v="26"/>
    <n v="4779"/>
    <n v="1960"/>
    <n v="1099"/>
    <n v="1140"/>
    <n v="8978"/>
    <x v="15"/>
    <n v="2239"/>
    <x v="0"/>
  </r>
  <r>
    <d v="2024-04-25T00:00:00"/>
    <s v="Adult"/>
    <x v="20"/>
    <n v="2201"/>
    <n v="1036"/>
    <n v="350"/>
    <n v="425"/>
    <n v="4012"/>
    <x v="15"/>
    <n v="775"/>
    <x v="0"/>
  </r>
  <r>
    <d v="2024-04-25T00:00:00"/>
    <s v="Adult"/>
    <x v="15"/>
    <n v="6109"/>
    <n v="2897"/>
    <n v="938"/>
    <n v="166"/>
    <n v="10109"/>
    <x v="15"/>
    <n v="1104"/>
    <x v="0"/>
  </r>
  <r>
    <d v="2024-04-25T00:00:00"/>
    <s v="Adult"/>
    <x v="29"/>
    <n v="2719"/>
    <n v="1951"/>
    <n v="575"/>
    <n v="226"/>
    <n v="5471"/>
    <x v="15"/>
    <n v="801"/>
    <x v="0"/>
  </r>
  <r>
    <d v="2024-04-25T00:00:00"/>
    <s v="Adult"/>
    <x v="11"/>
    <n v="377"/>
    <n v="279"/>
    <n v="216"/>
    <n v="54"/>
    <n v="926"/>
    <x v="15"/>
    <n v="270"/>
    <x v="0"/>
  </r>
  <r>
    <d v="2024-04-25T00:00:00"/>
    <s v="Adult"/>
    <x v="27"/>
    <n v="8224"/>
    <n v="3275"/>
    <n v="341"/>
    <n v="60"/>
    <n v="11901"/>
    <x v="15"/>
    <n v="401"/>
    <x v="0"/>
  </r>
  <r>
    <d v="2024-04-25T00:00:00"/>
    <s v="Adult"/>
    <x v="0"/>
    <n v="3499"/>
    <n v="1950"/>
    <n v="617"/>
    <n v="132"/>
    <n v="6198"/>
    <x v="15"/>
    <n v="749"/>
    <x v="0"/>
  </r>
  <r>
    <d v="2024-04-25T00:00:00"/>
    <s v="Adult"/>
    <x v="21"/>
    <n v="2090"/>
    <n v="331"/>
    <n v="139"/>
    <n v="83"/>
    <n v="2643"/>
    <x v="15"/>
    <n v="222"/>
    <x v="0"/>
  </r>
  <r>
    <d v="2024-04-25T00:00:00"/>
    <s v="Adult"/>
    <x v="7"/>
    <n v="2493"/>
    <n v="724"/>
    <n v="157"/>
    <n v="148"/>
    <n v="3521"/>
    <x v="15"/>
    <n v="305"/>
    <x v="0"/>
  </r>
  <r>
    <d v="2024-04-25T00:00:00"/>
    <s v="Adult"/>
    <x v="38"/>
    <n v="5618"/>
    <n v="2889"/>
    <n v="1730"/>
    <n v="1640"/>
    <n v="11877"/>
    <x v="15"/>
    <n v="3370"/>
    <x v="0"/>
  </r>
  <r>
    <d v="2024-04-25T00:00:00"/>
    <s v="Adult"/>
    <x v="35"/>
    <n v="7413"/>
    <n v="2362"/>
    <n v="884"/>
    <n v="1461"/>
    <n v="12119"/>
    <x v="15"/>
    <n v="2345"/>
    <x v="0"/>
  </r>
  <r>
    <d v="2024-04-25T00:00:00"/>
    <s v="Adult"/>
    <x v="36"/>
    <n v="11475"/>
    <n v="6683"/>
    <n v="2936"/>
    <n v="4052"/>
    <n v="25146"/>
    <x v="15"/>
    <n v="6988"/>
    <x v="0"/>
  </r>
  <r>
    <d v="2024-04-25T00:00:00"/>
    <s v="Adult"/>
    <x v="37"/>
    <n v="2233"/>
    <n v="1604"/>
    <n v="1183"/>
    <n v="4127"/>
    <n v="9148"/>
    <x v="15"/>
    <n v="5310"/>
    <x v="0"/>
  </r>
  <r>
    <d v="2024-04-25T00:00:00"/>
    <s v="Adult"/>
    <x v="44"/>
    <n v="17157"/>
    <n v="5194"/>
    <n v="1417"/>
    <n v="1185"/>
    <n v="24954"/>
    <x v="15"/>
    <n v="2602"/>
    <x v="0"/>
  </r>
  <r>
    <d v="2024-04-25T00:00:00"/>
    <s v="Adult"/>
    <x v="5"/>
    <n v="3740"/>
    <n v="1410"/>
    <n v="522"/>
    <n v="189"/>
    <n v="5860"/>
    <x v="15"/>
    <n v="711"/>
    <x v="0"/>
  </r>
  <r>
    <d v="2024-04-25T00:00:00"/>
    <s v="Adult"/>
    <x v="45"/>
    <n v="2601"/>
    <n v="946"/>
    <n v="321"/>
    <n v="298"/>
    <n v="4165"/>
    <x v="15"/>
    <n v="619"/>
    <x v="0"/>
  </r>
  <r>
    <d v="2024-04-25T00:00:00"/>
    <s v="Adult"/>
    <x v="46"/>
    <n v="19505"/>
    <n v="7469"/>
    <n v="2565"/>
    <n v="824"/>
    <n v="30362"/>
    <x v="15"/>
    <n v="3389"/>
    <x v="0"/>
  </r>
  <r>
    <d v="2024-04-25T00:00:00"/>
    <s v="Adult"/>
    <x v="12"/>
    <n v="14206"/>
    <n v="8691"/>
    <n v="4322"/>
    <n v="3525"/>
    <n v="30744"/>
    <x v="15"/>
    <n v="7847"/>
    <x v="0"/>
  </r>
  <r>
    <d v="2024-04-25T00:00:00"/>
    <s v="Adult"/>
    <x v="8"/>
    <n v="2103"/>
    <n v="927"/>
    <n v="233"/>
    <n v="35"/>
    <n v="3297"/>
    <x v="15"/>
    <n v="268"/>
    <x v="0"/>
  </r>
  <r>
    <d v="2024-04-25T00:00:00"/>
    <s v="Adult"/>
    <x v="19"/>
    <n v="5793"/>
    <n v="2334"/>
    <n v="739"/>
    <n v="171"/>
    <n v="9038"/>
    <x v="15"/>
    <n v="910"/>
    <x v="0"/>
  </r>
  <r>
    <d v="2024-04-25T00:00:00"/>
    <s v="Adult"/>
    <x v="34"/>
    <n v="14400"/>
    <n v="4304"/>
    <n v="1226"/>
    <n v="864"/>
    <n v="20794"/>
    <x v="15"/>
    <n v="2090"/>
    <x v="0"/>
  </r>
  <r>
    <d v="2024-04-25T00:00:00"/>
    <s v="Adult"/>
    <x v="42"/>
    <n v="17920"/>
    <n v="9743"/>
    <n v="4176"/>
    <n v="4892"/>
    <n v="36732"/>
    <x v="15"/>
    <n v="9068"/>
    <x v="0"/>
  </r>
  <r>
    <d v="2024-04-25T00:00:00"/>
    <s v="Adult"/>
    <x v="24"/>
    <n v="2803"/>
    <n v="760"/>
    <n v="100"/>
    <n v="60"/>
    <n v="3723"/>
    <x v="15"/>
    <n v="160"/>
    <x v="0"/>
  </r>
  <r>
    <d v="2024-05-30T00:00:00"/>
    <s v="Adult"/>
    <x v="23"/>
    <n v="26268"/>
    <n v="12243"/>
    <n v="2373"/>
    <n v="253"/>
    <n v="41137"/>
    <x v="0"/>
    <n v="2626"/>
    <x v="0"/>
  </r>
  <r>
    <d v="2024-05-30T00:00:00"/>
    <s v="Adult"/>
    <x v="16"/>
    <n v="5011"/>
    <n v="2677"/>
    <n v="225"/>
    <n v="58"/>
    <n v="7971"/>
    <x v="0"/>
    <n v="283"/>
    <x v="0"/>
  </r>
  <r>
    <d v="2024-05-30T00:00:00"/>
    <s v="Adult"/>
    <x v="9"/>
    <n v="1507"/>
    <n v="761"/>
    <n v="150"/>
    <n v="19"/>
    <n v="2437"/>
    <x v="0"/>
    <n v="169"/>
    <x v="0"/>
  </r>
  <r>
    <d v="2024-05-30T00:00:00"/>
    <s v="Adult"/>
    <x v="40"/>
    <n v="15456"/>
    <n v="6809"/>
    <n v="3523"/>
    <n v="4979"/>
    <n v="30767"/>
    <x v="0"/>
    <n v="8502"/>
    <x v="0"/>
  </r>
  <r>
    <d v="2024-05-30T00:00:00"/>
    <s v="Adult"/>
    <x v="3"/>
    <n v="3138"/>
    <n v="1291"/>
    <n v="477"/>
    <n v="103"/>
    <n v="5009"/>
    <x v="0"/>
    <n v="580"/>
    <x v="0"/>
  </r>
  <r>
    <d v="2024-05-30T00:00:00"/>
    <s v="Adult"/>
    <x v="13"/>
    <n v="497"/>
    <n v="335"/>
    <n v="274"/>
    <n v="75"/>
    <n v="1181"/>
    <x v="0"/>
    <n v="349"/>
    <x v="0"/>
  </r>
  <r>
    <d v="2024-05-30T00:00:00"/>
    <s v="Adult"/>
    <x v="41"/>
    <n v="21837"/>
    <n v="8616"/>
    <n v="4210"/>
    <n v="6333"/>
    <n v="40996"/>
    <x v="0"/>
    <n v="10543"/>
    <x v="0"/>
  </r>
  <r>
    <d v="2024-05-30T00:00:00"/>
    <s v="Adult"/>
    <x v="32"/>
    <n v="8179"/>
    <n v="2432"/>
    <n v="983"/>
    <n v="1801"/>
    <n v="13394"/>
    <x v="0"/>
    <n v="2784"/>
    <x v="0"/>
  </r>
  <r>
    <d v="2024-05-30T00:00:00"/>
    <s v="Adult"/>
    <x v="17"/>
    <n v="1478"/>
    <n v="344"/>
    <n v="0"/>
    <n v="1"/>
    <n v="1824"/>
    <x v="0"/>
    <n v="1"/>
    <x v="0"/>
  </r>
  <r>
    <d v="2024-05-30T00:00:00"/>
    <s v="Adult"/>
    <x v="4"/>
    <n v="2401"/>
    <n v="861"/>
    <n v="337"/>
    <n v="91"/>
    <n v="3690"/>
    <x v="0"/>
    <n v="428"/>
    <x v="0"/>
  </r>
  <r>
    <d v="2024-05-30T00:00:00"/>
    <s v="Adult"/>
    <x v="43"/>
    <n v="22650"/>
    <n v="7106"/>
    <n v="3314"/>
    <n v="4853"/>
    <n v="37924"/>
    <x v="0"/>
    <n v="8167"/>
    <x v="0"/>
  </r>
  <r>
    <d v="2024-05-30T00:00:00"/>
    <s v="Adult"/>
    <x v="22"/>
    <n v="3769"/>
    <n v="1095"/>
    <n v="263"/>
    <n v="217"/>
    <n v="5343"/>
    <x v="0"/>
    <n v="480"/>
    <x v="0"/>
  </r>
  <r>
    <d v="2024-05-30T00:00:00"/>
    <s v="Adult"/>
    <x v="2"/>
    <n v="2988"/>
    <n v="1344"/>
    <n v="569"/>
    <n v="808"/>
    <n v="5708"/>
    <x v="0"/>
    <n v="1377"/>
    <x v="0"/>
  </r>
  <r>
    <d v="2024-05-30T00:00:00"/>
    <s v="Adult"/>
    <x v="26"/>
    <n v="4681"/>
    <n v="2080"/>
    <n v="1106"/>
    <n v="1173"/>
    <n v="9039"/>
    <x v="0"/>
    <n v="2279"/>
    <x v="0"/>
  </r>
  <r>
    <d v="2024-05-30T00:00:00"/>
    <s v="Adult"/>
    <x v="20"/>
    <n v="2356"/>
    <n v="1001"/>
    <n v="363"/>
    <n v="389"/>
    <n v="4109"/>
    <x v="0"/>
    <n v="752"/>
    <x v="0"/>
  </r>
  <r>
    <d v="2024-05-30T00:00:00"/>
    <s v="Adult"/>
    <x v="15"/>
    <n v="6328"/>
    <n v="2804"/>
    <n v="1011"/>
    <n v="146"/>
    <n v="10288"/>
    <x v="0"/>
    <n v="1157"/>
    <x v="0"/>
  </r>
  <r>
    <d v="2024-05-30T00:00:00"/>
    <s v="Adult"/>
    <x v="14"/>
    <n v="2624"/>
    <n v="534"/>
    <n v="123"/>
    <n v="1"/>
    <n v="3282"/>
    <x v="0"/>
    <n v="124"/>
    <x v="0"/>
  </r>
  <r>
    <d v="2024-05-30T00:00:00"/>
    <s v="Adult"/>
    <x v="29"/>
    <n v="2560"/>
    <n v="1968"/>
    <n v="570"/>
    <n v="234"/>
    <n v="5332"/>
    <x v="0"/>
    <n v="804"/>
    <x v="0"/>
  </r>
  <r>
    <d v="2024-05-30T00:00:00"/>
    <s v="Adult"/>
    <x v="11"/>
    <n v="382"/>
    <n v="261"/>
    <n v="201"/>
    <n v="88"/>
    <n v="932"/>
    <x v="0"/>
    <n v="289"/>
    <x v="0"/>
  </r>
  <r>
    <d v="2024-05-30T00:00:00"/>
    <s v="Adult"/>
    <x v="27"/>
    <n v="8554"/>
    <n v="3257"/>
    <n v="429"/>
    <n v="47"/>
    <n v="12286"/>
    <x v="0"/>
    <n v="476"/>
    <x v="0"/>
  </r>
  <r>
    <d v="2024-05-30T00:00:00"/>
    <s v="Adult"/>
    <x v="0"/>
    <n v="3705"/>
    <n v="1873"/>
    <n v="651"/>
    <n v="105"/>
    <n v="6334"/>
    <x v="0"/>
    <n v="756"/>
    <x v="0"/>
  </r>
  <r>
    <d v="2024-05-30T00:00:00"/>
    <s v="Adult"/>
    <x v="21"/>
    <n v="2014"/>
    <n v="363"/>
    <n v="142"/>
    <n v="73"/>
    <n v="2592"/>
    <x v="0"/>
    <n v="215"/>
    <x v="0"/>
  </r>
  <r>
    <d v="2024-05-30T00:00:00"/>
    <s v="Adult"/>
    <x v="7"/>
    <n v="2808"/>
    <n v="652"/>
    <n v="168"/>
    <n v="112"/>
    <n v="3740"/>
    <x v="0"/>
    <n v="280"/>
    <x v="0"/>
  </r>
  <r>
    <d v="2024-05-30T00:00:00"/>
    <s v="Adult"/>
    <x v="38"/>
    <n v="5339"/>
    <n v="2802"/>
    <n v="1727"/>
    <n v="1479"/>
    <n v="11347"/>
    <x v="0"/>
    <n v="3206"/>
    <x v="0"/>
  </r>
  <r>
    <d v="2024-05-30T00:00:00"/>
    <s v="Adult"/>
    <x v="35"/>
    <n v="7499"/>
    <n v="2146"/>
    <n v="860"/>
    <n v="1401"/>
    <n v="11905"/>
    <x v="0"/>
    <n v="2261"/>
    <x v="0"/>
  </r>
  <r>
    <d v="2024-05-30T00:00:00"/>
    <s v="Adult"/>
    <x v="36"/>
    <n v="12099"/>
    <n v="6713"/>
    <n v="3046"/>
    <n v="3945"/>
    <n v="25803"/>
    <x v="0"/>
    <n v="6991"/>
    <x v="0"/>
  </r>
  <r>
    <d v="2024-05-30T00:00:00"/>
    <s v="Adult"/>
    <x v="37"/>
    <n v="2218"/>
    <n v="1476"/>
    <n v="1193"/>
    <n v="4299"/>
    <n v="9185"/>
    <x v="0"/>
    <n v="5492"/>
    <x v="0"/>
  </r>
  <r>
    <d v="2024-05-30T00:00:00"/>
    <s v="Adult"/>
    <x v="44"/>
    <n v="17377"/>
    <n v="4997"/>
    <n v="1507"/>
    <n v="1080"/>
    <n v="24960"/>
    <x v="0"/>
    <n v="2587"/>
    <x v="0"/>
  </r>
  <r>
    <d v="2024-05-30T00:00:00"/>
    <s v="Adult"/>
    <x v="5"/>
    <n v="3753"/>
    <n v="1330"/>
    <n v="678"/>
    <n v="231"/>
    <n v="5992"/>
    <x v="0"/>
    <n v="909"/>
    <x v="0"/>
  </r>
  <r>
    <d v="2024-05-30T00:00:00"/>
    <s v="Adult"/>
    <x v="45"/>
    <n v="2731"/>
    <n v="956"/>
    <n v="369"/>
    <n v="314"/>
    <n v="4370"/>
    <x v="0"/>
    <n v="683"/>
    <x v="0"/>
  </r>
  <r>
    <d v="2024-05-30T00:00:00"/>
    <s v="Adult"/>
    <x v="46"/>
    <n v="19467"/>
    <n v="7324"/>
    <n v="2815"/>
    <n v="992"/>
    <n v="30597"/>
    <x v="0"/>
    <n v="3807"/>
    <x v="0"/>
  </r>
  <r>
    <d v="2024-05-30T00:00:00"/>
    <s v="Adult"/>
    <x v="12"/>
    <n v="14751"/>
    <n v="8521"/>
    <n v="4302"/>
    <n v="3407"/>
    <n v="30981"/>
    <x v="0"/>
    <n v="7709"/>
    <x v="0"/>
  </r>
  <r>
    <d v="2024-05-30T00:00:00"/>
    <s v="Adult"/>
    <x v="8"/>
    <n v="2228"/>
    <n v="875"/>
    <n v="264"/>
    <n v="16"/>
    <n v="3383"/>
    <x v="0"/>
    <n v="280"/>
    <x v="0"/>
  </r>
  <r>
    <d v="2024-05-30T00:00:00"/>
    <s v="Adult"/>
    <x v="19"/>
    <n v="5917"/>
    <n v="2426"/>
    <n v="770"/>
    <n v="204"/>
    <n v="9317"/>
    <x v="0"/>
    <n v="974"/>
    <x v="0"/>
  </r>
  <r>
    <d v="2024-05-30T00:00:00"/>
    <s v="Adult"/>
    <x v="34"/>
    <n v="14720"/>
    <n v="3932"/>
    <n v="1317"/>
    <n v="924"/>
    <n v="20891"/>
    <x v="0"/>
    <n v="2241"/>
    <x v="0"/>
  </r>
  <r>
    <d v="2024-05-30T00:00:00"/>
    <s v="Adult"/>
    <x v="42"/>
    <n v="18480"/>
    <n v="9688"/>
    <n v="4507"/>
    <n v="5070"/>
    <n v="37745"/>
    <x v="0"/>
    <n v="9577"/>
    <x v="0"/>
  </r>
  <r>
    <d v="2024-05-30T00:00:00"/>
    <s v="Adult"/>
    <x v="24"/>
    <n v="2986"/>
    <n v="725"/>
    <n v="112"/>
    <n v="47"/>
    <n v="3870"/>
    <x v="0"/>
    <n v="159"/>
    <x v="0"/>
  </r>
  <r>
    <d v="2024-06-27T00:00:00"/>
    <s v="Adult"/>
    <x v="23"/>
    <n v="26624"/>
    <n v="11588"/>
    <n v="2492"/>
    <n v="250"/>
    <n v="40954"/>
    <x v="1"/>
    <n v="2742"/>
    <x v="0"/>
  </r>
  <r>
    <d v="2024-06-27T00:00:00"/>
    <s v="Adult"/>
    <x v="16"/>
    <n v="4798"/>
    <n v="2565"/>
    <n v="325"/>
    <n v="55"/>
    <n v="7743"/>
    <x v="1"/>
    <n v="380"/>
    <x v="0"/>
  </r>
  <r>
    <d v="2024-06-27T00:00:00"/>
    <s v="Adult"/>
    <x v="9"/>
    <n v="1564"/>
    <n v="724"/>
    <n v="122"/>
    <n v="17"/>
    <n v="2427"/>
    <x v="1"/>
    <n v="139"/>
    <x v="0"/>
  </r>
  <r>
    <d v="2024-06-27T00:00:00"/>
    <s v="Adult"/>
    <x v="40"/>
    <n v="16015"/>
    <n v="6640"/>
    <n v="3583"/>
    <n v="4939"/>
    <n v="31177"/>
    <x v="1"/>
    <n v="8522"/>
    <x v="0"/>
  </r>
  <r>
    <d v="2024-06-27T00:00:00"/>
    <s v="Adult"/>
    <x v="3"/>
    <n v="3292"/>
    <n v="1277"/>
    <n v="527"/>
    <n v="137"/>
    <n v="5232"/>
    <x v="1"/>
    <n v="664"/>
    <x v="0"/>
  </r>
  <r>
    <d v="2024-06-27T00:00:00"/>
    <s v="Adult"/>
    <x v="13"/>
    <n v="483"/>
    <n v="319"/>
    <n v="270"/>
    <n v="78"/>
    <n v="1149"/>
    <x v="1"/>
    <n v="348"/>
    <x v="0"/>
  </r>
  <r>
    <d v="2024-06-27T00:00:00"/>
    <s v="Adult"/>
    <x v="41"/>
    <n v="22661"/>
    <n v="8525"/>
    <n v="4157"/>
    <n v="6209"/>
    <n v="41551"/>
    <x v="1"/>
    <n v="10366"/>
    <x v="0"/>
  </r>
  <r>
    <d v="2024-06-27T00:00:00"/>
    <s v="Adult"/>
    <x v="32"/>
    <n v="9129"/>
    <n v="2485"/>
    <n v="1055"/>
    <n v="1802"/>
    <n v="14471"/>
    <x v="1"/>
    <n v="2857"/>
    <x v="0"/>
  </r>
  <r>
    <d v="2024-06-27T00:00:00"/>
    <s v="Adult"/>
    <x v="4"/>
    <n v="2376"/>
    <n v="913"/>
    <n v="321"/>
    <n v="124"/>
    <n v="3734"/>
    <x v="1"/>
    <n v="445"/>
    <x v="0"/>
  </r>
  <r>
    <d v="2024-06-27T00:00:00"/>
    <s v="Adult"/>
    <x v="43"/>
    <n v="23309"/>
    <n v="6705"/>
    <n v="3258"/>
    <n v="4770"/>
    <n v="38042"/>
    <x v="1"/>
    <n v="8028"/>
    <x v="0"/>
  </r>
  <r>
    <d v="2024-06-27T00:00:00"/>
    <s v="Adult"/>
    <x v="22"/>
    <n v="3991"/>
    <n v="1031"/>
    <n v="253"/>
    <n v="184"/>
    <n v="5460"/>
    <x v="1"/>
    <n v="437"/>
    <x v="0"/>
  </r>
  <r>
    <d v="2024-06-27T00:00:00"/>
    <s v="Adult"/>
    <x v="2"/>
    <n v="3186"/>
    <n v="1299"/>
    <n v="583"/>
    <n v="775"/>
    <n v="5842"/>
    <x v="1"/>
    <n v="1358"/>
    <x v="0"/>
  </r>
  <r>
    <d v="2024-06-27T00:00:00"/>
    <s v="Adult"/>
    <x v="26"/>
    <n v="4843"/>
    <n v="1866"/>
    <n v="1061"/>
    <n v="1091"/>
    <n v="8860"/>
    <x v="1"/>
    <n v="2152"/>
    <x v="0"/>
  </r>
  <r>
    <d v="2024-06-27T00:00:00"/>
    <s v="Adult"/>
    <x v="20"/>
    <n v="2284"/>
    <n v="950"/>
    <n v="433"/>
    <n v="377"/>
    <n v="4043"/>
    <x v="1"/>
    <n v="810"/>
    <x v="0"/>
  </r>
  <r>
    <d v="2024-06-27T00:00:00"/>
    <s v="Adult"/>
    <x v="15"/>
    <n v="6494"/>
    <n v="2712"/>
    <n v="1060"/>
    <n v="130"/>
    <n v="10395"/>
    <x v="1"/>
    <n v="1190"/>
    <x v="0"/>
  </r>
  <r>
    <d v="2024-06-27T00:00:00"/>
    <s v="Adult"/>
    <x v="14"/>
    <n v="2705"/>
    <n v="475"/>
    <n v="119"/>
    <n v="1"/>
    <n v="3300"/>
    <x v="1"/>
    <n v="120"/>
    <x v="0"/>
  </r>
  <r>
    <d v="2024-06-27T00:00:00"/>
    <s v="Adult"/>
    <x v="29"/>
    <n v="2571"/>
    <n v="1684"/>
    <n v="557"/>
    <n v="241"/>
    <n v="5053"/>
    <x v="1"/>
    <n v="798"/>
    <x v="0"/>
  </r>
  <r>
    <d v="2024-06-27T00:00:00"/>
    <s v="Adult"/>
    <x v="11"/>
    <n v="399"/>
    <n v="258"/>
    <n v="213"/>
    <n v="101"/>
    <n v="971"/>
    <x v="1"/>
    <n v="314"/>
    <x v="0"/>
  </r>
  <r>
    <d v="2024-06-27T00:00:00"/>
    <s v="Adult"/>
    <x v="27"/>
    <n v="9321"/>
    <n v="3417"/>
    <n v="537"/>
    <n v="51"/>
    <n v="13325"/>
    <x v="1"/>
    <n v="588"/>
    <x v="0"/>
  </r>
  <r>
    <d v="2024-06-27T00:00:00"/>
    <s v="Adult"/>
    <x v="0"/>
    <n v="3837"/>
    <n v="1720"/>
    <n v="656"/>
    <n v="103"/>
    <n v="6317"/>
    <x v="1"/>
    <n v="759"/>
    <x v="0"/>
  </r>
  <r>
    <d v="2024-06-27T00:00:00"/>
    <s v="Adult"/>
    <x v="21"/>
    <n v="2067"/>
    <n v="398"/>
    <n v="133"/>
    <n v="75"/>
    <n v="2672"/>
    <x v="1"/>
    <n v="208"/>
    <x v="0"/>
  </r>
  <r>
    <d v="2024-06-27T00:00:00"/>
    <s v="Adult"/>
    <x v="7"/>
    <n v="2934"/>
    <n v="620"/>
    <n v="164"/>
    <n v="101"/>
    <n v="3820"/>
    <x v="1"/>
    <n v="265"/>
    <x v="0"/>
  </r>
  <r>
    <d v="2024-06-27T00:00:00"/>
    <s v="Adult"/>
    <x v="38"/>
    <n v="5422"/>
    <n v="2645"/>
    <n v="1598"/>
    <n v="1399"/>
    <n v="11064"/>
    <x v="1"/>
    <n v="2997"/>
    <x v="0"/>
  </r>
  <r>
    <d v="2024-06-27T00:00:00"/>
    <s v="Adult"/>
    <x v="35"/>
    <n v="7482"/>
    <n v="2187"/>
    <n v="861"/>
    <n v="1268"/>
    <n v="11798"/>
    <x v="1"/>
    <n v="2129"/>
    <x v="0"/>
  </r>
  <r>
    <d v="2024-06-27T00:00:00"/>
    <s v="Adult"/>
    <x v="36"/>
    <n v="12388"/>
    <n v="6559"/>
    <n v="3115"/>
    <n v="3712"/>
    <n v="25774"/>
    <x v="1"/>
    <n v="6827"/>
    <x v="0"/>
  </r>
  <r>
    <d v="2024-06-27T00:00:00"/>
    <s v="Adult"/>
    <x v="37"/>
    <n v="2339"/>
    <n v="1423"/>
    <n v="1174"/>
    <n v="4243"/>
    <n v="9179"/>
    <x v="1"/>
    <n v="5417"/>
    <x v="0"/>
  </r>
  <r>
    <d v="2024-06-27T00:00:00"/>
    <s v="Adult"/>
    <x v="44"/>
    <n v="17680"/>
    <n v="4990"/>
    <n v="1527"/>
    <n v="1009"/>
    <n v="25206"/>
    <x v="1"/>
    <n v="2536"/>
    <x v="0"/>
  </r>
  <r>
    <d v="2024-06-27T00:00:00"/>
    <s v="Adult"/>
    <x v="5"/>
    <n v="3802"/>
    <n v="1316"/>
    <n v="741"/>
    <n v="268"/>
    <n v="6128"/>
    <x v="1"/>
    <n v="1009"/>
    <x v="0"/>
  </r>
  <r>
    <d v="2024-06-27T00:00:00"/>
    <s v="Adult"/>
    <x v="45"/>
    <n v="2723"/>
    <n v="927"/>
    <n v="358"/>
    <n v="325"/>
    <n v="4332"/>
    <x v="1"/>
    <n v="683"/>
    <x v="0"/>
  </r>
  <r>
    <d v="2024-06-27T00:00:00"/>
    <s v="Adult"/>
    <x v="46"/>
    <n v="19465"/>
    <n v="7489"/>
    <n v="2984"/>
    <n v="1305"/>
    <n v="31242"/>
    <x v="1"/>
    <n v="4289"/>
    <x v="0"/>
  </r>
  <r>
    <d v="2024-06-27T00:00:00"/>
    <s v="Adult"/>
    <x v="12"/>
    <n v="14988"/>
    <n v="8095"/>
    <n v="4284"/>
    <n v="3263"/>
    <n v="30629"/>
    <x v="1"/>
    <n v="7547"/>
    <x v="0"/>
  </r>
  <r>
    <d v="2024-06-27T00:00:00"/>
    <s v="Adult"/>
    <x v="8"/>
    <n v="2230"/>
    <n v="773"/>
    <n v="297"/>
    <n v="9"/>
    <n v="3309"/>
    <x v="1"/>
    <n v="306"/>
    <x v="0"/>
  </r>
  <r>
    <d v="2024-06-27T00:00:00"/>
    <s v="Adult"/>
    <x v="19"/>
    <n v="5867"/>
    <n v="2498"/>
    <n v="842"/>
    <n v="233"/>
    <n v="9440"/>
    <x v="1"/>
    <n v="1075"/>
    <x v="0"/>
  </r>
  <r>
    <d v="2024-06-27T00:00:00"/>
    <s v="Adult"/>
    <x v="34"/>
    <n v="15079"/>
    <n v="3799"/>
    <n v="1499"/>
    <n v="978"/>
    <n v="21355"/>
    <x v="1"/>
    <n v="2477"/>
    <x v="0"/>
  </r>
  <r>
    <d v="2024-06-27T00:00:00"/>
    <s v="Adult"/>
    <x v="42"/>
    <n v="18666"/>
    <n v="9711"/>
    <n v="4812"/>
    <n v="5210"/>
    <n v="38399"/>
    <x v="1"/>
    <n v="10022"/>
    <x v="0"/>
  </r>
  <r>
    <d v="2024-06-27T00:00:00"/>
    <s v="Adult"/>
    <x v="24"/>
    <n v="3042"/>
    <n v="632"/>
    <n v="115"/>
    <n v="62"/>
    <n v="3852"/>
    <x v="1"/>
    <n v="177"/>
    <x v="0"/>
  </r>
  <r>
    <d v="2024-07-25T00:00:00"/>
    <s v="Adult"/>
    <x v="23"/>
    <n v="27100"/>
    <n v="12010"/>
    <n v="2532"/>
    <n v="263"/>
    <n v="41904"/>
    <x v="16"/>
    <n v="2795"/>
    <x v="0"/>
  </r>
  <r>
    <d v="2024-07-25T00:00:00"/>
    <s v="Adult"/>
    <x v="16"/>
    <n v="4741"/>
    <n v="2188"/>
    <n v="413"/>
    <n v="29"/>
    <n v="7372"/>
    <x v="16"/>
    <n v="442"/>
    <x v="0"/>
  </r>
  <r>
    <d v="2024-07-25T00:00:00"/>
    <s v="Adult"/>
    <x v="9"/>
    <n v="1617"/>
    <n v="710"/>
    <n v="117"/>
    <n v="16"/>
    <n v="2460"/>
    <x v="16"/>
    <n v="133"/>
    <x v="0"/>
  </r>
  <r>
    <d v="2024-07-25T00:00:00"/>
    <s v="Adult"/>
    <x v="40"/>
    <n v="15943"/>
    <n v="6491"/>
    <n v="3716"/>
    <n v="4731"/>
    <n v="30881"/>
    <x v="16"/>
    <n v="8447"/>
    <x v="0"/>
  </r>
  <r>
    <d v="2024-07-25T00:00:00"/>
    <s v="Adult"/>
    <x v="6"/>
    <n v="2291"/>
    <n v="27"/>
    <n v="5"/>
    <n v="3"/>
    <n v="2325"/>
    <x v="16"/>
    <n v="8"/>
    <x v="0"/>
  </r>
  <r>
    <d v="2024-07-25T00:00:00"/>
    <s v="Adult"/>
    <x v="3"/>
    <n v="3261"/>
    <n v="1276"/>
    <n v="584"/>
    <n v="122"/>
    <n v="5243"/>
    <x v="16"/>
    <n v="706"/>
    <x v="0"/>
  </r>
  <r>
    <d v="2024-07-25T00:00:00"/>
    <s v="Adult"/>
    <x v="13"/>
    <n v="505"/>
    <n v="279"/>
    <n v="279"/>
    <n v="86"/>
    <n v="1149"/>
    <x v="16"/>
    <n v="365"/>
    <x v="0"/>
  </r>
  <r>
    <d v="2024-07-25T00:00:00"/>
    <s v="Adult"/>
    <x v="41"/>
    <n v="22738"/>
    <n v="7886"/>
    <n v="3948"/>
    <n v="5617"/>
    <n v="40189"/>
    <x v="16"/>
    <n v="9565"/>
    <x v="0"/>
  </r>
  <r>
    <d v="2024-07-25T00:00:00"/>
    <s v="Adult"/>
    <x v="32"/>
    <n v="9938"/>
    <n v="2583"/>
    <n v="1055"/>
    <n v="1807"/>
    <n v="15384"/>
    <x v="16"/>
    <n v="2862"/>
    <x v="0"/>
  </r>
  <r>
    <d v="2024-07-25T00:00:00"/>
    <s v="Adult"/>
    <x v="4"/>
    <n v="2438"/>
    <n v="893"/>
    <n v="314"/>
    <n v="136"/>
    <n v="3780"/>
    <x v="16"/>
    <n v="450"/>
    <x v="0"/>
  </r>
  <r>
    <d v="2024-07-25T00:00:00"/>
    <s v="Adult"/>
    <x v="43"/>
    <n v="23556"/>
    <n v="6381"/>
    <n v="3207"/>
    <n v="4709"/>
    <n v="37853"/>
    <x v="16"/>
    <n v="7916"/>
    <x v="0"/>
  </r>
  <r>
    <d v="2024-07-25T00:00:00"/>
    <s v="Adult"/>
    <x v="22"/>
    <n v="4022"/>
    <n v="998"/>
    <n v="262"/>
    <n v="174"/>
    <n v="5457"/>
    <x v="16"/>
    <n v="436"/>
    <x v="0"/>
  </r>
  <r>
    <d v="2024-07-25T00:00:00"/>
    <s v="Adult"/>
    <x v="2"/>
    <n v="3265"/>
    <n v="1241"/>
    <n v="595"/>
    <n v="718"/>
    <n v="5819"/>
    <x v="16"/>
    <n v="1313"/>
    <x v="0"/>
  </r>
  <r>
    <d v="2024-07-25T00:00:00"/>
    <s v="Adult"/>
    <x v="26"/>
    <n v="4824"/>
    <n v="1826"/>
    <n v="955"/>
    <n v="976"/>
    <n v="8580"/>
    <x v="16"/>
    <n v="1931"/>
    <x v="0"/>
  </r>
  <r>
    <d v="2024-07-25T00:00:00"/>
    <s v="Adult"/>
    <x v="20"/>
    <n v="2274"/>
    <n v="891"/>
    <n v="451"/>
    <n v="338"/>
    <n v="3955"/>
    <x v="16"/>
    <n v="789"/>
    <x v="0"/>
  </r>
  <r>
    <d v="2024-07-25T00:00:00"/>
    <s v="Adult"/>
    <x v="15"/>
    <n v="6850"/>
    <n v="2695"/>
    <n v="1137"/>
    <n v="113"/>
    <n v="10795"/>
    <x v="16"/>
    <n v="1250"/>
    <x v="0"/>
  </r>
  <r>
    <d v="2024-07-25T00:00:00"/>
    <s v="Adult"/>
    <x v="14"/>
    <n v="2781"/>
    <n v="478"/>
    <n v="116"/>
    <n v="1"/>
    <n v="3376"/>
    <x v="16"/>
    <n v="117"/>
    <x v="0"/>
  </r>
  <r>
    <d v="2024-07-25T00:00:00"/>
    <s v="Adult"/>
    <x v="29"/>
    <n v="2554"/>
    <n v="1656"/>
    <n v="559"/>
    <n v="219"/>
    <n v="4987"/>
    <x v="16"/>
    <n v="778"/>
    <x v="0"/>
  </r>
  <r>
    <d v="2024-07-25T00:00:00"/>
    <s v="Adult"/>
    <x v="11"/>
    <n v="414"/>
    <n v="228"/>
    <n v="215"/>
    <n v="117"/>
    <n v="974"/>
    <x v="16"/>
    <n v="332"/>
    <x v="0"/>
  </r>
  <r>
    <d v="2024-07-25T00:00:00"/>
    <s v="Adult"/>
    <x v="27"/>
    <n v="9367"/>
    <n v="3471"/>
    <n v="679"/>
    <n v="36"/>
    <n v="13553"/>
    <x v="16"/>
    <n v="715"/>
    <x v="0"/>
  </r>
  <r>
    <d v="2024-07-25T00:00:00"/>
    <s v="Adult"/>
    <x v="0"/>
    <n v="3871"/>
    <n v="1604"/>
    <n v="546"/>
    <n v="114"/>
    <n v="6135"/>
    <x v="16"/>
    <n v="660"/>
    <x v="0"/>
  </r>
  <r>
    <d v="2024-07-25T00:00:00"/>
    <s v="Adult"/>
    <x v="21"/>
    <n v="2060"/>
    <n v="420"/>
    <n v="133"/>
    <n v="84"/>
    <n v="2698"/>
    <x v="16"/>
    <n v="217"/>
    <x v="0"/>
  </r>
  <r>
    <d v="2024-07-25T00:00:00"/>
    <s v="Adult"/>
    <x v="7"/>
    <n v="2575"/>
    <n v="506"/>
    <n v="165"/>
    <n v="78"/>
    <n v="3323"/>
    <x v="16"/>
    <n v="243"/>
    <x v="0"/>
  </r>
  <r>
    <d v="2024-07-25T00:00:00"/>
    <s v="Adult"/>
    <x v="38"/>
    <n v="5584"/>
    <n v="2658"/>
    <n v="1688"/>
    <n v="1324"/>
    <n v="11254"/>
    <x v="16"/>
    <n v="3012"/>
    <x v="0"/>
  </r>
  <r>
    <d v="2024-07-25T00:00:00"/>
    <s v="Adult"/>
    <x v="35"/>
    <n v="7906"/>
    <n v="2194"/>
    <n v="872"/>
    <n v="1211"/>
    <n v="12183"/>
    <x v="16"/>
    <n v="2083"/>
    <x v="0"/>
  </r>
  <r>
    <d v="2024-07-25T00:00:00"/>
    <s v="Adult"/>
    <x v="36"/>
    <n v="13070"/>
    <n v="6359"/>
    <n v="3307"/>
    <n v="3771"/>
    <n v="26507"/>
    <x v="16"/>
    <n v="7078"/>
    <x v="0"/>
  </r>
  <r>
    <d v="2024-07-25T00:00:00"/>
    <s v="Adult"/>
    <x v="37"/>
    <n v="2513"/>
    <n v="1374"/>
    <n v="1163"/>
    <n v="4236"/>
    <n v="9286"/>
    <x v="16"/>
    <n v="5399"/>
    <x v="0"/>
  </r>
  <r>
    <d v="2024-07-25T00:00:00"/>
    <s v="Adult"/>
    <x v="44"/>
    <n v="18212"/>
    <n v="4885"/>
    <n v="1580"/>
    <n v="891"/>
    <n v="25569"/>
    <x v="16"/>
    <n v="2471"/>
    <x v="0"/>
  </r>
  <r>
    <d v="2024-07-25T00:00:00"/>
    <s v="Adult"/>
    <x v="5"/>
    <n v="3976"/>
    <n v="1245"/>
    <n v="798"/>
    <n v="299"/>
    <n v="6318"/>
    <x v="16"/>
    <n v="1097"/>
    <x v="0"/>
  </r>
  <r>
    <d v="2024-07-25T00:00:00"/>
    <s v="Adult"/>
    <x v="45"/>
    <n v="2746"/>
    <n v="877"/>
    <n v="380"/>
    <n v="318"/>
    <n v="4321"/>
    <x v="16"/>
    <n v="698"/>
    <x v="0"/>
  </r>
  <r>
    <d v="2024-07-25T00:00:00"/>
    <s v="Adult"/>
    <x v="46"/>
    <n v="19605"/>
    <n v="7012"/>
    <n v="3319"/>
    <n v="1407"/>
    <n v="31342"/>
    <x v="16"/>
    <n v="4726"/>
    <x v="0"/>
  </r>
  <r>
    <d v="2024-07-25T00:00:00"/>
    <s v="Adult"/>
    <x v="12"/>
    <n v="15258"/>
    <n v="7816"/>
    <n v="4285"/>
    <n v="3069"/>
    <n v="30427"/>
    <x v="16"/>
    <n v="7354"/>
    <x v="0"/>
  </r>
  <r>
    <d v="2024-07-25T00:00:00"/>
    <s v="Adult"/>
    <x v="8"/>
    <n v="2221"/>
    <n v="702"/>
    <n v="320"/>
    <n v="17"/>
    <n v="3260"/>
    <x v="16"/>
    <n v="337"/>
    <x v="0"/>
  </r>
  <r>
    <d v="2024-07-25T00:00:00"/>
    <s v="Adult"/>
    <x v="19"/>
    <n v="6532"/>
    <n v="2428"/>
    <n v="830"/>
    <n v="244"/>
    <n v="10034"/>
    <x v="16"/>
    <n v="1074"/>
    <x v="0"/>
  </r>
  <r>
    <d v="2024-07-25T00:00:00"/>
    <s v="Adult"/>
    <x v="34"/>
    <n v="14900"/>
    <n v="3633"/>
    <n v="1638"/>
    <n v="957"/>
    <n v="21128"/>
    <x v="16"/>
    <n v="2595"/>
    <x v="0"/>
  </r>
  <r>
    <d v="2024-07-25T00:00:00"/>
    <s v="Adult"/>
    <x v="42"/>
    <n v="19116"/>
    <n v="9581"/>
    <n v="5047"/>
    <n v="5044"/>
    <n v="38789"/>
    <x v="16"/>
    <n v="10091"/>
    <x v="0"/>
  </r>
  <r>
    <d v="2024-07-25T00:00:00"/>
    <s v="Adult"/>
    <x v="24"/>
    <n v="3068"/>
    <n v="545"/>
    <n v="131"/>
    <n v="67"/>
    <n v="3811"/>
    <x v="16"/>
    <n v="198"/>
    <x v="0"/>
  </r>
  <r>
    <d v="2024-08-29T00:00:00"/>
    <s v="Adult"/>
    <x v="23"/>
    <n v="26341"/>
    <n v="13060"/>
    <n v="2908"/>
    <n v="307"/>
    <n v="42616"/>
    <x v="2"/>
    <n v="3215"/>
    <x v="0"/>
  </r>
  <r>
    <d v="2024-08-29T00:00:00"/>
    <s v="Adult"/>
    <x v="16"/>
    <n v="4440"/>
    <n v="1807"/>
    <n v="483"/>
    <n v="39"/>
    <n v="6770"/>
    <x v="2"/>
    <n v="522"/>
    <x v="0"/>
  </r>
  <r>
    <d v="2024-08-29T00:00:00"/>
    <s v="Adult"/>
    <x v="9"/>
    <n v="1727"/>
    <n v="749"/>
    <n v="120"/>
    <n v="15"/>
    <n v="2611"/>
    <x v="2"/>
    <n v="135"/>
    <x v="0"/>
  </r>
  <r>
    <d v="2024-08-29T00:00:00"/>
    <s v="Adult"/>
    <x v="40"/>
    <n v="14861"/>
    <n v="6617"/>
    <n v="3477"/>
    <n v="4834"/>
    <n v="29789"/>
    <x v="2"/>
    <n v="8311"/>
    <x v="0"/>
  </r>
  <r>
    <d v="2024-08-29T00:00:00"/>
    <s v="Adult"/>
    <x v="3"/>
    <n v="3248"/>
    <n v="1438"/>
    <n v="632"/>
    <n v="197"/>
    <n v="5515"/>
    <x v="2"/>
    <n v="829"/>
    <x v="0"/>
  </r>
  <r>
    <d v="2024-08-29T00:00:00"/>
    <s v="Adult"/>
    <x v="13"/>
    <n v="509"/>
    <n v="286"/>
    <n v="293"/>
    <n v="76"/>
    <n v="1164"/>
    <x v="2"/>
    <n v="369"/>
    <x v="0"/>
  </r>
  <r>
    <d v="2024-08-29T00:00:00"/>
    <s v="Adult"/>
    <x v="41"/>
    <n v="22797"/>
    <n v="8468"/>
    <n v="4125"/>
    <n v="5621"/>
    <n v="41012"/>
    <x v="2"/>
    <n v="9746"/>
    <x v="0"/>
  </r>
  <r>
    <d v="2024-08-29T00:00:00"/>
    <s v="Adult"/>
    <x v="32"/>
    <n v="9831"/>
    <n v="2673"/>
    <n v="927"/>
    <n v="1424"/>
    <n v="14855"/>
    <x v="2"/>
    <n v="2351"/>
    <x v="0"/>
  </r>
  <r>
    <d v="2024-08-29T00:00:00"/>
    <s v="Adult"/>
    <x v="4"/>
    <n v="2535"/>
    <n v="897"/>
    <n v="313"/>
    <n v="164"/>
    <n v="3908"/>
    <x v="2"/>
    <n v="477"/>
    <x v="0"/>
  </r>
  <r>
    <d v="2024-08-29T00:00:00"/>
    <s v="Adult"/>
    <x v="43"/>
    <n v="23681"/>
    <n v="6609"/>
    <n v="3101"/>
    <n v="4688"/>
    <n v="38078"/>
    <x v="2"/>
    <n v="7789"/>
    <x v="0"/>
  </r>
  <r>
    <d v="2024-08-29T00:00:00"/>
    <s v="Adult"/>
    <x v="22"/>
    <n v="3998"/>
    <n v="1041"/>
    <n v="257"/>
    <n v="277"/>
    <n v="5572"/>
    <x v="2"/>
    <n v="534"/>
    <x v="0"/>
  </r>
  <r>
    <d v="2024-08-29T00:00:00"/>
    <s v="Adult"/>
    <x v="2"/>
    <n v="3061"/>
    <n v="1270"/>
    <n v="563"/>
    <n v="622"/>
    <n v="5516"/>
    <x v="2"/>
    <n v="1185"/>
    <x v="0"/>
  </r>
  <r>
    <d v="2024-08-29T00:00:00"/>
    <s v="Adult"/>
    <x v="26"/>
    <n v="4959"/>
    <n v="1702"/>
    <n v="687"/>
    <n v="967"/>
    <n v="8315"/>
    <x v="2"/>
    <n v="1654"/>
    <x v="0"/>
  </r>
  <r>
    <d v="2024-08-29T00:00:00"/>
    <s v="Adult"/>
    <x v="20"/>
    <n v="2663"/>
    <n v="954"/>
    <n v="464"/>
    <n v="322"/>
    <n v="4403"/>
    <x v="2"/>
    <n v="786"/>
    <x v="0"/>
  </r>
  <r>
    <d v="2024-08-29T00:00:00"/>
    <s v="Adult"/>
    <x v="15"/>
    <n v="6728"/>
    <n v="2724"/>
    <n v="1176"/>
    <n v="122"/>
    <n v="10749"/>
    <x v="2"/>
    <n v="1298"/>
    <x v="0"/>
  </r>
  <r>
    <d v="2024-08-29T00:00:00"/>
    <s v="Adult"/>
    <x v="14"/>
    <n v="2281"/>
    <n v="527"/>
    <n v="117"/>
    <n v="1"/>
    <n v="2926"/>
    <x v="2"/>
    <n v="118"/>
    <x v="0"/>
  </r>
  <r>
    <d v="2024-08-29T00:00:00"/>
    <s v="Adult"/>
    <x v="29"/>
    <n v="2389"/>
    <n v="1705"/>
    <n v="572"/>
    <n v="220"/>
    <n v="4886"/>
    <x v="2"/>
    <n v="792"/>
    <x v="0"/>
  </r>
  <r>
    <d v="2024-08-29T00:00:00"/>
    <s v="Adult"/>
    <x v="11"/>
    <n v="387"/>
    <n v="255"/>
    <n v="214"/>
    <n v="66"/>
    <n v="922"/>
    <x v="2"/>
    <n v="280"/>
    <x v="0"/>
  </r>
  <r>
    <d v="2024-08-29T00:00:00"/>
    <s v="Adult"/>
    <x v="27"/>
    <n v="9398"/>
    <n v="3549"/>
    <n v="848"/>
    <n v="42"/>
    <n v="13838"/>
    <x v="2"/>
    <n v="890"/>
    <x v="0"/>
  </r>
  <r>
    <d v="2024-08-29T00:00:00"/>
    <s v="Adult"/>
    <x v="0"/>
    <n v="3770"/>
    <n v="1457"/>
    <n v="426"/>
    <n v="70"/>
    <n v="5722"/>
    <x v="2"/>
    <n v="496"/>
    <x v="0"/>
  </r>
  <r>
    <d v="2024-08-29T00:00:00"/>
    <s v="Adult"/>
    <x v="21"/>
    <n v="2095"/>
    <n v="483"/>
    <n v="141"/>
    <n v="65"/>
    <n v="2784"/>
    <x v="2"/>
    <n v="206"/>
    <x v="0"/>
  </r>
  <r>
    <d v="2024-08-29T00:00:00"/>
    <s v="Adult"/>
    <x v="7"/>
    <n v="2591"/>
    <n v="467"/>
    <n v="137"/>
    <n v="72"/>
    <n v="3268"/>
    <x v="2"/>
    <n v="209"/>
    <x v="0"/>
  </r>
  <r>
    <d v="2024-08-29T00:00:00"/>
    <s v="Adult"/>
    <x v="10"/>
    <n v="3899"/>
    <n v="710"/>
    <n v="3"/>
    <n v="3"/>
    <n v="4614"/>
    <x v="2"/>
    <n v="6"/>
    <x v="0"/>
  </r>
  <r>
    <d v="2024-08-29T00:00:00"/>
    <s v="Adult"/>
    <x v="38"/>
    <n v="5696"/>
    <n v="2743"/>
    <n v="1608"/>
    <n v="1311"/>
    <n v="11358"/>
    <x v="2"/>
    <n v="2919"/>
    <x v="0"/>
  </r>
  <r>
    <d v="2024-08-29T00:00:00"/>
    <s v="Adult"/>
    <x v="35"/>
    <n v="7533"/>
    <n v="2176"/>
    <n v="930"/>
    <n v="1218"/>
    <n v="11858"/>
    <x v="2"/>
    <n v="2148"/>
    <x v="0"/>
  </r>
  <r>
    <d v="2024-08-29T00:00:00"/>
    <s v="Adult"/>
    <x v="36"/>
    <n v="13419"/>
    <n v="6690"/>
    <n v="3178"/>
    <n v="3713"/>
    <n v="27000"/>
    <x v="2"/>
    <n v="6891"/>
    <x v="0"/>
  </r>
  <r>
    <d v="2024-08-29T00:00:00"/>
    <s v="Adult"/>
    <x v="37"/>
    <n v="2491"/>
    <n v="1361"/>
    <n v="1227"/>
    <n v="4349"/>
    <n v="9428"/>
    <x v="2"/>
    <n v="5576"/>
    <x v="0"/>
  </r>
  <r>
    <d v="2024-08-29T00:00:00"/>
    <s v="Adult"/>
    <x v="44"/>
    <n v="17700"/>
    <n v="4853"/>
    <n v="1425"/>
    <n v="897"/>
    <n v="24874"/>
    <x v="2"/>
    <n v="2322"/>
    <x v="0"/>
  </r>
  <r>
    <d v="2024-08-29T00:00:00"/>
    <s v="Adult"/>
    <x v="5"/>
    <n v="3671"/>
    <n v="1225"/>
    <n v="780"/>
    <n v="359"/>
    <n v="6034"/>
    <x v="2"/>
    <n v="1139"/>
    <x v="0"/>
  </r>
  <r>
    <d v="2024-08-29T00:00:00"/>
    <s v="Adult"/>
    <x v="45"/>
    <n v="2738"/>
    <n v="935"/>
    <n v="425"/>
    <n v="363"/>
    <n v="4461"/>
    <x v="2"/>
    <n v="788"/>
    <x v="0"/>
  </r>
  <r>
    <d v="2024-08-29T00:00:00"/>
    <s v="Adult"/>
    <x v="46"/>
    <n v="19561"/>
    <n v="7220"/>
    <n v="3445"/>
    <n v="1443"/>
    <n v="31668"/>
    <x v="2"/>
    <n v="4888"/>
    <x v="0"/>
  </r>
  <r>
    <d v="2024-08-29T00:00:00"/>
    <s v="Adult"/>
    <x v="12"/>
    <n v="15471"/>
    <n v="7815"/>
    <n v="4185"/>
    <n v="2887"/>
    <n v="30359"/>
    <x v="2"/>
    <n v="7072"/>
    <x v="0"/>
  </r>
  <r>
    <d v="2024-08-29T00:00:00"/>
    <s v="Adult"/>
    <x v="8"/>
    <n v="2321"/>
    <n v="677"/>
    <n v="311"/>
    <n v="21"/>
    <n v="3331"/>
    <x v="2"/>
    <n v="332"/>
    <x v="0"/>
  </r>
  <r>
    <d v="2024-08-29T00:00:00"/>
    <s v="Adult"/>
    <x v="19"/>
    <n v="6671"/>
    <n v="2650"/>
    <n v="906"/>
    <n v="291"/>
    <n v="10517"/>
    <x v="2"/>
    <n v="1197"/>
    <x v="0"/>
  </r>
  <r>
    <d v="2024-08-29T00:00:00"/>
    <s v="Adult"/>
    <x v="34"/>
    <n v="15382"/>
    <n v="4191"/>
    <n v="1802"/>
    <n v="995"/>
    <n v="22369"/>
    <x v="2"/>
    <n v="2797"/>
    <x v="0"/>
  </r>
  <r>
    <d v="2024-08-29T00:00:00"/>
    <s v="Adult"/>
    <x v="42"/>
    <n v="19674"/>
    <n v="9906"/>
    <n v="5242"/>
    <n v="4937"/>
    <n v="39759"/>
    <x v="2"/>
    <n v="10179"/>
    <x v="0"/>
  </r>
  <r>
    <d v="2024-08-29T00:00:00"/>
    <s v="Adult"/>
    <x v="24"/>
    <n v="3134"/>
    <n v="585"/>
    <n v="110"/>
    <n v="71"/>
    <n v="3899"/>
    <x v="2"/>
    <n v="181"/>
    <x v="0"/>
  </r>
  <r>
    <d v="2024-09-26T00:00:00"/>
    <s v="Adult"/>
    <x v="23"/>
    <n v="26048"/>
    <n v="13246"/>
    <n v="2953"/>
    <n v="335"/>
    <n v="42582"/>
    <x v="17"/>
    <n v="3288"/>
    <x v="0"/>
  </r>
  <r>
    <d v="2024-09-26T00:00:00"/>
    <s v="Adult"/>
    <x v="16"/>
    <n v="4625"/>
    <n v="1596"/>
    <n v="537"/>
    <n v="41"/>
    <n v="6799"/>
    <x v="17"/>
    <n v="578"/>
    <x v="0"/>
  </r>
  <r>
    <d v="2024-09-26T00:00:00"/>
    <s v="Adult"/>
    <x v="9"/>
    <n v="1698"/>
    <n v="708"/>
    <n v="129"/>
    <n v="7"/>
    <n v="2541"/>
    <x v="17"/>
    <n v="136"/>
    <x v="0"/>
  </r>
  <r>
    <d v="2024-09-26T00:00:00"/>
    <s v="Adult"/>
    <x v="40"/>
    <n v="13724"/>
    <n v="6476"/>
    <n v="2913"/>
    <n v="4590"/>
    <n v="27703"/>
    <x v="17"/>
    <n v="7503"/>
    <x v="0"/>
  </r>
  <r>
    <d v="2024-09-26T00:00:00"/>
    <s v="Adult"/>
    <x v="3"/>
    <n v="3231"/>
    <n v="1449"/>
    <n v="636"/>
    <n v="229"/>
    <n v="5545"/>
    <x v="17"/>
    <n v="865"/>
    <x v="0"/>
  </r>
  <r>
    <d v="2024-09-26T00:00:00"/>
    <s v="Adult"/>
    <x v="13"/>
    <n v="500"/>
    <n v="291"/>
    <n v="268"/>
    <n v="107"/>
    <n v="1166"/>
    <x v="17"/>
    <n v="375"/>
    <x v="0"/>
  </r>
  <r>
    <d v="2024-09-26T00:00:00"/>
    <s v="Adult"/>
    <x v="41"/>
    <n v="22849"/>
    <n v="8216"/>
    <n v="3828"/>
    <n v="5693"/>
    <n v="40585"/>
    <x v="17"/>
    <n v="9521"/>
    <x v="0"/>
  </r>
  <r>
    <d v="2024-09-26T00:00:00"/>
    <s v="Adult"/>
    <x v="32"/>
    <n v="10019"/>
    <n v="2606"/>
    <n v="844"/>
    <n v="1259"/>
    <n v="14728"/>
    <x v="17"/>
    <n v="2103"/>
    <x v="0"/>
  </r>
  <r>
    <d v="2024-09-26T00:00:00"/>
    <s v="Adult"/>
    <x v="17"/>
    <n v="1504"/>
    <n v="386"/>
    <n v="10"/>
    <n v="36"/>
    <n v="1935"/>
    <x v="17"/>
    <n v="46"/>
    <x v="0"/>
  </r>
  <r>
    <d v="2024-09-26T00:00:00"/>
    <s v="Adult"/>
    <x v="4"/>
    <n v="2506"/>
    <n v="972"/>
    <n v="332"/>
    <n v="187"/>
    <n v="3997"/>
    <x v="17"/>
    <n v="519"/>
    <x v="0"/>
  </r>
  <r>
    <d v="2024-09-26T00:00:00"/>
    <s v="Adult"/>
    <x v="43"/>
    <n v="23631"/>
    <n v="6625"/>
    <n v="3023"/>
    <n v="4661"/>
    <n v="37939"/>
    <x v="17"/>
    <n v="7684"/>
    <x v="0"/>
  </r>
  <r>
    <d v="2024-09-26T00:00:00"/>
    <s v="Adult"/>
    <x v="22"/>
    <n v="3959"/>
    <n v="982"/>
    <n v="224"/>
    <n v="299"/>
    <n v="5465"/>
    <x v="17"/>
    <n v="523"/>
    <x v="0"/>
  </r>
  <r>
    <d v="2024-09-26T00:00:00"/>
    <s v="Adult"/>
    <x v="2"/>
    <n v="3018"/>
    <n v="1248"/>
    <n v="427"/>
    <n v="529"/>
    <n v="5223"/>
    <x v="17"/>
    <n v="956"/>
    <x v="0"/>
  </r>
  <r>
    <d v="2024-09-26T00:00:00"/>
    <s v="Adult"/>
    <x v="26"/>
    <n v="4902"/>
    <n v="1504"/>
    <n v="671"/>
    <n v="997"/>
    <n v="8074"/>
    <x v="17"/>
    <n v="1668"/>
    <x v="0"/>
  </r>
  <r>
    <d v="2024-09-26T00:00:00"/>
    <s v="Adult"/>
    <x v="20"/>
    <n v="2555"/>
    <n v="829"/>
    <n v="410"/>
    <n v="246"/>
    <n v="4039"/>
    <x v="17"/>
    <n v="656"/>
    <x v="0"/>
  </r>
  <r>
    <d v="2024-09-26T00:00:00"/>
    <s v="Adult"/>
    <x v="15"/>
    <n v="6722"/>
    <n v="2611"/>
    <n v="1148"/>
    <n v="99"/>
    <n v="10580"/>
    <x v="17"/>
    <n v="1247"/>
    <x v="0"/>
  </r>
  <r>
    <d v="2024-09-26T00:00:00"/>
    <s v="Adult"/>
    <x v="29"/>
    <n v="2311"/>
    <n v="1550"/>
    <n v="574"/>
    <n v="237"/>
    <n v="4672"/>
    <x v="17"/>
    <n v="811"/>
    <x v="0"/>
  </r>
  <r>
    <d v="2024-09-26T00:00:00"/>
    <s v="Adult"/>
    <x v="11"/>
    <n v="377"/>
    <n v="245"/>
    <n v="226"/>
    <n v="95"/>
    <n v="943"/>
    <x v="17"/>
    <n v="321"/>
    <x v="0"/>
  </r>
  <r>
    <d v="2024-09-26T00:00:00"/>
    <s v="Adult"/>
    <x v="27"/>
    <n v="9137"/>
    <n v="3652"/>
    <n v="905"/>
    <n v="50"/>
    <n v="13744"/>
    <x v="17"/>
    <n v="955"/>
    <x v="0"/>
  </r>
  <r>
    <d v="2024-09-26T00:00:00"/>
    <s v="Adult"/>
    <x v="0"/>
    <n v="3827"/>
    <n v="1541"/>
    <n v="405"/>
    <n v="40"/>
    <n v="5814"/>
    <x v="17"/>
    <n v="445"/>
    <x v="0"/>
  </r>
  <r>
    <d v="2024-09-26T00:00:00"/>
    <s v="Adult"/>
    <x v="21"/>
    <n v="2064"/>
    <n v="428"/>
    <n v="128"/>
    <n v="45"/>
    <n v="2664"/>
    <x v="17"/>
    <n v="173"/>
    <x v="0"/>
  </r>
  <r>
    <d v="2024-09-26T00:00:00"/>
    <s v="Adult"/>
    <x v="7"/>
    <n v="2493"/>
    <n v="485"/>
    <n v="128"/>
    <n v="66"/>
    <n v="3172"/>
    <x v="17"/>
    <n v="194"/>
    <x v="0"/>
  </r>
  <r>
    <d v="2024-09-26T00:00:00"/>
    <s v="Adult"/>
    <x v="38"/>
    <n v="5771"/>
    <n v="2731"/>
    <n v="1512"/>
    <n v="1263"/>
    <n v="11277"/>
    <x v="17"/>
    <n v="2775"/>
    <x v="0"/>
  </r>
  <r>
    <d v="2024-09-26T00:00:00"/>
    <s v="Adult"/>
    <x v="35"/>
    <n v="7180"/>
    <n v="2095"/>
    <n v="1029"/>
    <n v="1249"/>
    <n v="11554"/>
    <x v="17"/>
    <n v="2278"/>
    <x v="0"/>
  </r>
  <r>
    <d v="2024-09-26T00:00:00"/>
    <s v="Adult"/>
    <x v="36"/>
    <n v="14218"/>
    <n v="6872"/>
    <n v="3330"/>
    <n v="3742"/>
    <n v="28162"/>
    <x v="17"/>
    <n v="7072"/>
    <x v="0"/>
  </r>
  <r>
    <d v="2024-09-26T00:00:00"/>
    <s v="Adult"/>
    <x v="37"/>
    <n v="2373"/>
    <n v="1403"/>
    <n v="1229"/>
    <n v="4366"/>
    <n v="9371"/>
    <x v="17"/>
    <n v="5595"/>
    <x v="0"/>
  </r>
  <r>
    <d v="2024-09-26T00:00:00"/>
    <s v="Adult"/>
    <x v="44"/>
    <n v="17626"/>
    <n v="4879"/>
    <n v="1274"/>
    <n v="919"/>
    <n v="24698"/>
    <x v="17"/>
    <n v="2193"/>
    <x v="0"/>
  </r>
  <r>
    <d v="2024-09-26T00:00:00"/>
    <s v="Adult"/>
    <x v="5"/>
    <n v="3813"/>
    <n v="1250"/>
    <n v="837"/>
    <n v="427"/>
    <n v="6326"/>
    <x v="17"/>
    <n v="1264"/>
    <x v="0"/>
  </r>
  <r>
    <d v="2024-09-26T00:00:00"/>
    <s v="Adult"/>
    <x v="45"/>
    <n v="2660"/>
    <n v="963"/>
    <n v="505"/>
    <n v="354"/>
    <n v="4482"/>
    <x v="17"/>
    <n v="859"/>
    <x v="0"/>
  </r>
  <r>
    <d v="2024-09-26T00:00:00"/>
    <s v="Adult"/>
    <x v="46"/>
    <n v="19169"/>
    <n v="7420"/>
    <n v="3463"/>
    <n v="1450"/>
    <n v="31503"/>
    <x v="17"/>
    <n v="4913"/>
    <x v="0"/>
  </r>
  <r>
    <d v="2024-09-26T00:00:00"/>
    <s v="Adult"/>
    <x v="12"/>
    <n v="15653"/>
    <n v="7667"/>
    <n v="4101"/>
    <n v="2617"/>
    <n v="30038"/>
    <x v="17"/>
    <n v="6718"/>
    <x v="0"/>
  </r>
  <r>
    <d v="2024-09-26T00:00:00"/>
    <s v="Adult"/>
    <x v="8"/>
    <n v="2420"/>
    <n v="688"/>
    <n v="292"/>
    <n v="28"/>
    <n v="3428"/>
    <x v="17"/>
    <n v="320"/>
    <x v="0"/>
  </r>
  <r>
    <d v="2024-09-26T00:00:00"/>
    <s v="Adult"/>
    <x v="19"/>
    <n v="6557"/>
    <n v="2649"/>
    <n v="992"/>
    <n v="318"/>
    <n v="10516"/>
    <x v="17"/>
    <n v="1310"/>
    <x v="0"/>
  </r>
  <r>
    <d v="2024-09-26T00:00:00"/>
    <s v="Adult"/>
    <x v="34"/>
    <n v="14990"/>
    <n v="4098"/>
    <n v="1820"/>
    <n v="841"/>
    <n v="21749"/>
    <x v="17"/>
    <n v="2661"/>
    <x v="0"/>
  </r>
  <r>
    <d v="2024-09-26T00:00:00"/>
    <s v="Adult"/>
    <x v="42"/>
    <n v="20311"/>
    <n v="9694"/>
    <n v="5149"/>
    <n v="4729"/>
    <n v="39883"/>
    <x v="17"/>
    <n v="9878"/>
    <x v="0"/>
  </r>
  <r>
    <d v="2024-09-26T00:00:00"/>
    <s v="Adult"/>
    <x v="24"/>
    <n v="3022"/>
    <n v="595"/>
    <n v="106"/>
    <n v="85"/>
    <n v="3808"/>
    <x v="17"/>
    <n v="191"/>
    <x v="0"/>
  </r>
  <r>
    <d v="2024-10-31T00:00:00"/>
    <s v="Adult"/>
    <x v="23"/>
    <n v="25722"/>
    <n v="13259"/>
    <n v="2997"/>
    <n v="341"/>
    <n v="42318"/>
    <x v="34"/>
    <n v="3338"/>
    <x v="0"/>
  </r>
  <r>
    <d v="2024-10-31T00:00:00"/>
    <s v="Adult"/>
    <x v="16"/>
    <n v="4633"/>
    <n v="1419"/>
    <n v="430"/>
    <n v="35"/>
    <n v="6517"/>
    <x v="34"/>
    <n v="465"/>
    <x v="0"/>
  </r>
  <r>
    <d v="2024-10-31T00:00:00"/>
    <s v="Adult"/>
    <x v="9"/>
    <n v="1738"/>
    <n v="733"/>
    <n v="111"/>
    <n v="7"/>
    <n v="2588"/>
    <x v="34"/>
    <n v="118"/>
    <x v="0"/>
  </r>
  <r>
    <d v="2024-10-31T00:00:00"/>
    <s v="Adult"/>
    <x v="40"/>
    <n v="13281"/>
    <n v="6342"/>
    <n v="2595"/>
    <n v="4660"/>
    <n v="26878"/>
    <x v="34"/>
    <n v="7255"/>
    <x v="0"/>
  </r>
  <r>
    <d v="2024-10-31T00:00:00"/>
    <s v="Adult"/>
    <x v="3"/>
    <n v="3238"/>
    <n v="1544"/>
    <n v="609"/>
    <n v="312"/>
    <n v="5703"/>
    <x v="34"/>
    <n v="921"/>
    <x v="0"/>
  </r>
  <r>
    <d v="2024-10-31T00:00:00"/>
    <s v="Adult"/>
    <x v="13"/>
    <n v="495"/>
    <n v="304"/>
    <n v="257"/>
    <n v="124"/>
    <n v="1181"/>
    <x v="34"/>
    <n v="381"/>
    <x v="0"/>
  </r>
  <r>
    <d v="2024-10-31T00:00:00"/>
    <s v="Adult"/>
    <x v="41"/>
    <n v="23048"/>
    <n v="7720"/>
    <n v="3543"/>
    <n v="5277"/>
    <n v="39588"/>
    <x v="34"/>
    <n v="8820"/>
    <x v="0"/>
  </r>
  <r>
    <d v="2024-10-31T00:00:00"/>
    <s v="Adult"/>
    <x v="32"/>
    <n v="9482"/>
    <n v="2483"/>
    <n v="782"/>
    <n v="920"/>
    <n v="13667"/>
    <x v="34"/>
    <n v="1702"/>
    <x v="0"/>
  </r>
  <r>
    <d v="2024-10-31T00:00:00"/>
    <s v="Adult"/>
    <x v="17"/>
    <n v="1482"/>
    <n v="406"/>
    <n v="13"/>
    <n v="16"/>
    <n v="1918"/>
    <x v="34"/>
    <n v="29"/>
    <x v="0"/>
  </r>
  <r>
    <d v="2024-10-31T00:00:00"/>
    <s v="Adult"/>
    <x v="4"/>
    <n v="2333"/>
    <n v="1044"/>
    <n v="337"/>
    <n v="247"/>
    <n v="3961"/>
    <x v="34"/>
    <n v="584"/>
    <x v="0"/>
  </r>
  <r>
    <d v="2024-10-31T00:00:00"/>
    <s v="Adult"/>
    <x v="43"/>
    <n v="23889"/>
    <n v="6600"/>
    <n v="2922"/>
    <n v="4494"/>
    <n v="37905"/>
    <x v="34"/>
    <n v="7416"/>
    <x v="0"/>
  </r>
  <r>
    <d v="2024-10-31T00:00:00"/>
    <s v="Adult"/>
    <x v="22"/>
    <n v="4007"/>
    <n v="949"/>
    <n v="207"/>
    <n v="286"/>
    <n v="5448"/>
    <x v="34"/>
    <n v="493"/>
    <x v="0"/>
  </r>
  <r>
    <d v="2024-10-31T00:00:00"/>
    <s v="Adult"/>
    <x v="2"/>
    <n v="3205"/>
    <n v="1338"/>
    <n v="364"/>
    <n v="536"/>
    <n v="5444"/>
    <x v="34"/>
    <n v="900"/>
    <x v="0"/>
  </r>
  <r>
    <d v="2024-10-31T00:00:00"/>
    <s v="Adult"/>
    <x v="26"/>
    <n v="4851"/>
    <n v="1550"/>
    <n v="632"/>
    <n v="879"/>
    <n v="7911"/>
    <x v="34"/>
    <n v="1511"/>
    <x v="0"/>
  </r>
  <r>
    <d v="2024-10-31T00:00:00"/>
    <s v="Adult"/>
    <x v="20"/>
    <n v="2778"/>
    <n v="665"/>
    <n v="327"/>
    <n v="263"/>
    <n v="4033"/>
    <x v="34"/>
    <n v="590"/>
    <x v="0"/>
  </r>
  <r>
    <d v="2024-10-31T00:00:00"/>
    <s v="Adult"/>
    <x v="15"/>
    <n v="6611"/>
    <n v="2684"/>
    <n v="725"/>
    <n v="89"/>
    <n v="10110"/>
    <x v="34"/>
    <n v="814"/>
    <x v="0"/>
  </r>
  <r>
    <d v="2024-10-31T00:00:00"/>
    <s v="Adult"/>
    <x v="14"/>
    <n v="2248"/>
    <n v="663"/>
    <n v="115"/>
    <n v="1"/>
    <n v="3027"/>
    <x v="34"/>
    <n v="116"/>
    <x v="0"/>
  </r>
  <r>
    <d v="2024-10-31T00:00:00"/>
    <s v="Adult"/>
    <x v="29"/>
    <n v="2339"/>
    <n v="1338"/>
    <n v="606"/>
    <n v="209"/>
    <n v="4492"/>
    <x v="34"/>
    <n v="815"/>
    <x v="0"/>
  </r>
  <r>
    <d v="2024-10-31T00:00:00"/>
    <s v="Adult"/>
    <x v="11"/>
    <n v="381"/>
    <n v="253"/>
    <n v="223"/>
    <n v="117"/>
    <n v="974"/>
    <x v="34"/>
    <n v="340"/>
    <x v="0"/>
  </r>
  <r>
    <d v="2024-10-31T00:00:00"/>
    <s v="Adult"/>
    <x v="27"/>
    <n v="9304"/>
    <n v="3680"/>
    <n v="977"/>
    <n v="74"/>
    <n v="14034"/>
    <x v="34"/>
    <n v="1051"/>
    <x v="0"/>
  </r>
  <r>
    <d v="2024-10-31T00:00:00"/>
    <s v="Adult"/>
    <x v="0"/>
    <n v="3836"/>
    <n v="1479"/>
    <n v="418"/>
    <n v="16"/>
    <n v="5749"/>
    <x v="34"/>
    <n v="434"/>
    <x v="0"/>
  </r>
  <r>
    <d v="2024-10-31T00:00:00"/>
    <s v="Adult"/>
    <x v="21"/>
    <n v="2078"/>
    <n v="415"/>
    <n v="87"/>
    <n v="17"/>
    <n v="2596"/>
    <x v="34"/>
    <n v="104"/>
    <x v="0"/>
  </r>
  <r>
    <d v="2024-10-31T00:00:00"/>
    <s v="Adult"/>
    <x v="7"/>
    <n v="2384"/>
    <n v="474"/>
    <n v="111"/>
    <n v="70"/>
    <n v="3040"/>
    <x v="34"/>
    <n v="181"/>
    <x v="0"/>
  </r>
  <r>
    <d v="2024-10-31T00:00:00"/>
    <s v="Adult"/>
    <x v="38"/>
    <n v="5940"/>
    <n v="2767"/>
    <n v="1584"/>
    <n v="1295"/>
    <n v="11586"/>
    <x v="34"/>
    <n v="2879"/>
    <x v="0"/>
  </r>
  <r>
    <d v="2024-10-31T00:00:00"/>
    <s v="Adult"/>
    <x v="35"/>
    <n v="6990"/>
    <n v="2057"/>
    <n v="1009"/>
    <n v="1113"/>
    <n v="11170"/>
    <x v="34"/>
    <n v="2122"/>
    <x v="0"/>
  </r>
  <r>
    <d v="2024-10-31T00:00:00"/>
    <s v="Adult"/>
    <x v="36"/>
    <n v="14203"/>
    <n v="6865"/>
    <n v="3112"/>
    <n v="3989"/>
    <n v="28168"/>
    <x v="34"/>
    <n v="7101"/>
    <x v="0"/>
  </r>
  <r>
    <d v="2024-10-31T00:00:00"/>
    <s v="Adult"/>
    <x v="37"/>
    <n v="2427"/>
    <n v="1440"/>
    <n v="1154"/>
    <n v="4476"/>
    <n v="9497"/>
    <x v="34"/>
    <n v="5630"/>
    <x v="0"/>
  </r>
  <r>
    <d v="2024-10-31T00:00:00"/>
    <s v="Adult"/>
    <x v="44"/>
    <n v="16972"/>
    <n v="4624"/>
    <n v="1266"/>
    <n v="842"/>
    <n v="23704"/>
    <x v="34"/>
    <n v="2108"/>
    <x v="0"/>
  </r>
  <r>
    <d v="2024-10-31T00:00:00"/>
    <s v="Adult"/>
    <x v="1"/>
    <n v="343"/>
    <n v="161"/>
    <n v="53"/>
    <n v="12"/>
    <n v="568"/>
    <x v="34"/>
    <n v="65"/>
    <x v="0"/>
  </r>
  <r>
    <d v="2024-10-31T00:00:00"/>
    <s v="Adult"/>
    <x v="5"/>
    <n v="3590"/>
    <n v="1291"/>
    <n v="918"/>
    <n v="578"/>
    <n v="6378"/>
    <x v="34"/>
    <n v="1496"/>
    <x v="0"/>
  </r>
  <r>
    <d v="2024-10-31T00:00:00"/>
    <s v="Adult"/>
    <x v="45"/>
    <n v="2682"/>
    <n v="1028"/>
    <n v="560"/>
    <n v="342"/>
    <n v="4612"/>
    <x v="34"/>
    <n v="902"/>
    <x v="0"/>
  </r>
  <r>
    <d v="2024-10-31T00:00:00"/>
    <s v="Adult"/>
    <x v="46"/>
    <n v="18739"/>
    <n v="7747"/>
    <n v="3488"/>
    <n v="1496"/>
    <n v="31469"/>
    <x v="34"/>
    <n v="4984"/>
    <x v="0"/>
  </r>
  <r>
    <d v="2024-10-31T00:00:00"/>
    <s v="Adult"/>
    <x v="12"/>
    <n v="15657"/>
    <n v="7723"/>
    <n v="4084"/>
    <n v="2335"/>
    <n v="29799"/>
    <x v="34"/>
    <n v="6419"/>
    <x v="0"/>
  </r>
  <r>
    <d v="2024-10-31T00:00:00"/>
    <s v="Adult"/>
    <x v="8"/>
    <n v="2462"/>
    <n v="657"/>
    <n v="292"/>
    <n v="39"/>
    <n v="3450"/>
    <x v="34"/>
    <n v="331"/>
    <x v="0"/>
  </r>
  <r>
    <d v="2024-10-31T00:00:00"/>
    <s v="Adult"/>
    <x v="19"/>
    <n v="6195"/>
    <n v="2622"/>
    <n v="746"/>
    <n v="369"/>
    <n v="9933"/>
    <x v="34"/>
    <n v="1115"/>
    <x v="0"/>
  </r>
  <r>
    <d v="2024-10-31T00:00:00"/>
    <s v="Adult"/>
    <x v="34"/>
    <n v="15115"/>
    <n v="4266"/>
    <n v="1741"/>
    <n v="783"/>
    <n v="21906"/>
    <x v="34"/>
    <n v="2524"/>
    <x v="0"/>
  </r>
  <r>
    <d v="2024-10-31T00:00:00"/>
    <s v="Adult"/>
    <x v="42"/>
    <n v="20433"/>
    <n v="9659"/>
    <n v="5236"/>
    <n v="4768"/>
    <n v="40097"/>
    <x v="34"/>
    <n v="10004"/>
    <x v="0"/>
  </r>
  <r>
    <d v="2024-10-31T00:00:00"/>
    <s v="Adult"/>
    <x v="24"/>
    <n v="2994"/>
    <n v="546"/>
    <n v="87"/>
    <n v="49"/>
    <n v="3677"/>
    <x v="34"/>
    <n v="136"/>
    <x v="0"/>
  </r>
  <r>
    <d v="2024-11-28T00:00:00"/>
    <s v="Adult"/>
    <x v="23"/>
    <n v="26009"/>
    <n v="10611"/>
    <n v="2329"/>
    <n v="288"/>
    <n v="39236"/>
    <x v="3"/>
    <n v="2617"/>
    <x v="0"/>
  </r>
  <r>
    <d v="2024-11-28T00:00:00"/>
    <s v="Adult"/>
    <x v="16"/>
    <n v="4550"/>
    <n v="1148"/>
    <n v="317"/>
    <n v="30"/>
    <n v="6045"/>
    <x v="3"/>
    <n v="347"/>
    <x v="0"/>
  </r>
  <r>
    <d v="2024-11-28T00:00:00"/>
    <s v="Adult"/>
    <x v="9"/>
    <n v="1698"/>
    <n v="564"/>
    <n v="87"/>
    <n v="10"/>
    <n v="2358"/>
    <x v="3"/>
    <n v="97"/>
    <x v="0"/>
  </r>
  <r>
    <d v="2024-11-28T00:00:00"/>
    <s v="Adult"/>
    <x v="40"/>
    <n v="12385"/>
    <n v="4259"/>
    <n v="1262"/>
    <n v="2615"/>
    <n v="20521"/>
    <x v="3"/>
    <n v="3877"/>
    <x v="0"/>
  </r>
  <r>
    <d v="2024-11-28T00:00:00"/>
    <s v="Adult"/>
    <x v="3"/>
    <n v="3194"/>
    <n v="1538"/>
    <n v="510"/>
    <n v="312"/>
    <n v="5554"/>
    <x v="3"/>
    <n v="822"/>
    <x v="0"/>
  </r>
  <r>
    <d v="2024-11-28T00:00:00"/>
    <s v="Adult"/>
    <x v="13"/>
    <n v="473"/>
    <n v="305"/>
    <n v="197"/>
    <n v="6"/>
    <n v="980"/>
    <x v="3"/>
    <n v="203"/>
    <x v="0"/>
  </r>
  <r>
    <d v="2024-11-28T00:00:00"/>
    <s v="Adult"/>
    <x v="41"/>
    <n v="22668"/>
    <n v="7768"/>
    <n v="3435"/>
    <n v="4732"/>
    <n v="38602"/>
    <x v="3"/>
    <n v="8167"/>
    <x v="0"/>
  </r>
  <r>
    <d v="2024-11-28T00:00:00"/>
    <s v="Adult"/>
    <x v="32"/>
    <n v="9163"/>
    <n v="2246"/>
    <n v="746"/>
    <n v="662"/>
    <n v="12817"/>
    <x v="3"/>
    <n v="1408"/>
    <x v="0"/>
  </r>
  <r>
    <d v="2024-11-28T00:00:00"/>
    <s v="Adult"/>
    <x v="4"/>
    <n v="2376"/>
    <n v="1026"/>
    <n v="357"/>
    <n v="286"/>
    <n v="4044"/>
    <x v="3"/>
    <n v="643"/>
    <x v="0"/>
  </r>
  <r>
    <d v="2024-11-28T00:00:00"/>
    <s v="Adult"/>
    <x v="43"/>
    <n v="23980"/>
    <n v="6533"/>
    <n v="2773"/>
    <n v="4439"/>
    <n v="37725"/>
    <x v="3"/>
    <n v="7212"/>
    <x v="0"/>
  </r>
  <r>
    <d v="2024-11-28T00:00:00"/>
    <s v="Adult"/>
    <x v="22"/>
    <n v="3914"/>
    <n v="896"/>
    <n v="204"/>
    <n v="258"/>
    <n v="5271"/>
    <x v="3"/>
    <n v="462"/>
    <x v="0"/>
  </r>
  <r>
    <d v="2024-11-28T00:00:00"/>
    <s v="Adult"/>
    <x v="2"/>
    <n v="3181"/>
    <n v="1301"/>
    <n v="318"/>
    <n v="426"/>
    <n v="5226"/>
    <x v="3"/>
    <n v="744"/>
    <x v="0"/>
  </r>
  <r>
    <d v="2024-11-28T00:00:00"/>
    <s v="Adult"/>
    <x v="26"/>
    <n v="4616"/>
    <n v="1539"/>
    <n v="592"/>
    <n v="762"/>
    <n v="7509"/>
    <x v="3"/>
    <n v="1354"/>
    <x v="0"/>
  </r>
  <r>
    <d v="2024-11-28T00:00:00"/>
    <s v="Adult"/>
    <x v="20"/>
    <n v="2662"/>
    <n v="581"/>
    <n v="288"/>
    <n v="165"/>
    <n v="3697"/>
    <x v="3"/>
    <n v="453"/>
    <x v="0"/>
  </r>
  <r>
    <d v="2024-11-28T00:00:00"/>
    <s v="Adult"/>
    <x v="15"/>
    <n v="6260"/>
    <n v="2246"/>
    <n v="573"/>
    <n v="103"/>
    <n v="9183"/>
    <x v="3"/>
    <n v="676"/>
    <x v="0"/>
  </r>
  <r>
    <d v="2024-11-28T00:00:00"/>
    <s v="Adult"/>
    <x v="29"/>
    <n v="2292"/>
    <n v="1074"/>
    <n v="499"/>
    <n v="215"/>
    <n v="4079"/>
    <x v="3"/>
    <n v="714"/>
    <x v="0"/>
  </r>
  <r>
    <d v="2024-11-28T00:00:00"/>
    <s v="Adult"/>
    <x v="11"/>
    <n v="338"/>
    <n v="257"/>
    <n v="175"/>
    <n v="11"/>
    <n v="781"/>
    <x v="3"/>
    <n v="186"/>
    <x v="0"/>
  </r>
  <r>
    <d v="2024-11-28T00:00:00"/>
    <s v="Adult"/>
    <x v="27"/>
    <n v="9474"/>
    <n v="3648"/>
    <n v="1041"/>
    <n v="86"/>
    <n v="14250"/>
    <x v="3"/>
    <n v="1127"/>
    <x v="0"/>
  </r>
  <r>
    <d v="2024-11-28T00:00:00"/>
    <s v="Adult"/>
    <x v="0"/>
    <n v="3782"/>
    <n v="1282"/>
    <n v="213"/>
    <n v="8"/>
    <n v="5286"/>
    <x v="3"/>
    <n v="221"/>
    <x v="0"/>
  </r>
  <r>
    <d v="2024-11-28T00:00:00"/>
    <s v="Adult"/>
    <x v="21"/>
    <n v="2129"/>
    <n v="434"/>
    <n v="85"/>
    <n v="7"/>
    <n v="2654"/>
    <x v="3"/>
    <n v="92"/>
    <x v="0"/>
  </r>
  <r>
    <d v="2024-11-28T00:00:00"/>
    <s v="Adult"/>
    <x v="7"/>
    <n v="2426"/>
    <n v="487"/>
    <n v="140"/>
    <n v="58"/>
    <n v="3110"/>
    <x v="3"/>
    <n v="198"/>
    <x v="0"/>
  </r>
  <r>
    <d v="2024-11-28T00:00:00"/>
    <s v="Adult"/>
    <x v="38"/>
    <n v="5778"/>
    <n v="2752"/>
    <n v="1520"/>
    <n v="1247"/>
    <n v="11297"/>
    <x v="3"/>
    <n v="2767"/>
    <x v="0"/>
  </r>
  <r>
    <d v="2024-11-28T00:00:00"/>
    <s v="Adult"/>
    <x v="35"/>
    <n v="6661"/>
    <n v="2006"/>
    <n v="948"/>
    <n v="1027"/>
    <n v="10642"/>
    <x v="3"/>
    <n v="1975"/>
    <x v="0"/>
  </r>
  <r>
    <d v="2024-11-28T00:00:00"/>
    <s v="Adult"/>
    <x v="36"/>
    <n v="14753"/>
    <n v="8456"/>
    <n v="4280"/>
    <n v="5639"/>
    <n v="33128"/>
    <x v="3"/>
    <n v="9919"/>
    <x v="0"/>
  </r>
  <r>
    <d v="2024-11-28T00:00:00"/>
    <s v="Adult"/>
    <x v="37"/>
    <n v="2207"/>
    <n v="1440"/>
    <n v="1100"/>
    <n v="4588"/>
    <n v="9334"/>
    <x v="3"/>
    <n v="5688"/>
    <x v="0"/>
  </r>
  <r>
    <d v="2024-11-28T00:00:00"/>
    <s v="Adult"/>
    <x v="44"/>
    <n v="16785"/>
    <n v="4557"/>
    <n v="1212"/>
    <n v="886"/>
    <n v="23440"/>
    <x v="3"/>
    <n v="2098"/>
    <x v="0"/>
  </r>
  <r>
    <d v="2024-11-28T00:00:00"/>
    <s v="Adult"/>
    <x v="1"/>
    <n v="324"/>
    <n v="136"/>
    <n v="41"/>
    <n v="5"/>
    <n v="506"/>
    <x v="3"/>
    <n v="46"/>
    <x v="0"/>
  </r>
  <r>
    <d v="2024-11-28T00:00:00"/>
    <s v="Adult"/>
    <x v="5"/>
    <n v="3607"/>
    <n v="1233"/>
    <n v="817"/>
    <n v="616"/>
    <n v="6274"/>
    <x v="3"/>
    <n v="1433"/>
    <x v="0"/>
  </r>
  <r>
    <d v="2024-11-28T00:00:00"/>
    <s v="Adult"/>
    <x v="45"/>
    <n v="2680"/>
    <n v="1017"/>
    <n v="591"/>
    <n v="333"/>
    <n v="4622"/>
    <x v="3"/>
    <n v="924"/>
    <x v="0"/>
  </r>
  <r>
    <d v="2024-11-28T00:00:00"/>
    <s v="Adult"/>
    <x v="46"/>
    <n v="19009"/>
    <n v="7656"/>
    <n v="3202"/>
    <n v="1525"/>
    <n v="31391"/>
    <x v="3"/>
    <n v="4727"/>
    <x v="0"/>
  </r>
  <r>
    <d v="2024-11-28T00:00:00"/>
    <s v="Adult"/>
    <x v="12"/>
    <n v="15966"/>
    <n v="7635"/>
    <n v="3893"/>
    <n v="1895"/>
    <n v="29389"/>
    <x v="3"/>
    <n v="5788"/>
    <x v="0"/>
  </r>
  <r>
    <d v="2024-11-28T00:00:00"/>
    <s v="Adult"/>
    <x v="8"/>
    <n v="2417"/>
    <n v="682"/>
    <n v="323"/>
    <n v="32"/>
    <n v="3454"/>
    <x v="3"/>
    <n v="355"/>
    <x v="0"/>
  </r>
  <r>
    <d v="2024-11-28T00:00:00"/>
    <s v="Adult"/>
    <x v="19"/>
    <n v="6142"/>
    <n v="2652"/>
    <n v="631"/>
    <n v="377"/>
    <n v="9802"/>
    <x v="3"/>
    <n v="1008"/>
    <x v="0"/>
  </r>
  <r>
    <d v="2024-11-28T00:00:00"/>
    <s v="Adult"/>
    <x v="34"/>
    <n v="14747"/>
    <n v="4371"/>
    <n v="1635"/>
    <n v="897"/>
    <n v="21650"/>
    <x v="3"/>
    <n v="2532"/>
    <x v="0"/>
  </r>
  <r>
    <d v="2024-11-28T00:00:00"/>
    <s v="Adult"/>
    <x v="42"/>
    <n v="20578"/>
    <n v="9652"/>
    <n v="4900"/>
    <n v="4790"/>
    <n v="39919"/>
    <x v="3"/>
    <n v="9690"/>
    <x v="0"/>
  </r>
  <r>
    <d v="2024-11-28T00:00:00"/>
    <s v="Adult"/>
    <x v="24"/>
    <n v="3123"/>
    <n v="535"/>
    <n v="60"/>
    <n v="5"/>
    <n v="3724"/>
    <x v="3"/>
    <n v="65"/>
    <x v="0"/>
  </r>
  <r>
    <d v="2024-12-19T00:00:00"/>
    <s v="Adult"/>
    <x v="23"/>
    <n v="26097"/>
    <n v="10799"/>
    <n v="1422"/>
    <n v="272"/>
    <n v="38590"/>
    <x v="4"/>
    <n v="1694"/>
    <x v="0"/>
  </r>
  <r>
    <d v="2024-12-19T00:00:00"/>
    <s v="Adult"/>
    <x v="16"/>
    <n v="4355"/>
    <n v="1082"/>
    <n v="274"/>
    <n v="18"/>
    <n v="5729"/>
    <x v="4"/>
    <n v="292"/>
    <x v="0"/>
  </r>
  <r>
    <d v="2024-12-19T00:00:00"/>
    <s v="Adult"/>
    <x v="9"/>
    <n v="1952"/>
    <n v="560"/>
    <n v="74"/>
    <n v="9"/>
    <n v="2595"/>
    <x v="4"/>
    <n v="83"/>
    <x v="0"/>
  </r>
  <r>
    <d v="2024-12-19T00:00:00"/>
    <s v="Adult"/>
    <x v="40"/>
    <n v="11922"/>
    <n v="4066"/>
    <n v="1129"/>
    <n v="2392"/>
    <n v="19508"/>
    <x v="4"/>
    <n v="3521"/>
    <x v="0"/>
  </r>
  <r>
    <d v="2024-12-19T00:00:00"/>
    <s v="Adult"/>
    <x v="3"/>
    <n v="3186"/>
    <n v="1603"/>
    <n v="518"/>
    <n v="300"/>
    <n v="5607"/>
    <x v="4"/>
    <n v="818"/>
    <x v="0"/>
  </r>
  <r>
    <d v="2024-12-19T00:00:00"/>
    <s v="Adult"/>
    <x v="13"/>
    <n v="478"/>
    <n v="308"/>
    <n v="215"/>
    <n v="16"/>
    <n v="1017"/>
    <x v="4"/>
    <n v="231"/>
    <x v="0"/>
  </r>
  <r>
    <d v="2024-12-19T00:00:00"/>
    <s v="Adult"/>
    <x v="41"/>
    <n v="20847"/>
    <n v="7354"/>
    <n v="3196"/>
    <n v="4161"/>
    <n v="35557"/>
    <x v="4"/>
    <n v="7357"/>
    <x v="0"/>
  </r>
  <r>
    <d v="2024-12-19T00:00:00"/>
    <s v="Adult"/>
    <x v="32"/>
    <n v="8896"/>
    <n v="2128"/>
    <n v="704"/>
    <n v="467"/>
    <n v="12195"/>
    <x v="4"/>
    <n v="1171"/>
    <x v="0"/>
  </r>
  <r>
    <d v="2024-12-19T00:00:00"/>
    <s v="Adult"/>
    <x v="4"/>
    <n v="2349"/>
    <n v="987"/>
    <n v="351"/>
    <n v="291"/>
    <n v="3978"/>
    <x v="4"/>
    <n v="642"/>
    <x v="0"/>
  </r>
  <r>
    <d v="2024-12-19T00:00:00"/>
    <s v="Adult"/>
    <x v="43"/>
    <n v="23536"/>
    <n v="6497"/>
    <n v="2732"/>
    <n v="4303"/>
    <n v="37067"/>
    <x v="4"/>
    <n v="7035"/>
    <x v="0"/>
  </r>
  <r>
    <d v="2024-12-19T00:00:00"/>
    <s v="Adult"/>
    <x v="22"/>
    <n v="3987"/>
    <n v="901"/>
    <n v="185"/>
    <n v="239"/>
    <n v="5312"/>
    <x v="4"/>
    <n v="424"/>
    <x v="0"/>
  </r>
  <r>
    <d v="2024-12-19T00:00:00"/>
    <s v="Adult"/>
    <x v="2"/>
    <n v="3071"/>
    <n v="1253"/>
    <n v="333"/>
    <n v="362"/>
    <n v="5019"/>
    <x v="4"/>
    <n v="695"/>
    <x v="0"/>
  </r>
  <r>
    <d v="2024-12-19T00:00:00"/>
    <s v="Adult"/>
    <x v="26"/>
    <n v="4337"/>
    <n v="1518"/>
    <n v="573"/>
    <n v="811"/>
    <n v="7239"/>
    <x v="4"/>
    <n v="1384"/>
    <x v="0"/>
  </r>
  <r>
    <d v="2024-12-19T00:00:00"/>
    <s v="Adult"/>
    <x v="20"/>
    <n v="2828"/>
    <n v="617"/>
    <n v="268"/>
    <n v="174"/>
    <n v="3887"/>
    <x v="4"/>
    <n v="442"/>
    <x v="0"/>
  </r>
  <r>
    <d v="2024-12-19T00:00:00"/>
    <s v="Adult"/>
    <x v="15"/>
    <n v="6207"/>
    <n v="1989"/>
    <n v="515"/>
    <n v="79"/>
    <n v="8789"/>
    <x v="4"/>
    <n v="594"/>
    <x v="0"/>
  </r>
  <r>
    <d v="2024-12-19T00:00:00"/>
    <s v="Adult"/>
    <x v="29"/>
    <n v="2265"/>
    <n v="994"/>
    <n v="466"/>
    <n v="213"/>
    <n v="3938"/>
    <x v="4"/>
    <n v="679"/>
    <x v="0"/>
  </r>
  <r>
    <d v="2024-12-19T00:00:00"/>
    <s v="Adult"/>
    <x v="11"/>
    <n v="351"/>
    <n v="254"/>
    <n v="190"/>
    <n v="28"/>
    <n v="822"/>
    <x v="4"/>
    <n v="218"/>
    <x v="0"/>
  </r>
  <r>
    <d v="2024-12-19T00:00:00"/>
    <s v="Adult"/>
    <x v="27"/>
    <n v="9149"/>
    <n v="3844"/>
    <n v="1059"/>
    <n v="118"/>
    <n v="14170"/>
    <x v="4"/>
    <n v="1177"/>
    <x v="0"/>
  </r>
  <r>
    <d v="2024-12-19T00:00:00"/>
    <s v="Adult"/>
    <x v="0"/>
    <n v="3811"/>
    <n v="1301"/>
    <n v="185"/>
    <n v="1"/>
    <n v="5298"/>
    <x v="4"/>
    <n v="186"/>
    <x v="0"/>
  </r>
  <r>
    <d v="2024-12-19T00:00:00"/>
    <s v="Adult"/>
    <x v="7"/>
    <n v="2365"/>
    <n v="489"/>
    <n v="141"/>
    <n v="70"/>
    <n v="3065"/>
    <x v="4"/>
    <n v="211"/>
    <x v="0"/>
  </r>
  <r>
    <d v="2024-12-19T00:00:00"/>
    <s v="Adult"/>
    <x v="38"/>
    <n v="5875"/>
    <n v="2784"/>
    <n v="1475"/>
    <n v="1230"/>
    <n v="11364"/>
    <x v="4"/>
    <n v="2705"/>
    <x v="0"/>
  </r>
  <r>
    <d v="2024-12-19T00:00:00"/>
    <s v="Adult"/>
    <x v="35"/>
    <n v="6463"/>
    <n v="1859"/>
    <n v="917"/>
    <n v="1005"/>
    <n v="10244"/>
    <x v="4"/>
    <n v="1922"/>
    <x v="0"/>
  </r>
  <r>
    <d v="2024-12-19T00:00:00"/>
    <s v="Adult"/>
    <x v="36"/>
    <n v="14363"/>
    <n v="8148"/>
    <n v="3966"/>
    <n v="5166"/>
    <n v="31642"/>
    <x v="4"/>
    <n v="9132"/>
    <x v="0"/>
  </r>
  <r>
    <d v="2024-12-19T00:00:00"/>
    <s v="Adult"/>
    <x v="37"/>
    <n v="2134"/>
    <n v="1436"/>
    <n v="1063"/>
    <n v="4591"/>
    <n v="9223"/>
    <x v="4"/>
    <n v="5654"/>
    <x v="0"/>
  </r>
  <r>
    <d v="2024-12-19T00:00:00"/>
    <s v="Adult"/>
    <x v="44"/>
    <n v="16143"/>
    <n v="4384"/>
    <n v="1125"/>
    <n v="870"/>
    <n v="22521"/>
    <x v="4"/>
    <n v="1995"/>
    <x v="0"/>
  </r>
  <r>
    <d v="2024-12-19T00:00:00"/>
    <s v="Adult"/>
    <x v="1"/>
    <n v="327"/>
    <n v="134"/>
    <n v="16"/>
    <n v="5"/>
    <n v="482"/>
    <x v="4"/>
    <n v="21"/>
    <x v="0"/>
  </r>
  <r>
    <d v="2024-12-19T00:00:00"/>
    <s v="Adult"/>
    <x v="5"/>
    <n v="3574"/>
    <n v="1228"/>
    <n v="757"/>
    <n v="573"/>
    <n v="6131"/>
    <x v="4"/>
    <n v="1330"/>
    <x v="0"/>
  </r>
  <r>
    <d v="2024-12-19T00:00:00"/>
    <s v="Adult"/>
    <x v="45"/>
    <n v="2629"/>
    <n v="1057"/>
    <n v="607"/>
    <n v="340"/>
    <n v="4634"/>
    <x v="4"/>
    <n v="947"/>
    <x v="0"/>
  </r>
  <r>
    <d v="2024-12-19T00:00:00"/>
    <s v="Adult"/>
    <x v="46"/>
    <n v="18678"/>
    <n v="7677"/>
    <n v="3224"/>
    <n v="1640"/>
    <n v="31219"/>
    <x v="4"/>
    <n v="4864"/>
    <x v="0"/>
  </r>
  <r>
    <d v="2024-12-19T00:00:00"/>
    <s v="Adult"/>
    <x v="12"/>
    <n v="15809"/>
    <n v="7797"/>
    <n v="3586"/>
    <n v="1496"/>
    <n v="28688"/>
    <x v="4"/>
    <n v="5082"/>
    <x v="0"/>
  </r>
  <r>
    <d v="2024-12-19T00:00:00"/>
    <s v="Adult"/>
    <x v="8"/>
    <n v="2400"/>
    <n v="707"/>
    <n v="328"/>
    <n v="34"/>
    <n v="3469"/>
    <x v="4"/>
    <n v="362"/>
    <x v="0"/>
  </r>
  <r>
    <d v="2024-12-19T00:00:00"/>
    <s v="Adult"/>
    <x v="19"/>
    <n v="5984"/>
    <n v="2584"/>
    <n v="474"/>
    <n v="386"/>
    <n v="9429"/>
    <x v="4"/>
    <n v="860"/>
    <x v="0"/>
  </r>
  <r>
    <d v="2024-12-19T00:00:00"/>
    <s v="Adult"/>
    <x v="34"/>
    <n v="14674"/>
    <n v="4359"/>
    <n v="1624"/>
    <n v="741"/>
    <n v="21397"/>
    <x v="4"/>
    <n v="2365"/>
    <x v="0"/>
  </r>
  <r>
    <d v="2024-12-19T00:00:00"/>
    <s v="Adult"/>
    <x v="42"/>
    <n v="20691"/>
    <n v="9441"/>
    <n v="4790"/>
    <n v="4713"/>
    <n v="39635"/>
    <x v="4"/>
    <n v="9503"/>
    <x v="0"/>
  </r>
  <r>
    <d v="2025-01-30T00:00:00"/>
    <s v="Adult"/>
    <x v="23"/>
    <n v="25335"/>
    <n v="12493"/>
    <n v="2601"/>
    <n v="379"/>
    <n v="40807"/>
    <x v="18"/>
    <n v="2980"/>
    <x v="0"/>
  </r>
  <r>
    <d v="2025-01-30T00:00:00"/>
    <s v="Adult"/>
    <x v="16"/>
    <n v="3976"/>
    <n v="1305"/>
    <n v="300"/>
    <n v="11"/>
    <n v="5592"/>
    <x v="18"/>
    <n v="311"/>
    <x v="0"/>
  </r>
  <r>
    <d v="2025-01-30T00:00:00"/>
    <s v="Adult"/>
    <x v="9"/>
    <n v="1821"/>
    <n v="617"/>
    <n v="103"/>
    <n v="8"/>
    <n v="2549"/>
    <x v="18"/>
    <n v="111"/>
    <x v="0"/>
  </r>
  <r>
    <d v="2025-01-30T00:00:00"/>
    <s v="Adult"/>
    <x v="40"/>
    <n v="11903"/>
    <n v="4423"/>
    <n v="1136"/>
    <n v="2397"/>
    <n v="19859"/>
    <x v="18"/>
    <n v="3533"/>
    <x v="0"/>
  </r>
  <r>
    <d v="2025-01-30T00:00:00"/>
    <s v="Adult"/>
    <x v="3"/>
    <n v="3103"/>
    <n v="1482"/>
    <n v="454"/>
    <n v="329"/>
    <n v="5368"/>
    <x v="18"/>
    <n v="783"/>
    <x v="0"/>
  </r>
  <r>
    <d v="2025-01-30T00:00:00"/>
    <s v="Adult"/>
    <x v="13"/>
    <n v="439"/>
    <n v="295"/>
    <n v="183"/>
    <n v="38"/>
    <n v="955"/>
    <x v="18"/>
    <n v="221"/>
    <x v="0"/>
  </r>
  <r>
    <d v="2025-01-30T00:00:00"/>
    <s v="Adult"/>
    <x v="41"/>
    <n v="22092"/>
    <n v="8166"/>
    <n v="3338"/>
    <n v="4534"/>
    <n v="38130"/>
    <x v="18"/>
    <n v="7872"/>
    <x v="0"/>
  </r>
  <r>
    <d v="2025-01-30T00:00:00"/>
    <s v="Adult"/>
    <x v="32"/>
    <n v="9277"/>
    <n v="2659"/>
    <n v="772"/>
    <n v="588"/>
    <n v="13295"/>
    <x v="18"/>
    <n v="1360"/>
    <x v="0"/>
  </r>
  <r>
    <d v="2025-01-30T00:00:00"/>
    <s v="Adult"/>
    <x v="4"/>
    <n v="2327"/>
    <n v="1165"/>
    <n v="359"/>
    <n v="339"/>
    <n v="4190"/>
    <x v="18"/>
    <n v="698"/>
    <x v="0"/>
  </r>
  <r>
    <d v="2025-01-30T00:00:00"/>
    <s v="Adult"/>
    <x v="43"/>
    <n v="23367"/>
    <n v="7372"/>
    <n v="2817"/>
    <n v="4350"/>
    <n v="37905"/>
    <x v="18"/>
    <n v="7167"/>
    <x v="0"/>
  </r>
  <r>
    <d v="2025-01-30T00:00:00"/>
    <s v="Adult"/>
    <x v="22"/>
    <n v="3945"/>
    <n v="1192"/>
    <n v="211"/>
    <n v="244"/>
    <n v="5592"/>
    <x v="18"/>
    <n v="455"/>
    <x v="0"/>
  </r>
  <r>
    <d v="2025-01-30T00:00:00"/>
    <s v="Adult"/>
    <x v="2"/>
    <n v="3066"/>
    <n v="1340"/>
    <n v="392"/>
    <n v="358"/>
    <n v="5157"/>
    <x v="18"/>
    <n v="750"/>
    <x v="0"/>
  </r>
  <r>
    <d v="2025-01-30T00:00:00"/>
    <s v="Adult"/>
    <x v="26"/>
    <n v="4429"/>
    <n v="1704"/>
    <n v="626"/>
    <n v="800"/>
    <n v="7559"/>
    <x v="18"/>
    <n v="1426"/>
    <x v="0"/>
  </r>
  <r>
    <d v="2025-01-30T00:00:00"/>
    <s v="Adult"/>
    <x v="20"/>
    <n v="2754"/>
    <n v="811"/>
    <n v="290"/>
    <n v="192"/>
    <n v="4046"/>
    <x v="18"/>
    <n v="482"/>
    <x v="0"/>
  </r>
  <r>
    <d v="2025-01-30T00:00:00"/>
    <s v="Adult"/>
    <x v="15"/>
    <n v="6450"/>
    <n v="2136"/>
    <n v="576"/>
    <n v="95"/>
    <n v="9258"/>
    <x v="18"/>
    <n v="671"/>
    <x v="0"/>
  </r>
  <r>
    <d v="2025-01-30T00:00:00"/>
    <s v="Adult"/>
    <x v="14"/>
    <n v="2103"/>
    <n v="694"/>
    <n v="69"/>
    <n v="4"/>
    <n v="2870"/>
    <x v="18"/>
    <n v="73"/>
    <x v="0"/>
  </r>
  <r>
    <d v="2025-01-30T00:00:00"/>
    <s v="Adult"/>
    <x v="29"/>
    <n v="2047"/>
    <n v="1129"/>
    <n v="436"/>
    <n v="230"/>
    <n v="3841"/>
    <x v="18"/>
    <n v="666"/>
    <x v="0"/>
  </r>
  <r>
    <d v="2025-01-30T00:00:00"/>
    <s v="Adult"/>
    <x v="11"/>
    <n v="339"/>
    <n v="231"/>
    <n v="180"/>
    <n v="62"/>
    <n v="811"/>
    <x v="18"/>
    <n v="242"/>
    <x v="0"/>
  </r>
  <r>
    <d v="2025-01-30T00:00:00"/>
    <s v="Adult"/>
    <x v="27"/>
    <n v="8670"/>
    <n v="4286"/>
    <n v="1162"/>
    <n v="243"/>
    <n v="14361"/>
    <x v="18"/>
    <n v="1405"/>
    <x v="0"/>
  </r>
  <r>
    <d v="2025-01-30T00:00:00"/>
    <s v="Adult"/>
    <x v="0"/>
    <n v="3822"/>
    <n v="1471"/>
    <n v="163"/>
    <n v="15"/>
    <n v="5470"/>
    <x v="18"/>
    <n v="178"/>
    <x v="0"/>
  </r>
  <r>
    <d v="2025-01-30T00:00:00"/>
    <s v="Adult"/>
    <x v="7"/>
    <n v="2379"/>
    <n v="548"/>
    <n v="138"/>
    <n v="77"/>
    <n v="3143"/>
    <x v="18"/>
    <n v="215"/>
    <x v="0"/>
  </r>
  <r>
    <d v="2025-01-30T00:00:00"/>
    <s v="Adult"/>
    <x v="38"/>
    <n v="5753"/>
    <n v="2957"/>
    <n v="1426"/>
    <n v="1270"/>
    <n v="11406"/>
    <x v="18"/>
    <n v="2696"/>
    <x v="0"/>
  </r>
  <r>
    <d v="2025-01-30T00:00:00"/>
    <s v="Adult"/>
    <x v="35"/>
    <n v="6687"/>
    <n v="2179"/>
    <n v="958"/>
    <n v="1040"/>
    <n v="10863"/>
    <x v="18"/>
    <n v="1998"/>
    <x v="0"/>
  </r>
  <r>
    <d v="2025-01-30T00:00:00"/>
    <s v="Adult"/>
    <x v="36"/>
    <n v="13864"/>
    <n v="8386"/>
    <n v="3657"/>
    <n v="4545"/>
    <n v="30452"/>
    <x v="18"/>
    <n v="8202"/>
    <x v="0"/>
  </r>
  <r>
    <d v="2025-01-30T00:00:00"/>
    <s v="Adult"/>
    <x v="37"/>
    <n v="1945"/>
    <n v="1551"/>
    <n v="990"/>
    <n v="4727"/>
    <n v="9213"/>
    <x v="18"/>
    <n v="5717"/>
    <x v="0"/>
  </r>
  <r>
    <d v="2025-01-30T00:00:00"/>
    <s v="Adult"/>
    <x v="44"/>
    <n v="16451"/>
    <n v="4806"/>
    <n v="1211"/>
    <n v="925"/>
    <n v="23393"/>
    <x v="18"/>
    <n v="2136"/>
    <x v="0"/>
  </r>
  <r>
    <d v="2025-01-30T00:00:00"/>
    <s v="Adult"/>
    <x v="1"/>
    <n v="312"/>
    <n v="158"/>
    <n v="9"/>
    <n v="1"/>
    <n v="481"/>
    <x v="18"/>
    <n v="10"/>
    <x v="0"/>
  </r>
  <r>
    <d v="2025-01-30T00:00:00"/>
    <s v="Adult"/>
    <x v="5"/>
    <n v="3446"/>
    <n v="1241"/>
    <n v="628"/>
    <n v="609"/>
    <n v="5925"/>
    <x v="18"/>
    <n v="1237"/>
    <x v="0"/>
  </r>
  <r>
    <d v="2025-01-30T00:00:00"/>
    <s v="Adult"/>
    <x v="45"/>
    <n v="2634"/>
    <n v="1221"/>
    <n v="580"/>
    <n v="442"/>
    <n v="4877"/>
    <x v="18"/>
    <n v="1022"/>
    <x v="0"/>
  </r>
  <r>
    <d v="2025-01-30T00:00:00"/>
    <s v="Adult"/>
    <x v="46"/>
    <n v="17778"/>
    <n v="8303"/>
    <n v="3442"/>
    <n v="2003"/>
    <n v="31525"/>
    <x v="18"/>
    <n v="5445"/>
    <x v="0"/>
  </r>
  <r>
    <d v="2025-01-30T00:00:00"/>
    <s v="Adult"/>
    <x v="12"/>
    <n v="15551"/>
    <n v="8485"/>
    <n v="3275"/>
    <n v="1361"/>
    <n v="28673"/>
    <x v="18"/>
    <n v="4636"/>
    <x v="0"/>
  </r>
  <r>
    <d v="2025-01-30T00:00:00"/>
    <s v="Adult"/>
    <x v="8"/>
    <n v="2352"/>
    <n v="813"/>
    <n v="323"/>
    <n v="43"/>
    <n v="3530"/>
    <x v="18"/>
    <n v="366"/>
    <x v="0"/>
  </r>
  <r>
    <d v="2025-01-30T00:00:00"/>
    <s v="Adult"/>
    <x v="19"/>
    <n v="6129"/>
    <n v="2926"/>
    <n v="546"/>
    <n v="132"/>
    <n v="9732"/>
    <x v="18"/>
    <n v="678"/>
    <x v="0"/>
  </r>
  <r>
    <d v="2025-01-30T00:00:00"/>
    <s v="Adult"/>
    <x v="34"/>
    <n v="14216"/>
    <n v="4273"/>
    <n v="1509"/>
    <n v="782"/>
    <n v="20780"/>
    <x v="18"/>
    <n v="2291"/>
    <x v="0"/>
  </r>
  <r>
    <d v="2025-01-30T00:00:00"/>
    <s v="Adult"/>
    <x v="42"/>
    <n v="20444"/>
    <n v="10524"/>
    <n v="4634"/>
    <n v="4751"/>
    <n v="40353"/>
    <x v="18"/>
    <n v="9385"/>
    <x v="0"/>
  </r>
  <r>
    <d v="2025-01-30T00:00:00"/>
    <s v="Adult"/>
    <x v="24"/>
    <n v="2981"/>
    <n v="564"/>
    <n v="25"/>
    <n v="6"/>
    <n v="3576"/>
    <x v="18"/>
    <n v="31"/>
    <x v="0"/>
  </r>
  <r>
    <d v="2025-02-27T00:00:00"/>
    <s v="Adult"/>
    <x v="23"/>
    <n v="23880"/>
    <n v="12902"/>
    <n v="3200"/>
    <n v="456"/>
    <n v="40437"/>
    <x v="35"/>
    <n v="3656"/>
    <x v="0"/>
  </r>
  <r>
    <d v="2025-02-27T00:00:00"/>
    <s v="Adult"/>
    <x v="16"/>
    <n v="4044"/>
    <n v="1411"/>
    <n v="265"/>
    <n v="82"/>
    <n v="5801"/>
    <x v="35"/>
    <n v="347"/>
    <x v="0"/>
  </r>
  <r>
    <d v="2025-02-27T00:00:00"/>
    <s v="Adult"/>
    <x v="9"/>
    <n v="1877"/>
    <n v="610"/>
    <n v="136"/>
    <n v="8"/>
    <n v="2631"/>
    <x v="35"/>
    <n v="144"/>
    <x v="0"/>
  </r>
  <r>
    <d v="2025-02-27T00:00:00"/>
    <s v="Adult"/>
    <x v="40"/>
    <n v="12249"/>
    <n v="4450"/>
    <n v="1272"/>
    <n v="1939"/>
    <n v="19910"/>
    <x v="35"/>
    <n v="3211"/>
    <x v="0"/>
  </r>
  <r>
    <d v="2025-02-27T00:00:00"/>
    <s v="Adult"/>
    <x v="3"/>
    <n v="3206"/>
    <n v="1477"/>
    <n v="479"/>
    <n v="365"/>
    <n v="5527"/>
    <x v="35"/>
    <n v="844"/>
    <x v="0"/>
  </r>
  <r>
    <d v="2025-02-27T00:00:00"/>
    <s v="Adult"/>
    <x v="13"/>
    <n v="434"/>
    <n v="316"/>
    <n v="190"/>
    <n v="45"/>
    <n v="985"/>
    <x v="35"/>
    <n v="235"/>
    <x v="0"/>
  </r>
  <r>
    <d v="2025-02-27T00:00:00"/>
    <s v="Adult"/>
    <x v="41"/>
    <n v="22389"/>
    <n v="8394"/>
    <n v="3612"/>
    <n v="4959"/>
    <n v="39354"/>
    <x v="35"/>
    <n v="8571"/>
    <x v="0"/>
  </r>
  <r>
    <d v="2025-02-27T00:00:00"/>
    <s v="Adult"/>
    <x v="32"/>
    <n v="9021"/>
    <n v="2558"/>
    <n v="784"/>
    <n v="485"/>
    <n v="12849"/>
    <x v="35"/>
    <n v="1269"/>
    <x v="0"/>
  </r>
  <r>
    <d v="2025-02-27T00:00:00"/>
    <s v="Adult"/>
    <x v="17"/>
    <n v="1683"/>
    <n v="652"/>
    <n v="19"/>
    <n v="8"/>
    <n v="2361"/>
    <x v="35"/>
    <n v="27"/>
    <x v="0"/>
  </r>
  <r>
    <d v="2025-02-27T00:00:00"/>
    <s v="Adult"/>
    <x v="4"/>
    <n v="2386"/>
    <n v="1208"/>
    <n v="348"/>
    <n v="370"/>
    <n v="4312"/>
    <x v="35"/>
    <n v="718"/>
    <x v="0"/>
  </r>
  <r>
    <d v="2025-02-27T00:00:00"/>
    <s v="Adult"/>
    <x v="43"/>
    <n v="23849"/>
    <n v="7232"/>
    <n v="2917"/>
    <n v="4255"/>
    <n v="38254"/>
    <x v="35"/>
    <n v="7172"/>
    <x v="0"/>
  </r>
  <r>
    <d v="2025-02-27T00:00:00"/>
    <s v="Adult"/>
    <x v="22"/>
    <n v="3853"/>
    <n v="1221"/>
    <n v="259"/>
    <n v="222"/>
    <n v="5554"/>
    <x v="35"/>
    <n v="481"/>
    <x v="0"/>
  </r>
  <r>
    <d v="2025-02-27T00:00:00"/>
    <s v="Adult"/>
    <x v="2"/>
    <n v="3180"/>
    <n v="1321"/>
    <n v="478"/>
    <n v="334"/>
    <n v="5314"/>
    <x v="35"/>
    <n v="812"/>
    <x v="0"/>
  </r>
  <r>
    <d v="2025-02-27T00:00:00"/>
    <s v="Adult"/>
    <x v="26"/>
    <n v="4656"/>
    <n v="1733"/>
    <n v="629"/>
    <n v="816"/>
    <n v="7834"/>
    <x v="35"/>
    <n v="1445"/>
    <x v="0"/>
  </r>
  <r>
    <d v="2025-02-27T00:00:00"/>
    <s v="Adult"/>
    <x v="20"/>
    <n v="2699"/>
    <n v="928"/>
    <n v="296"/>
    <n v="197"/>
    <n v="4121"/>
    <x v="35"/>
    <n v="493"/>
    <x v="0"/>
  </r>
  <r>
    <d v="2025-02-27T00:00:00"/>
    <s v="Adult"/>
    <x v="15"/>
    <n v="6560"/>
    <n v="2286"/>
    <n v="675"/>
    <n v="101"/>
    <n v="9621"/>
    <x v="35"/>
    <n v="776"/>
    <x v="0"/>
  </r>
  <r>
    <d v="2025-02-27T00:00:00"/>
    <s v="Adult"/>
    <x v="14"/>
    <n v="2147"/>
    <n v="690"/>
    <n v="77"/>
    <n v="1"/>
    <n v="2915"/>
    <x v="35"/>
    <n v="78"/>
    <x v="0"/>
  </r>
  <r>
    <d v="2025-02-27T00:00:00"/>
    <s v="Adult"/>
    <x v="29"/>
    <n v="1973"/>
    <n v="1015"/>
    <n v="474"/>
    <n v="228"/>
    <n v="3690"/>
    <x v="35"/>
    <n v="702"/>
    <x v="0"/>
  </r>
  <r>
    <d v="2025-02-27T00:00:00"/>
    <s v="Adult"/>
    <x v="11"/>
    <n v="359"/>
    <n v="245"/>
    <n v="199"/>
    <n v="70"/>
    <n v="873"/>
    <x v="35"/>
    <n v="269"/>
    <x v="0"/>
  </r>
  <r>
    <d v="2025-02-27T00:00:00"/>
    <s v="Adult"/>
    <x v="27"/>
    <n v="8998"/>
    <n v="4513"/>
    <n v="1304"/>
    <n v="299"/>
    <n v="15114"/>
    <x v="35"/>
    <n v="1603"/>
    <x v="0"/>
  </r>
  <r>
    <d v="2025-02-27T00:00:00"/>
    <s v="Adult"/>
    <x v="0"/>
    <n v="3945"/>
    <n v="1546"/>
    <n v="211"/>
    <n v="13"/>
    <n v="5715"/>
    <x v="35"/>
    <n v="224"/>
    <x v="0"/>
  </r>
  <r>
    <d v="2025-02-27T00:00:00"/>
    <s v="Adult"/>
    <x v="21"/>
    <n v="2193"/>
    <n v="497"/>
    <n v="39"/>
    <n v="4"/>
    <n v="2733"/>
    <x v="35"/>
    <n v="43"/>
    <x v="0"/>
  </r>
  <r>
    <d v="2025-02-27T00:00:00"/>
    <s v="Adult"/>
    <x v="7"/>
    <n v="2547"/>
    <n v="563"/>
    <n v="108"/>
    <n v="56"/>
    <n v="3274"/>
    <x v="35"/>
    <n v="164"/>
    <x v="0"/>
  </r>
  <r>
    <d v="2025-02-27T00:00:00"/>
    <s v="Adult"/>
    <x v="38"/>
    <n v="6084"/>
    <n v="3022"/>
    <n v="1406"/>
    <n v="1238"/>
    <n v="11750"/>
    <x v="35"/>
    <n v="2644"/>
    <x v="0"/>
  </r>
  <r>
    <d v="2025-02-27T00:00:00"/>
    <s v="Adult"/>
    <x v="35"/>
    <n v="6835"/>
    <n v="2173"/>
    <n v="980"/>
    <n v="1062"/>
    <n v="11050"/>
    <x v="35"/>
    <n v="2042"/>
    <x v="0"/>
  </r>
  <r>
    <d v="2025-02-27T00:00:00"/>
    <s v="Adult"/>
    <x v="36"/>
    <n v="13977"/>
    <n v="8193"/>
    <n v="3608"/>
    <n v="4645"/>
    <n v="30423"/>
    <x v="35"/>
    <n v="8253"/>
    <x v="0"/>
  </r>
  <r>
    <d v="2025-02-27T00:00:00"/>
    <s v="Adult"/>
    <x v="37"/>
    <n v="2002"/>
    <n v="1474"/>
    <n v="987"/>
    <n v="4766"/>
    <n v="9229"/>
    <x v="35"/>
    <n v="5753"/>
    <x v="0"/>
  </r>
  <r>
    <d v="2025-02-27T00:00:00"/>
    <s v="Adult"/>
    <x v="44"/>
    <n v="16801"/>
    <n v="4895"/>
    <n v="1320"/>
    <n v="934"/>
    <n v="23950"/>
    <x v="35"/>
    <n v="2254"/>
    <x v="0"/>
  </r>
  <r>
    <d v="2025-02-27T00:00:00"/>
    <s v="Adult"/>
    <x v="5"/>
    <n v="3637"/>
    <n v="1239"/>
    <n v="578"/>
    <n v="625"/>
    <n v="6079"/>
    <x v="35"/>
    <n v="1203"/>
    <x v="0"/>
  </r>
  <r>
    <d v="2025-02-27T00:00:00"/>
    <s v="Adult"/>
    <x v="45"/>
    <n v="2698"/>
    <n v="1181"/>
    <n v="562"/>
    <n v="411"/>
    <n v="4852"/>
    <x v="35"/>
    <n v="973"/>
    <x v="0"/>
  </r>
  <r>
    <d v="2025-02-27T00:00:00"/>
    <s v="Adult"/>
    <x v="46"/>
    <n v="17616"/>
    <n v="8214"/>
    <n v="3609"/>
    <n v="2127"/>
    <n v="31567"/>
    <x v="35"/>
    <n v="5736"/>
    <x v="0"/>
  </r>
  <r>
    <d v="2025-02-27T00:00:00"/>
    <s v="Adult"/>
    <x v="12"/>
    <n v="14720"/>
    <n v="8227"/>
    <n v="3032"/>
    <n v="1278"/>
    <n v="27257"/>
    <x v="35"/>
    <n v="4310"/>
    <x v="0"/>
  </r>
  <r>
    <d v="2025-02-27T00:00:00"/>
    <s v="Adult"/>
    <x v="8"/>
    <n v="2363"/>
    <n v="827"/>
    <n v="350"/>
    <n v="61"/>
    <n v="3600"/>
    <x v="35"/>
    <n v="411"/>
    <x v="0"/>
  </r>
  <r>
    <d v="2025-02-27T00:00:00"/>
    <s v="Adult"/>
    <x v="19"/>
    <n v="6187"/>
    <n v="2921"/>
    <n v="622"/>
    <n v="116"/>
    <n v="9847"/>
    <x v="35"/>
    <n v="738"/>
    <x v="0"/>
  </r>
  <r>
    <d v="2025-02-27T00:00:00"/>
    <s v="Adult"/>
    <x v="34"/>
    <n v="14634"/>
    <n v="4268"/>
    <n v="1651"/>
    <n v="799"/>
    <n v="21352"/>
    <x v="35"/>
    <n v="2450"/>
    <x v="0"/>
  </r>
  <r>
    <d v="2025-02-27T00:00:00"/>
    <s v="Adult"/>
    <x v="42"/>
    <n v="20481"/>
    <n v="10475"/>
    <n v="4745"/>
    <n v="4841"/>
    <n v="40542"/>
    <x v="35"/>
    <n v="9586"/>
    <x v="0"/>
  </r>
  <r>
    <d v="2025-02-27T00:00:00"/>
    <s v="Adult"/>
    <x v="24"/>
    <n v="3148"/>
    <n v="648"/>
    <n v="35"/>
    <n v="8"/>
    <n v="3838"/>
    <x v="35"/>
    <n v="43"/>
    <x v="0"/>
  </r>
  <r>
    <d v="2025-03-27T00:00:00"/>
    <s v="Adult"/>
    <x v="23"/>
    <n v="23471"/>
    <n v="13196"/>
    <n v="3275"/>
    <n v="564"/>
    <n v="40505"/>
    <x v="19"/>
    <n v="3839"/>
    <x v="0"/>
  </r>
  <r>
    <d v="2025-03-27T00:00:00"/>
    <s v="Adult"/>
    <x v="16"/>
    <n v="4014"/>
    <n v="1474"/>
    <n v="277"/>
    <n v="87"/>
    <n v="5852"/>
    <x v="19"/>
    <n v="364"/>
    <x v="0"/>
  </r>
  <r>
    <d v="2025-03-27T00:00:00"/>
    <s v="Adult"/>
    <x v="9"/>
    <n v="1987"/>
    <n v="601"/>
    <n v="158"/>
    <n v="8"/>
    <n v="2754"/>
    <x v="19"/>
    <n v="166"/>
    <x v="0"/>
  </r>
  <r>
    <d v="2025-03-27T00:00:00"/>
    <s v="Adult"/>
    <x v="40"/>
    <n v="12362"/>
    <n v="4381"/>
    <n v="1409"/>
    <n v="1754"/>
    <n v="19907"/>
    <x v="19"/>
    <n v="3163"/>
    <x v="0"/>
  </r>
  <r>
    <d v="2025-03-27T00:00:00"/>
    <s v="Adult"/>
    <x v="3"/>
    <n v="3218"/>
    <n v="1583"/>
    <n v="504"/>
    <n v="385"/>
    <n v="5689"/>
    <x v="19"/>
    <n v="889"/>
    <x v="0"/>
  </r>
  <r>
    <d v="2025-03-27T00:00:00"/>
    <s v="Adult"/>
    <x v="13"/>
    <n v="439"/>
    <n v="345"/>
    <n v="208"/>
    <n v="57"/>
    <n v="1049"/>
    <x v="19"/>
    <n v="265"/>
    <x v="0"/>
  </r>
  <r>
    <d v="2025-03-27T00:00:00"/>
    <s v="Adult"/>
    <x v="41"/>
    <n v="23650"/>
    <n v="8688"/>
    <n v="3703"/>
    <n v="4849"/>
    <n v="40890"/>
    <x v="19"/>
    <n v="8552"/>
    <x v="0"/>
  </r>
  <r>
    <d v="2025-03-27T00:00:00"/>
    <s v="Adult"/>
    <x v="32"/>
    <n v="9213"/>
    <n v="2564"/>
    <n v="772"/>
    <n v="402"/>
    <n v="12951"/>
    <x v="19"/>
    <n v="1174"/>
    <x v="0"/>
  </r>
  <r>
    <d v="2025-03-27T00:00:00"/>
    <s v="Adult"/>
    <x v="4"/>
    <n v="2335"/>
    <n v="1200"/>
    <n v="339"/>
    <n v="386"/>
    <n v="4259"/>
    <x v="19"/>
    <n v="725"/>
    <x v="0"/>
  </r>
  <r>
    <d v="2025-03-27T00:00:00"/>
    <s v="Adult"/>
    <x v="43"/>
    <n v="24256"/>
    <n v="7546"/>
    <n v="3039"/>
    <n v="4225"/>
    <n v="39066"/>
    <x v="19"/>
    <n v="7264"/>
    <x v="0"/>
  </r>
  <r>
    <d v="2025-03-27T00:00:00"/>
    <s v="Adult"/>
    <x v="22"/>
    <n v="4041"/>
    <n v="1293"/>
    <n v="290"/>
    <n v="232"/>
    <n v="5855"/>
    <x v="19"/>
    <n v="522"/>
    <x v="0"/>
  </r>
  <r>
    <d v="2025-03-27T00:00:00"/>
    <s v="Adult"/>
    <x v="2"/>
    <n v="3084"/>
    <n v="1338"/>
    <n v="450"/>
    <n v="300"/>
    <n v="5172"/>
    <x v="19"/>
    <n v="750"/>
    <x v="0"/>
  </r>
  <r>
    <d v="2025-03-27T00:00:00"/>
    <s v="Adult"/>
    <x v="26"/>
    <n v="4788"/>
    <n v="1694"/>
    <n v="634"/>
    <n v="824"/>
    <n v="7940"/>
    <x v="19"/>
    <n v="1458"/>
    <x v="0"/>
  </r>
  <r>
    <d v="2025-03-27T00:00:00"/>
    <s v="Adult"/>
    <x v="20"/>
    <n v="2796"/>
    <n v="960"/>
    <n v="398"/>
    <n v="208"/>
    <n v="4362"/>
    <x v="19"/>
    <n v="606"/>
    <x v="0"/>
  </r>
  <r>
    <d v="2025-03-27T00:00:00"/>
    <s v="Adult"/>
    <x v="15"/>
    <n v="6587"/>
    <n v="2312"/>
    <n v="676"/>
    <n v="98"/>
    <n v="9674"/>
    <x v="19"/>
    <n v="774"/>
    <x v="0"/>
  </r>
  <r>
    <d v="2025-03-27T00:00:00"/>
    <s v="Adult"/>
    <x v="29"/>
    <n v="1945"/>
    <n v="997"/>
    <n v="520"/>
    <n v="229"/>
    <n v="3692"/>
    <x v="19"/>
    <n v="749"/>
    <x v="0"/>
  </r>
  <r>
    <d v="2025-03-27T00:00:00"/>
    <s v="Adult"/>
    <x v="11"/>
    <n v="356"/>
    <n v="256"/>
    <n v="192"/>
    <n v="107"/>
    <n v="910"/>
    <x v="19"/>
    <n v="299"/>
    <x v="0"/>
  </r>
  <r>
    <d v="2025-03-27T00:00:00"/>
    <s v="Adult"/>
    <x v="27"/>
    <n v="9053"/>
    <n v="4618"/>
    <n v="1420"/>
    <n v="382"/>
    <n v="15473"/>
    <x v="19"/>
    <n v="1802"/>
    <x v="0"/>
  </r>
  <r>
    <d v="2025-03-27T00:00:00"/>
    <s v="Adult"/>
    <x v="0"/>
    <n v="3918"/>
    <n v="1627"/>
    <n v="266"/>
    <n v="4"/>
    <n v="5815"/>
    <x v="19"/>
    <n v="270"/>
    <x v="0"/>
  </r>
  <r>
    <d v="2025-03-27T00:00:00"/>
    <s v="Adult"/>
    <x v="21"/>
    <n v="2189"/>
    <n v="487"/>
    <n v="31"/>
    <n v="3"/>
    <n v="2710"/>
    <x v="19"/>
    <n v="34"/>
    <x v="0"/>
  </r>
  <r>
    <d v="2025-03-27T00:00:00"/>
    <s v="Adult"/>
    <x v="7"/>
    <n v="2657"/>
    <n v="562"/>
    <n v="87"/>
    <n v="44"/>
    <n v="3350"/>
    <x v="19"/>
    <n v="131"/>
    <x v="0"/>
  </r>
  <r>
    <d v="2025-03-27T00:00:00"/>
    <s v="Adult"/>
    <x v="38"/>
    <n v="6081"/>
    <n v="3073"/>
    <n v="1389"/>
    <n v="1206"/>
    <n v="11749"/>
    <x v="19"/>
    <n v="2595"/>
    <x v="0"/>
  </r>
  <r>
    <d v="2025-03-27T00:00:00"/>
    <s v="Adult"/>
    <x v="35"/>
    <n v="6800"/>
    <n v="2182"/>
    <n v="915"/>
    <n v="1118"/>
    <n v="11015"/>
    <x v="19"/>
    <n v="2033"/>
    <x v="0"/>
  </r>
  <r>
    <d v="2025-03-27T00:00:00"/>
    <s v="Adult"/>
    <x v="36"/>
    <n v="14095"/>
    <n v="8090"/>
    <n v="3694"/>
    <n v="4579"/>
    <n v="30458"/>
    <x v="19"/>
    <n v="8273"/>
    <x v="0"/>
  </r>
  <r>
    <d v="2025-03-27T00:00:00"/>
    <s v="Adult"/>
    <x v="37"/>
    <n v="1867"/>
    <n v="1375"/>
    <n v="994"/>
    <n v="4908"/>
    <n v="9143"/>
    <x v="19"/>
    <n v="5902"/>
    <x v="0"/>
  </r>
  <r>
    <d v="2025-03-27T00:00:00"/>
    <s v="Adult"/>
    <x v="44"/>
    <n v="16993"/>
    <n v="5017"/>
    <n v="1416"/>
    <n v="946"/>
    <n v="24371"/>
    <x v="19"/>
    <n v="2362"/>
    <x v="0"/>
  </r>
  <r>
    <d v="2025-03-27T00:00:00"/>
    <s v="Adult"/>
    <x v="5"/>
    <n v="3598"/>
    <n v="1319"/>
    <n v="534"/>
    <n v="657"/>
    <n v="6107"/>
    <x v="19"/>
    <n v="1191"/>
    <x v="0"/>
  </r>
  <r>
    <d v="2025-03-27T00:00:00"/>
    <s v="Adult"/>
    <x v="45"/>
    <n v="2767"/>
    <n v="1112"/>
    <n v="561"/>
    <n v="362"/>
    <n v="4801"/>
    <x v="19"/>
    <n v="923"/>
    <x v="0"/>
  </r>
  <r>
    <d v="2025-03-27T00:00:00"/>
    <s v="Adult"/>
    <x v="46"/>
    <n v="17812"/>
    <n v="8079"/>
    <n v="3701"/>
    <n v="2103"/>
    <n v="31696"/>
    <x v="19"/>
    <n v="5804"/>
    <x v="0"/>
  </r>
  <r>
    <d v="2025-03-27T00:00:00"/>
    <s v="Adult"/>
    <x v="12"/>
    <n v="14621"/>
    <n v="8364"/>
    <n v="2990"/>
    <n v="1153"/>
    <n v="27127"/>
    <x v="19"/>
    <n v="4143"/>
    <x v="0"/>
  </r>
  <r>
    <d v="2025-03-27T00:00:00"/>
    <s v="Adult"/>
    <x v="8"/>
    <n v="2345"/>
    <n v="895"/>
    <n v="366"/>
    <n v="77"/>
    <n v="3684"/>
    <x v="19"/>
    <n v="443"/>
    <x v="0"/>
  </r>
  <r>
    <d v="2025-03-27T00:00:00"/>
    <s v="Adult"/>
    <x v="19"/>
    <n v="6036"/>
    <n v="2883"/>
    <n v="626"/>
    <n v="132"/>
    <n v="9676"/>
    <x v="19"/>
    <n v="758"/>
    <x v="0"/>
  </r>
  <r>
    <d v="2025-03-27T00:00:00"/>
    <s v="Adult"/>
    <x v="34"/>
    <n v="14955"/>
    <n v="4280"/>
    <n v="1719"/>
    <n v="903"/>
    <n v="21858"/>
    <x v="19"/>
    <n v="2622"/>
    <x v="0"/>
  </r>
  <r>
    <d v="2025-03-27T00:00:00"/>
    <s v="Adult"/>
    <x v="42"/>
    <n v="20244"/>
    <n v="10688"/>
    <n v="4675"/>
    <n v="4840"/>
    <n v="40448"/>
    <x v="19"/>
    <n v="9515"/>
    <x v="0"/>
  </r>
  <r>
    <d v="2025-03-27T00:00:00"/>
    <s v="Adult"/>
    <x v="24"/>
    <n v="3376"/>
    <n v="658"/>
    <n v="37"/>
    <n v="22"/>
    <n v="4092"/>
    <x v="19"/>
    <n v="59"/>
    <x v="0"/>
  </r>
  <r>
    <d v="2025-04-24T00:00:00"/>
    <s v="Adult"/>
    <x v="23"/>
    <n v="21522"/>
    <n v="13995"/>
    <n v="3853"/>
    <n v="650"/>
    <n v="40021"/>
    <x v="5"/>
    <n v="4503"/>
    <x v="0"/>
  </r>
  <r>
    <d v="2025-04-24T00:00:00"/>
    <s v="Adult"/>
    <x v="16"/>
    <n v="4072"/>
    <n v="1495"/>
    <n v="305"/>
    <n v="104"/>
    <n v="5976"/>
    <x v="5"/>
    <n v="409"/>
    <x v="0"/>
  </r>
  <r>
    <d v="2025-04-24T00:00:00"/>
    <s v="Adult"/>
    <x v="9"/>
    <n v="1977"/>
    <n v="634"/>
    <n v="183"/>
    <n v="10"/>
    <n v="2804"/>
    <x v="5"/>
    <n v="193"/>
    <x v="0"/>
  </r>
  <r>
    <d v="2025-04-24T00:00:00"/>
    <s v="Adult"/>
    <x v="40"/>
    <n v="12317"/>
    <n v="4387"/>
    <n v="1495"/>
    <n v="1741"/>
    <n v="19941"/>
    <x v="5"/>
    <n v="3236"/>
    <x v="0"/>
  </r>
  <r>
    <d v="2025-04-24T00:00:00"/>
    <s v="Adult"/>
    <x v="3"/>
    <n v="3227"/>
    <n v="1626"/>
    <n v="573"/>
    <n v="400"/>
    <n v="5826"/>
    <x v="5"/>
    <n v="973"/>
    <x v="0"/>
  </r>
  <r>
    <d v="2025-04-24T00:00:00"/>
    <s v="Adult"/>
    <x v="13"/>
    <n v="421"/>
    <n v="344"/>
    <n v="219"/>
    <n v="72"/>
    <n v="1056"/>
    <x v="5"/>
    <n v="291"/>
    <x v="0"/>
  </r>
  <r>
    <d v="2025-04-24T00:00:00"/>
    <s v="Adult"/>
    <x v="41"/>
    <n v="22862"/>
    <n v="8482"/>
    <n v="3693"/>
    <n v="4860"/>
    <n v="39898"/>
    <x v="5"/>
    <n v="8553"/>
    <x v="0"/>
  </r>
  <r>
    <d v="2025-04-24T00:00:00"/>
    <s v="Adult"/>
    <x v="32"/>
    <n v="9365"/>
    <n v="2642"/>
    <n v="757"/>
    <n v="390"/>
    <n v="13154"/>
    <x v="5"/>
    <n v="1147"/>
    <x v="0"/>
  </r>
  <r>
    <d v="2025-04-24T00:00:00"/>
    <s v="Adult"/>
    <x v="17"/>
    <n v="1778"/>
    <n v="678"/>
    <n v="53"/>
    <n v="10"/>
    <n v="2519"/>
    <x v="5"/>
    <n v="63"/>
    <x v="0"/>
  </r>
  <r>
    <d v="2025-04-24T00:00:00"/>
    <s v="Adult"/>
    <x v="4"/>
    <n v="2319"/>
    <n v="1170"/>
    <n v="375"/>
    <n v="410"/>
    <n v="4274"/>
    <x v="5"/>
    <n v="785"/>
    <x v="0"/>
  </r>
  <r>
    <d v="2025-04-24T00:00:00"/>
    <s v="Adult"/>
    <x v="43"/>
    <n v="24137"/>
    <n v="8069"/>
    <n v="3029"/>
    <n v="4147"/>
    <n v="39381"/>
    <x v="5"/>
    <n v="7176"/>
    <x v="0"/>
  </r>
  <r>
    <d v="2025-04-24T00:00:00"/>
    <s v="Adult"/>
    <x v="22"/>
    <n v="3902"/>
    <n v="1400"/>
    <n v="296"/>
    <n v="241"/>
    <n v="5838"/>
    <x v="5"/>
    <n v="537"/>
    <x v="0"/>
  </r>
  <r>
    <d v="2025-04-24T00:00:00"/>
    <s v="Adult"/>
    <x v="2"/>
    <n v="3202"/>
    <n v="1343"/>
    <n v="506"/>
    <n v="221"/>
    <n v="5271"/>
    <x v="5"/>
    <n v="727"/>
    <x v="0"/>
  </r>
  <r>
    <d v="2025-04-24T00:00:00"/>
    <s v="Adult"/>
    <x v="26"/>
    <n v="4648"/>
    <n v="1729"/>
    <n v="681"/>
    <n v="858"/>
    <n v="7917"/>
    <x v="5"/>
    <n v="1539"/>
    <x v="0"/>
  </r>
  <r>
    <d v="2025-04-24T00:00:00"/>
    <s v="Adult"/>
    <x v="20"/>
    <n v="2704"/>
    <n v="953"/>
    <n v="350"/>
    <n v="195"/>
    <n v="4203"/>
    <x v="5"/>
    <n v="545"/>
    <x v="0"/>
  </r>
  <r>
    <d v="2025-04-24T00:00:00"/>
    <s v="Adult"/>
    <x v="15"/>
    <n v="6609"/>
    <n v="2401"/>
    <n v="710"/>
    <n v="147"/>
    <n v="9866"/>
    <x v="5"/>
    <n v="857"/>
    <x v="0"/>
  </r>
  <r>
    <d v="2025-04-24T00:00:00"/>
    <s v="Adult"/>
    <x v="29"/>
    <n v="1749"/>
    <n v="1046"/>
    <n v="517"/>
    <n v="246"/>
    <n v="3558"/>
    <x v="5"/>
    <n v="763"/>
    <x v="0"/>
  </r>
  <r>
    <d v="2025-04-24T00:00:00"/>
    <s v="Adult"/>
    <x v="11"/>
    <n v="384"/>
    <n v="266"/>
    <n v="186"/>
    <n v="128"/>
    <n v="964"/>
    <x v="5"/>
    <n v="314"/>
    <x v="0"/>
  </r>
  <r>
    <d v="2025-04-24T00:00:00"/>
    <s v="Adult"/>
    <x v="27"/>
    <n v="8904"/>
    <n v="4689"/>
    <n v="1477"/>
    <n v="372"/>
    <n v="15441"/>
    <x v="5"/>
    <n v="1849"/>
    <x v="0"/>
  </r>
  <r>
    <d v="2025-04-24T00:00:00"/>
    <s v="Adult"/>
    <x v="0"/>
    <n v="3908"/>
    <n v="1671"/>
    <n v="307"/>
    <n v="23"/>
    <n v="5909"/>
    <x v="5"/>
    <n v="330"/>
    <x v="0"/>
  </r>
  <r>
    <d v="2025-04-24T00:00:00"/>
    <s v="Adult"/>
    <x v="7"/>
    <n v="2680"/>
    <n v="562"/>
    <n v="126"/>
    <n v="34"/>
    <n v="3401"/>
    <x v="5"/>
    <n v="160"/>
    <x v="0"/>
  </r>
  <r>
    <d v="2025-04-24T00:00:00"/>
    <s v="Adult"/>
    <x v="38"/>
    <n v="6268"/>
    <n v="3179"/>
    <n v="1298"/>
    <n v="1247"/>
    <n v="11992"/>
    <x v="5"/>
    <n v="2545"/>
    <x v="0"/>
  </r>
  <r>
    <d v="2025-04-24T00:00:00"/>
    <s v="Adult"/>
    <x v="35"/>
    <n v="6980"/>
    <n v="2172"/>
    <n v="920"/>
    <n v="1182"/>
    <n v="11255"/>
    <x v="5"/>
    <n v="2102"/>
    <x v="0"/>
  </r>
  <r>
    <d v="2025-04-24T00:00:00"/>
    <s v="Adult"/>
    <x v="36"/>
    <n v="14355"/>
    <n v="7902"/>
    <n v="3850"/>
    <n v="4469"/>
    <n v="30577"/>
    <x v="5"/>
    <n v="8319"/>
    <x v="0"/>
  </r>
  <r>
    <d v="2025-04-24T00:00:00"/>
    <s v="Adult"/>
    <x v="37"/>
    <n v="1918"/>
    <n v="1467"/>
    <n v="994"/>
    <n v="4926"/>
    <n v="9305"/>
    <x v="5"/>
    <n v="5920"/>
    <x v="0"/>
  </r>
  <r>
    <d v="2025-04-24T00:00:00"/>
    <s v="Adult"/>
    <x v="44"/>
    <n v="17261"/>
    <n v="5213"/>
    <n v="1567"/>
    <n v="961"/>
    <n v="25002"/>
    <x v="5"/>
    <n v="2528"/>
    <x v="0"/>
  </r>
  <r>
    <d v="2025-04-24T00:00:00"/>
    <s v="Adult"/>
    <x v="1"/>
    <n v="365"/>
    <n v="156"/>
    <n v="6"/>
    <n v="1"/>
    <n v="528"/>
    <x v="5"/>
    <n v="7"/>
    <x v="0"/>
  </r>
  <r>
    <d v="2025-04-24T00:00:00"/>
    <s v="Adult"/>
    <x v="5"/>
    <n v="3500"/>
    <n v="1271"/>
    <n v="505"/>
    <n v="817"/>
    <n v="6093"/>
    <x v="5"/>
    <n v="1322"/>
    <x v="0"/>
  </r>
  <r>
    <d v="2025-04-24T00:00:00"/>
    <s v="Adult"/>
    <x v="45"/>
    <n v="2815"/>
    <n v="1144"/>
    <n v="588"/>
    <n v="394"/>
    <n v="4941"/>
    <x v="5"/>
    <n v="982"/>
    <x v="0"/>
  </r>
  <r>
    <d v="2025-04-24T00:00:00"/>
    <s v="Adult"/>
    <x v="46"/>
    <n v="18041"/>
    <n v="8017"/>
    <n v="3912"/>
    <n v="2264"/>
    <n v="32235"/>
    <x v="5"/>
    <n v="6176"/>
    <x v="0"/>
  </r>
  <r>
    <d v="2025-04-24T00:00:00"/>
    <s v="Adult"/>
    <x v="12"/>
    <n v="14097"/>
    <n v="8431"/>
    <n v="2876"/>
    <n v="1173"/>
    <n v="26578"/>
    <x v="5"/>
    <n v="4049"/>
    <x v="0"/>
  </r>
  <r>
    <d v="2025-04-24T00:00:00"/>
    <s v="Adult"/>
    <x v="8"/>
    <n v="2305"/>
    <n v="907"/>
    <n v="359"/>
    <n v="70"/>
    <n v="3640"/>
    <x v="5"/>
    <n v="429"/>
    <x v="0"/>
  </r>
  <r>
    <d v="2025-04-24T00:00:00"/>
    <s v="Adult"/>
    <x v="19"/>
    <n v="6666"/>
    <n v="2727"/>
    <n v="725"/>
    <n v="117"/>
    <n v="10234"/>
    <x v="5"/>
    <n v="842"/>
    <x v="0"/>
  </r>
  <r>
    <d v="2025-04-24T00:00:00"/>
    <s v="Adult"/>
    <x v="34"/>
    <n v="14847"/>
    <n v="4214"/>
    <n v="1806"/>
    <n v="952"/>
    <n v="21819"/>
    <x v="5"/>
    <n v="2758"/>
    <x v="0"/>
  </r>
  <r>
    <d v="2025-04-24T00:00:00"/>
    <s v="Adult"/>
    <x v="42"/>
    <n v="20579"/>
    <n v="10934"/>
    <n v="4599"/>
    <n v="5048"/>
    <n v="41160"/>
    <x v="5"/>
    <n v="9647"/>
    <x v="0"/>
  </r>
  <r>
    <d v="2025-04-24T00:00:00"/>
    <s v="Adult"/>
    <x v="24"/>
    <n v="3481"/>
    <n v="649"/>
    <n v="51"/>
    <n v="23"/>
    <n v="4204"/>
    <x v="5"/>
    <n v="74"/>
    <x v="0"/>
  </r>
  <r>
    <d v="2025-05-29T00:00:00"/>
    <s v="Adult"/>
    <x v="23"/>
    <n v="21815"/>
    <n v="11643"/>
    <n v="4116"/>
    <n v="659"/>
    <n v="38233"/>
    <x v="20"/>
    <n v="4775"/>
    <x v="0"/>
  </r>
  <r>
    <d v="2025-05-29T00:00:00"/>
    <s v="Adult"/>
    <x v="16"/>
    <n v="4276"/>
    <n v="1501"/>
    <n v="350"/>
    <n v="95"/>
    <n v="6222"/>
    <x v="20"/>
    <n v="445"/>
    <x v="0"/>
  </r>
  <r>
    <d v="2025-05-29T00:00:00"/>
    <s v="Adult"/>
    <x v="40"/>
    <n v="12585"/>
    <n v="4155"/>
    <n v="1417"/>
    <n v="1297"/>
    <n v="19454"/>
    <x v="20"/>
    <n v="2714"/>
    <x v="0"/>
  </r>
  <r>
    <d v="2025-05-29T00:00:00"/>
    <s v="Adult"/>
    <x v="3"/>
    <n v="3240"/>
    <n v="1694"/>
    <n v="630"/>
    <n v="412"/>
    <n v="5976"/>
    <x v="20"/>
    <n v="1042"/>
    <x v="0"/>
  </r>
  <r>
    <d v="2025-05-29T00:00:00"/>
    <s v="Adult"/>
    <x v="13"/>
    <n v="396"/>
    <n v="331"/>
    <n v="239"/>
    <n v="107"/>
    <n v="1073"/>
    <x v="20"/>
    <n v="346"/>
    <x v="0"/>
  </r>
  <r>
    <d v="2025-05-29T00:00:00"/>
    <s v="Adult"/>
    <x v="41"/>
    <n v="23044"/>
    <n v="7946"/>
    <n v="3971"/>
    <n v="4982"/>
    <n v="39943"/>
    <x v="20"/>
    <n v="8953"/>
    <x v="0"/>
  </r>
  <r>
    <d v="2025-05-29T00:00:00"/>
    <s v="Adult"/>
    <x v="32"/>
    <n v="9171"/>
    <n v="2635"/>
    <n v="748"/>
    <n v="338"/>
    <n v="12893"/>
    <x v="20"/>
    <n v="1086"/>
    <x v="0"/>
  </r>
  <r>
    <d v="2025-05-29T00:00:00"/>
    <s v="Adult"/>
    <x v="4"/>
    <n v="2253"/>
    <n v="1169"/>
    <n v="360"/>
    <n v="452"/>
    <n v="4234"/>
    <x v="20"/>
    <n v="812"/>
    <x v="0"/>
  </r>
  <r>
    <d v="2025-05-29T00:00:00"/>
    <s v="Adult"/>
    <x v="43"/>
    <n v="25030"/>
    <n v="8228"/>
    <n v="3131"/>
    <n v="3964"/>
    <n v="40353"/>
    <x v="20"/>
    <n v="7095"/>
    <x v="0"/>
  </r>
  <r>
    <d v="2025-05-29T00:00:00"/>
    <s v="Adult"/>
    <x v="22"/>
    <n v="3790"/>
    <n v="1454"/>
    <n v="347"/>
    <n v="261"/>
    <n v="5852"/>
    <x v="20"/>
    <n v="608"/>
    <x v="0"/>
  </r>
  <r>
    <d v="2025-05-29T00:00:00"/>
    <s v="Adult"/>
    <x v="2"/>
    <n v="3350"/>
    <n v="1268"/>
    <n v="522"/>
    <n v="251"/>
    <n v="5390"/>
    <x v="20"/>
    <n v="773"/>
    <x v="0"/>
  </r>
  <r>
    <d v="2025-05-29T00:00:00"/>
    <s v="Adult"/>
    <x v="26"/>
    <n v="4846"/>
    <n v="1479"/>
    <n v="703"/>
    <n v="864"/>
    <n v="7893"/>
    <x v="20"/>
    <n v="1567"/>
    <x v="0"/>
  </r>
  <r>
    <d v="2025-05-29T00:00:00"/>
    <s v="Adult"/>
    <x v="20"/>
    <n v="2635"/>
    <n v="817"/>
    <n v="235"/>
    <n v="187"/>
    <n v="3873"/>
    <x v="20"/>
    <n v="422"/>
    <x v="0"/>
  </r>
  <r>
    <d v="2025-05-29T00:00:00"/>
    <s v="Adult"/>
    <x v="15"/>
    <n v="6955"/>
    <n v="2599"/>
    <n v="750"/>
    <n v="162"/>
    <n v="10465"/>
    <x v="20"/>
    <n v="912"/>
    <x v="0"/>
  </r>
  <r>
    <d v="2025-05-29T00:00:00"/>
    <s v="Adult"/>
    <x v="14"/>
    <n v="2087"/>
    <n v="729"/>
    <n v="125"/>
    <n v="1"/>
    <n v="2942"/>
    <x v="20"/>
    <n v="126"/>
    <x v="0"/>
  </r>
  <r>
    <d v="2025-05-29T00:00:00"/>
    <s v="Adult"/>
    <x v="29"/>
    <n v="1741"/>
    <n v="982"/>
    <n v="520"/>
    <n v="231"/>
    <n v="3474"/>
    <x v="20"/>
    <n v="751"/>
    <x v="0"/>
  </r>
  <r>
    <d v="2025-05-29T00:00:00"/>
    <s v="Adult"/>
    <x v="11"/>
    <n v="388"/>
    <n v="268"/>
    <n v="212"/>
    <n v="151"/>
    <n v="1019"/>
    <x v="20"/>
    <n v="363"/>
    <x v="0"/>
  </r>
  <r>
    <d v="2025-05-29T00:00:00"/>
    <s v="Adult"/>
    <x v="27"/>
    <n v="9136"/>
    <n v="4813"/>
    <n v="1705"/>
    <n v="461"/>
    <n v="16116"/>
    <x v="20"/>
    <n v="2166"/>
    <x v="0"/>
  </r>
  <r>
    <d v="2025-05-29T00:00:00"/>
    <s v="Adult"/>
    <x v="0"/>
    <n v="3954"/>
    <n v="1603"/>
    <n v="424"/>
    <n v="36"/>
    <n v="6018"/>
    <x v="20"/>
    <n v="460"/>
    <x v="0"/>
  </r>
  <r>
    <d v="2025-05-29T00:00:00"/>
    <s v="Adult"/>
    <x v="7"/>
    <n v="2786"/>
    <n v="557"/>
    <n v="127"/>
    <n v="15"/>
    <n v="3485"/>
    <x v="20"/>
    <n v="142"/>
    <x v="0"/>
  </r>
  <r>
    <d v="2025-05-29T00:00:00"/>
    <s v="Adult"/>
    <x v="38"/>
    <n v="6621"/>
    <n v="3257"/>
    <n v="1335"/>
    <n v="1074"/>
    <n v="12287"/>
    <x v="20"/>
    <n v="2409"/>
    <x v="0"/>
  </r>
  <r>
    <d v="2025-05-29T00:00:00"/>
    <s v="Adult"/>
    <x v="35"/>
    <n v="7370"/>
    <n v="2058"/>
    <n v="900"/>
    <n v="1215"/>
    <n v="11543"/>
    <x v="20"/>
    <n v="2115"/>
    <x v="0"/>
  </r>
  <r>
    <d v="2025-05-29T00:00:00"/>
    <s v="Adult"/>
    <x v="36"/>
    <n v="14371"/>
    <n v="7529"/>
    <n v="4002"/>
    <n v="4459"/>
    <n v="30361"/>
    <x v="20"/>
    <n v="8461"/>
    <x v="0"/>
  </r>
  <r>
    <d v="2025-05-29T00:00:00"/>
    <s v="Adult"/>
    <x v="37"/>
    <n v="2160"/>
    <n v="1471"/>
    <n v="1020"/>
    <n v="4944"/>
    <n v="9595"/>
    <x v="20"/>
    <n v="5964"/>
    <x v="0"/>
  </r>
  <r>
    <d v="2025-05-29T00:00:00"/>
    <s v="Adult"/>
    <x v="44"/>
    <n v="17442"/>
    <n v="5294"/>
    <n v="1675"/>
    <n v="962"/>
    <n v="25374"/>
    <x v="20"/>
    <n v="2637"/>
    <x v="0"/>
  </r>
  <r>
    <d v="2025-05-29T00:00:00"/>
    <s v="Adult"/>
    <x v="5"/>
    <n v="3164"/>
    <n v="1093"/>
    <n v="401"/>
    <n v="657"/>
    <n v="5315"/>
    <x v="20"/>
    <n v="1058"/>
    <x v="0"/>
  </r>
  <r>
    <d v="2025-05-29T00:00:00"/>
    <s v="Adult"/>
    <x v="45"/>
    <n v="2906"/>
    <n v="1153"/>
    <n v="602"/>
    <n v="427"/>
    <n v="5087"/>
    <x v="20"/>
    <n v="1029"/>
    <x v="0"/>
  </r>
  <r>
    <d v="2025-05-29T00:00:00"/>
    <s v="Adult"/>
    <x v="46"/>
    <n v="18293"/>
    <n v="7802"/>
    <n v="4097"/>
    <n v="2486"/>
    <n v="32678"/>
    <x v="20"/>
    <n v="6583"/>
    <x v="0"/>
  </r>
  <r>
    <d v="2025-05-29T00:00:00"/>
    <s v="Adult"/>
    <x v="12"/>
    <n v="13686"/>
    <n v="8257"/>
    <n v="2616"/>
    <n v="1054"/>
    <n v="25612"/>
    <x v="20"/>
    <n v="3670"/>
    <x v="0"/>
  </r>
  <r>
    <d v="2025-05-29T00:00:00"/>
    <s v="Adult"/>
    <x v="8"/>
    <n v="2355"/>
    <n v="878"/>
    <n v="364"/>
    <n v="66"/>
    <n v="3664"/>
    <x v="20"/>
    <n v="430"/>
    <x v="0"/>
  </r>
  <r>
    <d v="2025-05-29T00:00:00"/>
    <s v="Adult"/>
    <x v="19"/>
    <n v="6847"/>
    <n v="2393"/>
    <n v="722"/>
    <n v="41"/>
    <n v="10002"/>
    <x v="20"/>
    <n v="763"/>
    <x v="0"/>
  </r>
  <r>
    <d v="2025-05-29T00:00:00"/>
    <s v="Adult"/>
    <x v="34"/>
    <n v="15153"/>
    <n v="4481"/>
    <n v="1942"/>
    <n v="989"/>
    <n v="22565"/>
    <x v="20"/>
    <n v="2931"/>
    <x v="0"/>
  </r>
  <r>
    <d v="2025-05-29T00:00:00"/>
    <s v="Adult"/>
    <x v="42"/>
    <n v="21295"/>
    <n v="11163"/>
    <n v="4734"/>
    <n v="5104"/>
    <n v="42296"/>
    <x v="20"/>
    <n v="9838"/>
    <x v="0"/>
  </r>
  <r>
    <d v="2025-05-29T00:00:00"/>
    <s v="Adult"/>
    <x v="24"/>
    <n v="3674"/>
    <n v="731"/>
    <n v="35"/>
    <n v="8"/>
    <n v="4447"/>
    <x v="20"/>
    <n v="43"/>
    <x v="0"/>
  </r>
  <r>
    <d v="2025-06-26T00:00:00"/>
    <s v="Adult"/>
    <x v="23"/>
    <n v="27392"/>
    <n v="11874"/>
    <n v="4949"/>
    <n v="890"/>
    <n v="45105"/>
    <x v="21"/>
    <n v="5839"/>
    <x v="0"/>
  </r>
  <r>
    <d v="2025-06-26T00:00:00"/>
    <s v="Adult"/>
    <x v="16"/>
    <n v="4205"/>
    <n v="1381"/>
    <n v="355"/>
    <n v="72"/>
    <n v="6013"/>
    <x v="21"/>
    <n v="427"/>
    <x v="0"/>
  </r>
  <r>
    <d v="2025-06-26T00:00:00"/>
    <s v="Adult"/>
    <x v="9"/>
    <n v="2220"/>
    <n v="815"/>
    <n v="174"/>
    <n v="5"/>
    <n v="3214"/>
    <x v="21"/>
    <n v="179"/>
    <x v="0"/>
  </r>
  <r>
    <d v="2025-06-26T00:00:00"/>
    <s v="Adult"/>
    <x v="40"/>
    <n v="12882"/>
    <n v="4210"/>
    <n v="1498"/>
    <n v="1120"/>
    <n v="19710"/>
    <x v="21"/>
    <n v="2618"/>
    <x v="0"/>
  </r>
  <r>
    <d v="2025-06-26T00:00:00"/>
    <s v="Adult"/>
    <x v="3"/>
    <n v="3322"/>
    <n v="1757"/>
    <n v="748"/>
    <n v="394"/>
    <n v="6221"/>
    <x v="21"/>
    <n v="1142"/>
    <x v="0"/>
  </r>
  <r>
    <d v="2025-06-26T00:00:00"/>
    <s v="Adult"/>
    <x v="13"/>
    <n v="431"/>
    <n v="339"/>
    <n v="260"/>
    <n v="126"/>
    <n v="1155"/>
    <x v="21"/>
    <n v="386"/>
    <x v="0"/>
  </r>
  <r>
    <d v="2025-06-26T00:00:00"/>
    <s v="Adult"/>
    <x v="41"/>
    <n v="23593"/>
    <n v="8222"/>
    <n v="4218"/>
    <n v="5057"/>
    <n v="41090"/>
    <x v="21"/>
    <n v="9275"/>
    <x v="0"/>
  </r>
  <r>
    <d v="2025-06-26T00:00:00"/>
    <s v="Adult"/>
    <x v="32"/>
    <n v="9543"/>
    <n v="2799"/>
    <n v="753"/>
    <n v="328"/>
    <n v="13423"/>
    <x v="21"/>
    <n v="1081"/>
    <x v="0"/>
  </r>
  <r>
    <d v="2025-06-26T00:00:00"/>
    <s v="Adult"/>
    <x v="4"/>
    <n v="2320"/>
    <n v="1103"/>
    <n v="346"/>
    <n v="354"/>
    <n v="4122"/>
    <x v="21"/>
    <n v="700"/>
    <x v="0"/>
  </r>
  <r>
    <d v="2025-06-26T00:00:00"/>
    <s v="Adult"/>
    <x v="43"/>
    <n v="25231"/>
    <n v="8229"/>
    <n v="3255"/>
    <n v="3806"/>
    <n v="40521"/>
    <x v="21"/>
    <n v="7061"/>
    <x v="0"/>
  </r>
  <r>
    <d v="2025-06-26T00:00:00"/>
    <s v="Adult"/>
    <x v="22"/>
    <n v="4031"/>
    <n v="1420"/>
    <n v="381"/>
    <n v="245"/>
    <n v="6077"/>
    <x v="21"/>
    <n v="626"/>
    <x v="0"/>
  </r>
  <r>
    <d v="2025-06-26T00:00:00"/>
    <s v="Adult"/>
    <x v="2"/>
    <n v="3405"/>
    <n v="1231"/>
    <n v="545"/>
    <n v="231"/>
    <n v="5413"/>
    <x v="21"/>
    <n v="776"/>
    <x v="0"/>
  </r>
  <r>
    <d v="2025-06-26T00:00:00"/>
    <s v="Adult"/>
    <x v="26"/>
    <n v="4870"/>
    <n v="1476"/>
    <n v="708"/>
    <n v="866"/>
    <n v="7920"/>
    <x v="21"/>
    <n v="1574"/>
    <x v="0"/>
  </r>
  <r>
    <d v="2025-06-26T00:00:00"/>
    <s v="Adult"/>
    <x v="20"/>
    <n v="2686"/>
    <n v="733"/>
    <n v="252"/>
    <n v="185"/>
    <n v="3856"/>
    <x v="21"/>
    <n v="437"/>
    <x v="0"/>
  </r>
  <r>
    <d v="2025-06-26T00:00:00"/>
    <s v="Adult"/>
    <x v="15"/>
    <n v="7083"/>
    <n v="2605"/>
    <n v="781"/>
    <n v="147"/>
    <n v="10616"/>
    <x v="21"/>
    <n v="928"/>
    <x v="0"/>
  </r>
  <r>
    <d v="2025-06-26T00:00:00"/>
    <s v="Adult"/>
    <x v="29"/>
    <n v="1635"/>
    <n v="901"/>
    <n v="529"/>
    <n v="245"/>
    <n v="3309"/>
    <x v="21"/>
    <n v="774"/>
    <x v="0"/>
  </r>
  <r>
    <d v="2025-06-26T00:00:00"/>
    <s v="Adult"/>
    <x v="11"/>
    <n v="383"/>
    <n v="285"/>
    <n v="214"/>
    <n v="167"/>
    <n v="1049"/>
    <x v="21"/>
    <n v="381"/>
    <x v="0"/>
  </r>
  <r>
    <d v="2025-06-26T00:00:00"/>
    <s v="Adult"/>
    <x v="27"/>
    <n v="9213"/>
    <n v="4886"/>
    <n v="1974"/>
    <n v="504"/>
    <n v="16577"/>
    <x v="21"/>
    <n v="2478"/>
    <x v="0"/>
  </r>
  <r>
    <d v="2025-06-26T00:00:00"/>
    <s v="Adult"/>
    <x v="0"/>
    <n v="4083"/>
    <n v="1506"/>
    <n v="496"/>
    <n v="34"/>
    <n v="6120"/>
    <x v="21"/>
    <n v="530"/>
    <x v="0"/>
  </r>
  <r>
    <d v="2025-06-26T00:00:00"/>
    <s v="Adult"/>
    <x v="21"/>
    <n v="2303"/>
    <n v="506"/>
    <n v="41"/>
    <n v="5"/>
    <n v="2854"/>
    <x v="21"/>
    <n v="46"/>
    <x v="0"/>
  </r>
  <r>
    <d v="2025-06-26T00:00:00"/>
    <s v="Adult"/>
    <x v="7"/>
    <n v="2925"/>
    <n v="599"/>
    <n v="137"/>
    <n v="12"/>
    <n v="3672"/>
    <x v="21"/>
    <n v="149"/>
    <x v="0"/>
  </r>
  <r>
    <d v="2025-06-26T00:00:00"/>
    <s v="Adult"/>
    <x v="38"/>
    <n v="6710"/>
    <n v="3231"/>
    <n v="1342"/>
    <n v="1054"/>
    <n v="12337"/>
    <x v="21"/>
    <n v="2396"/>
    <x v="0"/>
  </r>
  <r>
    <d v="2025-06-26T00:00:00"/>
    <s v="Adult"/>
    <x v="35"/>
    <n v="7437"/>
    <n v="1991"/>
    <n v="968"/>
    <n v="1261"/>
    <n v="11656"/>
    <x v="21"/>
    <n v="2229"/>
    <x v="0"/>
  </r>
  <r>
    <d v="2025-06-26T00:00:00"/>
    <s v="Adult"/>
    <x v="36"/>
    <n v="14598"/>
    <n v="7124"/>
    <n v="3990"/>
    <n v="4310"/>
    <n v="30022"/>
    <x v="21"/>
    <n v="8300"/>
    <x v="0"/>
  </r>
  <r>
    <d v="2025-06-26T00:00:00"/>
    <s v="Adult"/>
    <x v="37"/>
    <n v="2115"/>
    <n v="1389"/>
    <n v="1030"/>
    <n v="5104"/>
    <n v="9638"/>
    <x v="21"/>
    <n v="6134"/>
    <x v="0"/>
  </r>
  <r>
    <d v="2025-06-26T00:00:00"/>
    <s v="Adult"/>
    <x v="44"/>
    <n v="17821"/>
    <n v="5380"/>
    <n v="1777"/>
    <n v="945"/>
    <n v="25923"/>
    <x v="21"/>
    <n v="2722"/>
    <x v="0"/>
  </r>
  <r>
    <d v="2025-06-26T00:00:00"/>
    <s v="Adult"/>
    <x v="5"/>
    <n v="3139"/>
    <n v="1099"/>
    <n v="426"/>
    <n v="631"/>
    <n v="5295"/>
    <x v="21"/>
    <n v="1057"/>
    <x v="0"/>
  </r>
  <r>
    <d v="2025-06-26T00:00:00"/>
    <s v="Adult"/>
    <x v="45"/>
    <n v="2938"/>
    <n v="1095"/>
    <n v="607"/>
    <n v="460"/>
    <n v="5100"/>
    <x v="21"/>
    <n v="1067"/>
    <x v="0"/>
  </r>
  <r>
    <d v="2025-06-26T00:00:00"/>
    <s v="Adult"/>
    <x v="46"/>
    <n v="19197"/>
    <n v="7736"/>
    <n v="4135"/>
    <n v="2540"/>
    <n v="33608"/>
    <x v="21"/>
    <n v="6675"/>
    <x v="0"/>
  </r>
  <r>
    <d v="2025-06-26T00:00:00"/>
    <s v="Adult"/>
    <x v="12"/>
    <n v="13398"/>
    <n v="8182"/>
    <n v="2552"/>
    <n v="1020"/>
    <n v="25153"/>
    <x v="21"/>
    <n v="3572"/>
    <x v="0"/>
  </r>
  <r>
    <d v="2025-06-26T00:00:00"/>
    <s v="Adult"/>
    <x v="8"/>
    <n v="2327"/>
    <n v="888"/>
    <n v="374"/>
    <n v="63"/>
    <n v="3652"/>
    <x v="21"/>
    <n v="437"/>
    <x v="0"/>
  </r>
  <r>
    <d v="2025-06-26T00:00:00"/>
    <s v="Adult"/>
    <x v="19"/>
    <n v="7087"/>
    <n v="2326"/>
    <n v="784"/>
    <n v="33"/>
    <n v="10230"/>
    <x v="21"/>
    <n v="817"/>
    <x v="0"/>
  </r>
  <r>
    <d v="2025-06-26T00:00:00"/>
    <s v="Adult"/>
    <x v="34"/>
    <n v="15549"/>
    <n v="4606"/>
    <n v="2007"/>
    <n v="1063"/>
    <n v="23225"/>
    <x v="21"/>
    <n v="3070"/>
    <x v="0"/>
  </r>
  <r>
    <d v="2025-06-26T00:00:00"/>
    <s v="Adult"/>
    <x v="42"/>
    <n v="21974"/>
    <n v="11392"/>
    <n v="4793"/>
    <n v="5053"/>
    <n v="43211"/>
    <x v="21"/>
    <n v="9846"/>
    <x v="0"/>
  </r>
  <r>
    <d v="2025-06-26T00:00:00"/>
    <s v="Adult"/>
    <x v="24"/>
    <n v="3704"/>
    <n v="737"/>
    <n v="45"/>
    <n v="4"/>
    <n v="4490"/>
    <x v="21"/>
    <n v="49"/>
    <x v="0"/>
  </r>
  <r>
    <d v="2025-07-31T00:00:00"/>
    <s v="Adult"/>
    <x v="23"/>
    <n v="28406"/>
    <n v="12074"/>
    <n v="5371"/>
    <n v="1066"/>
    <n v="46917"/>
    <x v="22"/>
    <n v="6437"/>
    <x v="0"/>
  </r>
  <r>
    <d v="2025-07-31T00:00:00"/>
    <s v="Adult"/>
    <x v="16"/>
    <n v="4633"/>
    <n v="1270"/>
    <n v="229"/>
    <n v="51"/>
    <n v="6183"/>
    <x v="22"/>
    <n v="280"/>
    <x v="0"/>
  </r>
  <r>
    <d v="2025-07-31T00:00:00"/>
    <s v="Adult"/>
    <x v="30"/>
    <n v="6525"/>
    <n v="1367"/>
    <n v="486"/>
    <n v="7"/>
    <n v="8384"/>
    <x v="22"/>
    <n v="493"/>
    <x v="0"/>
  </r>
  <r>
    <d v="2025-07-31T00:00:00"/>
    <s v="Adult"/>
    <x v="9"/>
    <n v="2330"/>
    <n v="851"/>
    <n v="176"/>
    <n v="8"/>
    <n v="3365"/>
    <x v="22"/>
    <n v="184"/>
    <x v="0"/>
  </r>
  <r>
    <d v="2025-07-31T00:00:00"/>
    <s v="Adult"/>
    <x v="40"/>
    <n v="13558"/>
    <n v="3995"/>
    <n v="1602"/>
    <n v="928"/>
    <n v="20082"/>
    <x v="22"/>
    <n v="2530"/>
    <x v="0"/>
  </r>
  <r>
    <d v="2025-07-31T00:00:00"/>
    <s v="Adult"/>
    <x v="3"/>
    <n v="3512"/>
    <n v="1757"/>
    <n v="911"/>
    <n v="397"/>
    <n v="6577"/>
    <x v="22"/>
    <n v="1308"/>
    <x v="0"/>
  </r>
  <r>
    <d v="2025-07-31T00:00:00"/>
    <s v="Adult"/>
    <x v="13"/>
    <n v="470"/>
    <n v="332"/>
    <n v="274"/>
    <n v="145"/>
    <n v="1220"/>
    <x v="22"/>
    <n v="419"/>
    <x v="0"/>
  </r>
  <r>
    <d v="2025-07-31T00:00:00"/>
    <s v="Adult"/>
    <x v="41"/>
    <n v="27336"/>
    <n v="8001"/>
    <n v="4362"/>
    <n v="5252"/>
    <n v="44950"/>
    <x v="22"/>
    <n v="9614"/>
    <x v="0"/>
  </r>
  <r>
    <d v="2025-07-31T00:00:00"/>
    <s v="Adult"/>
    <x v="32"/>
    <n v="9964"/>
    <n v="2739"/>
    <n v="1037"/>
    <n v="384"/>
    <n v="14125"/>
    <x v="22"/>
    <n v="1421"/>
    <x v="0"/>
  </r>
  <r>
    <d v="2025-07-31T00:00:00"/>
    <s v="Adult"/>
    <x v="4"/>
    <n v="2379"/>
    <n v="1089"/>
    <n v="456"/>
    <n v="317"/>
    <n v="4241"/>
    <x v="22"/>
    <n v="773"/>
    <x v="0"/>
  </r>
  <r>
    <d v="2025-07-31T00:00:00"/>
    <s v="Adult"/>
    <x v="43"/>
    <n v="26567"/>
    <n v="7859"/>
    <n v="3456"/>
    <n v="3487"/>
    <n v="41368"/>
    <x v="22"/>
    <n v="6943"/>
    <x v="0"/>
  </r>
  <r>
    <d v="2025-07-31T00:00:00"/>
    <s v="Adult"/>
    <x v="22"/>
    <n v="4217"/>
    <n v="1308"/>
    <n v="430"/>
    <n v="235"/>
    <n v="6189"/>
    <x v="22"/>
    <n v="665"/>
    <x v="0"/>
  </r>
  <r>
    <d v="2025-07-31T00:00:00"/>
    <s v="Adult"/>
    <x v="2"/>
    <n v="3502"/>
    <n v="1254"/>
    <n v="586"/>
    <n v="251"/>
    <n v="5592"/>
    <x v="22"/>
    <n v="837"/>
    <x v="0"/>
  </r>
  <r>
    <d v="2025-07-31T00:00:00"/>
    <s v="Adult"/>
    <x v="26"/>
    <n v="4926"/>
    <n v="1471"/>
    <n v="749"/>
    <n v="894"/>
    <n v="8040"/>
    <x v="22"/>
    <n v="1643"/>
    <x v="0"/>
  </r>
  <r>
    <d v="2025-07-31T00:00:00"/>
    <s v="Adult"/>
    <x v="20"/>
    <n v="2801"/>
    <n v="645"/>
    <n v="257"/>
    <n v="156"/>
    <n v="3860"/>
    <x v="22"/>
    <n v="413"/>
    <x v="0"/>
  </r>
  <r>
    <d v="2025-07-31T00:00:00"/>
    <s v="Adult"/>
    <x v="15"/>
    <n v="7259"/>
    <n v="2568"/>
    <n v="915"/>
    <n v="207"/>
    <n v="10948"/>
    <x v="22"/>
    <n v="1122"/>
    <x v="0"/>
  </r>
  <r>
    <d v="2025-07-31T00:00:00"/>
    <s v="Adult"/>
    <x v="29"/>
    <n v="1523"/>
    <n v="785"/>
    <n v="551"/>
    <n v="266"/>
    <n v="3125"/>
    <x v="22"/>
    <n v="817"/>
    <x v="0"/>
  </r>
  <r>
    <d v="2025-07-31T00:00:00"/>
    <s v="Adult"/>
    <x v="11"/>
    <n v="422"/>
    <n v="293"/>
    <n v="220"/>
    <n v="178"/>
    <n v="1114"/>
    <x v="22"/>
    <n v="398"/>
    <x v="0"/>
  </r>
  <r>
    <d v="2025-07-31T00:00:00"/>
    <s v="Adult"/>
    <x v="27"/>
    <n v="9539"/>
    <n v="4557"/>
    <n v="2121"/>
    <n v="542"/>
    <n v="16760"/>
    <x v="22"/>
    <n v="2663"/>
    <x v="0"/>
  </r>
  <r>
    <d v="2025-07-31T00:00:00"/>
    <s v="Adult"/>
    <x v="0"/>
    <n v="4275"/>
    <n v="1616"/>
    <n v="515"/>
    <n v="41"/>
    <n v="6445"/>
    <x v="22"/>
    <n v="556"/>
    <x v="0"/>
  </r>
  <r>
    <d v="2025-07-31T00:00:00"/>
    <s v="Adult"/>
    <x v="7"/>
    <n v="3215"/>
    <n v="674"/>
    <n v="138"/>
    <n v="12"/>
    <n v="4038"/>
    <x v="22"/>
    <n v="150"/>
    <x v="0"/>
  </r>
  <r>
    <d v="2025-07-31T00:00:00"/>
    <s v="Adult"/>
    <x v="10"/>
    <n v="3793"/>
    <n v="1002"/>
    <n v="31"/>
    <n v="1"/>
    <n v="4827"/>
    <x v="22"/>
    <n v="32"/>
    <x v="0"/>
  </r>
  <r>
    <d v="2025-07-31T00:00:00"/>
    <s v="Adult"/>
    <x v="38"/>
    <n v="6743"/>
    <n v="2819"/>
    <n v="1303"/>
    <n v="950"/>
    <n v="11815"/>
    <x v="22"/>
    <n v="2253"/>
    <x v="0"/>
  </r>
  <r>
    <d v="2025-07-31T00:00:00"/>
    <s v="Adult"/>
    <x v="35"/>
    <n v="8031"/>
    <n v="1850"/>
    <n v="1155"/>
    <n v="1299"/>
    <n v="12335"/>
    <x v="22"/>
    <n v="2454"/>
    <x v="0"/>
  </r>
  <r>
    <d v="2025-07-31T00:00:00"/>
    <s v="Adult"/>
    <x v="36"/>
    <n v="14853"/>
    <n v="6777"/>
    <n v="3958"/>
    <n v="4192"/>
    <n v="29780"/>
    <x v="22"/>
    <n v="8150"/>
    <x v="0"/>
  </r>
  <r>
    <d v="2025-07-31T00:00:00"/>
    <s v="Adult"/>
    <x v="37"/>
    <n v="2206"/>
    <n v="1274"/>
    <n v="1121"/>
    <n v="5097"/>
    <n v="9697"/>
    <x v="22"/>
    <n v="6218"/>
    <x v="0"/>
  </r>
  <r>
    <d v="2025-07-31T00:00:00"/>
    <s v="Adult"/>
    <x v="44"/>
    <n v="18165"/>
    <n v="4972"/>
    <n v="1840"/>
    <n v="955"/>
    <n v="25933"/>
    <x v="22"/>
    <n v="2795"/>
    <x v="0"/>
  </r>
  <r>
    <d v="2025-07-31T00:00:00"/>
    <s v="Adult"/>
    <x v="1"/>
    <n v="336"/>
    <n v="152"/>
    <n v="1"/>
    <n v="1"/>
    <n v="491"/>
    <x v="22"/>
    <n v="2"/>
    <x v="0"/>
  </r>
  <r>
    <d v="2025-07-31T00:00:00"/>
    <s v="Adult"/>
    <x v="5"/>
    <n v="3261"/>
    <n v="1059"/>
    <n v="459"/>
    <n v="535"/>
    <n v="5314"/>
    <x v="22"/>
    <n v="994"/>
    <x v="0"/>
  </r>
  <r>
    <d v="2025-07-31T00:00:00"/>
    <s v="Adult"/>
    <x v="45"/>
    <n v="3106"/>
    <n v="1029"/>
    <n v="735"/>
    <n v="347"/>
    <n v="5217"/>
    <x v="22"/>
    <n v="1082"/>
    <x v="0"/>
  </r>
  <r>
    <d v="2025-07-31T00:00:00"/>
    <s v="Adult"/>
    <x v="46"/>
    <n v="19502"/>
    <n v="7213"/>
    <n v="4425"/>
    <n v="2472"/>
    <n v="33612"/>
    <x v="22"/>
    <n v="6897"/>
    <x v="0"/>
  </r>
  <r>
    <d v="2025-07-31T00:00:00"/>
    <s v="Adult"/>
    <x v="12"/>
    <n v="14009"/>
    <n v="7529"/>
    <n v="2636"/>
    <n v="952"/>
    <n v="25126"/>
    <x v="22"/>
    <n v="3588"/>
    <x v="0"/>
  </r>
  <r>
    <d v="2025-07-31T00:00:00"/>
    <s v="Adult"/>
    <x v="8"/>
    <n v="2507"/>
    <n v="785"/>
    <n v="409"/>
    <n v="59"/>
    <n v="3760"/>
    <x v="22"/>
    <n v="468"/>
    <x v="0"/>
  </r>
  <r>
    <d v="2025-07-31T00:00:00"/>
    <s v="Adult"/>
    <x v="19"/>
    <n v="7976"/>
    <n v="2172"/>
    <n v="828"/>
    <n v="39"/>
    <n v="11015"/>
    <x v="22"/>
    <n v="867"/>
    <x v="0"/>
  </r>
  <r>
    <d v="2025-07-31T00:00:00"/>
    <s v="Adult"/>
    <x v="34"/>
    <n v="16325"/>
    <n v="4532"/>
    <n v="2285"/>
    <n v="1057"/>
    <n v="24199"/>
    <x v="22"/>
    <n v="3342"/>
    <x v="0"/>
  </r>
  <r>
    <d v="2025-07-31T00:00:00"/>
    <s v="Adult"/>
    <x v="42"/>
    <n v="22951"/>
    <n v="10998"/>
    <n v="5170"/>
    <n v="4803"/>
    <n v="43922"/>
    <x v="22"/>
    <n v="9973"/>
    <x v="0"/>
  </r>
  <r>
    <d v="2025-07-31T00:00:00"/>
    <s v="Adult"/>
    <x v="24"/>
    <n v="3917"/>
    <n v="729"/>
    <n v="80"/>
    <n v="4"/>
    <n v="4730"/>
    <x v="22"/>
    <n v="84"/>
    <x v="0"/>
  </r>
  <r>
    <d v="2025-08-28T00:00:00"/>
    <s v="Adult"/>
    <x v="23"/>
    <n v="27820"/>
    <n v="12579"/>
    <n v="5480"/>
    <n v="1271"/>
    <n v="47150"/>
    <x v="23"/>
    <n v="6751"/>
    <x v="0"/>
  </r>
  <r>
    <d v="2025-08-28T00:00:00"/>
    <s v="Adult"/>
    <x v="16"/>
    <n v="4580"/>
    <n v="1259"/>
    <n v="179"/>
    <n v="39"/>
    <n v="6057"/>
    <x v="23"/>
    <n v="218"/>
    <x v="0"/>
  </r>
  <r>
    <d v="2025-08-28T00:00:00"/>
    <s v="Adult"/>
    <x v="30"/>
    <n v="6631"/>
    <n v="1536"/>
    <n v="462"/>
    <n v="121"/>
    <n v="8750"/>
    <x v="23"/>
    <n v="583"/>
    <x v="0"/>
  </r>
  <r>
    <d v="2025-08-28T00:00:00"/>
    <s v="Adult"/>
    <x v="9"/>
    <n v="2354"/>
    <n v="932"/>
    <n v="181"/>
    <n v="12"/>
    <n v="3480"/>
    <x v="23"/>
    <n v="193"/>
    <x v="0"/>
  </r>
  <r>
    <d v="2025-08-28T00:00:00"/>
    <s v="Adult"/>
    <x v="40"/>
    <n v="13678"/>
    <n v="4221"/>
    <n v="1677"/>
    <n v="560"/>
    <n v="20135"/>
    <x v="23"/>
    <n v="2237"/>
    <x v="0"/>
  </r>
  <r>
    <d v="2025-08-28T00:00:00"/>
    <s v="Adult"/>
    <x v="3"/>
    <n v="3434"/>
    <n v="1853"/>
    <n v="1019"/>
    <n v="431"/>
    <n v="6737"/>
    <x v="23"/>
    <n v="1450"/>
    <x v="0"/>
  </r>
  <r>
    <d v="2025-08-28T00:00:00"/>
    <s v="Adult"/>
    <x v="13"/>
    <n v="448"/>
    <n v="342"/>
    <n v="286"/>
    <n v="180"/>
    <n v="1256"/>
    <x v="23"/>
    <n v="466"/>
    <x v="0"/>
  </r>
  <r>
    <d v="2025-08-28T00:00:00"/>
    <s v="Adult"/>
    <x v="41"/>
    <n v="27145"/>
    <n v="8889"/>
    <n v="4400"/>
    <n v="5539"/>
    <n v="45973"/>
    <x v="23"/>
    <n v="9939"/>
    <x v="0"/>
  </r>
  <r>
    <d v="2025-08-28T00:00:00"/>
    <s v="Adult"/>
    <x v="32"/>
    <n v="9979"/>
    <n v="2971"/>
    <n v="1176"/>
    <n v="432"/>
    <n v="14558"/>
    <x v="23"/>
    <n v="1608"/>
    <x v="0"/>
  </r>
  <r>
    <d v="2025-08-28T00:00:00"/>
    <s v="Adult"/>
    <x v="4"/>
    <n v="2271"/>
    <n v="1186"/>
    <n v="503"/>
    <n v="305"/>
    <n v="4266"/>
    <x v="23"/>
    <n v="808"/>
    <x v="0"/>
  </r>
  <r>
    <d v="2025-08-28T00:00:00"/>
    <s v="Adult"/>
    <x v="43"/>
    <n v="26619"/>
    <n v="8079"/>
    <n v="3504"/>
    <n v="3386"/>
    <n v="41588"/>
    <x v="23"/>
    <n v="6890"/>
    <x v="0"/>
  </r>
  <r>
    <d v="2025-08-28T00:00:00"/>
    <s v="Adult"/>
    <x v="22"/>
    <n v="4394"/>
    <n v="1340"/>
    <n v="428"/>
    <n v="238"/>
    <n v="6401"/>
    <x v="23"/>
    <n v="666"/>
    <x v="0"/>
  </r>
  <r>
    <d v="2025-08-28T00:00:00"/>
    <s v="Adult"/>
    <x v="2"/>
    <n v="3622"/>
    <n v="1373"/>
    <n v="567"/>
    <n v="215"/>
    <n v="5778"/>
    <x v="23"/>
    <n v="782"/>
    <x v="0"/>
  </r>
  <r>
    <d v="2025-08-28T00:00:00"/>
    <s v="Adult"/>
    <x v="26"/>
    <n v="4830"/>
    <n v="1503"/>
    <n v="758"/>
    <n v="914"/>
    <n v="8004"/>
    <x v="23"/>
    <n v="1672"/>
    <x v="0"/>
  </r>
  <r>
    <d v="2025-08-28T00:00:00"/>
    <s v="Adult"/>
    <x v="20"/>
    <n v="2779"/>
    <n v="674"/>
    <n v="250"/>
    <n v="162"/>
    <n v="3866"/>
    <x v="23"/>
    <n v="412"/>
    <x v="0"/>
  </r>
  <r>
    <d v="2025-08-28T00:00:00"/>
    <s v="Adult"/>
    <x v="15"/>
    <n v="7183"/>
    <n v="2652"/>
    <n v="1039"/>
    <n v="327"/>
    <n v="11201"/>
    <x v="23"/>
    <n v="1366"/>
    <x v="0"/>
  </r>
  <r>
    <d v="2025-08-28T00:00:00"/>
    <s v="Adult"/>
    <x v="29"/>
    <n v="1453"/>
    <n v="752"/>
    <n v="562"/>
    <n v="313"/>
    <n v="3080"/>
    <x v="23"/>
    <n v="875"/>
    <x v="0"/>
  </r>
  <r>
    <d v="2025-08-28T00:00:00"/>
    <s v="Adult"/>
    <x v="11"/>
    <n v="389"/>
    <n v="306"/>
    <n v="222"/>
    <n v="211"/>
    <n v="1128"/>
    <x v="23"/>
    <n v="433"/>
    <x v="0"/>
  </r>
  <r>
    <d v="2025-08-28T00:00:00"/>
    <s v="Adult"/>
    <x v="27"/>
    <n v="9689"/>
    <n v="4670"/>
    <n v="2094"/>
    <n v="659"/>
    <n v="17112"/>
    <x v="23"/>
    <n v="2753"/>
    <x v="0"/>
  </r>
  <r>
    <d v="2025-08-28T00:00:00"/>
    <s v="Adult"/>
    <x v="0"/>
    <n v="4292"/>
    <n v="1774"/>
    <n v="557"/>
    <n v="58"/>
    <n v="6680"/>
    <x v="23"/>
    <n v="615"/>
    <x v="0"/>
  </r>
  <r>
    <d v="2025-08-28T00:00:00"/>
    <s v="Adult"/>
    <x v="21"/>
    <n v="2194"/>
    <n v="557"/>
    <n v="95"/>
    <n v="3"/>
    <n v="2849"/>
    <x v="23"/>
    <n v="98"/>
    <x v="0"/>
  </r>
  <r>
    <d v="2025-08-28T00:00:00"/>
    <s v="Adult"/>
    <x v="7"/>
    <n v="3232"/>
    <n v="817"/>
    <n v="154"/>
    <n v="5"/>
    <n v="4208"/>
    <x v="23"/>
    <n v="159"/>
    <x v="0"/>
  </r>
  <r>
    <d v="2025-08-28T00:00:00"/>
    <s v="Adult"/>
    <x v="38"/>
    <n v="6611"/>
    <n v="3061"/>
    <n v="1394"/>
    <n v="893"/>
    <n v="11959"/>
    <x v="23"/>
    <n v="2287"/>
    <x v="0"/>
  </r>
  <r>
    <d v="2025-08-28T00:00:00"/>
    <s v="Adult"/>
    <x v="35"/>
    <n v="8181"/>
    <n v="2032"/>
    <n v="1193"/>
    <n v="1330"/>
    <n v="12736"/>
    <x v="23"/>
    <n v="2523"/>
    <x v="0"/>
  </r>
  <r>
    <d v="2025-08-28T00:00:00"/>
    <s v="Adult"/>
    <x v="36"/>
    <n v="14838"/>
    <n v="6765"/>
    <n v="3817"/>
    <n v="4238"/>
    <n v="29658"/>
    <x v="23"/>
    <n v="8055"/>
    <x v="0"/>
  </r>
  <r>
    <d v="2025-08-28T00:00:00"/>
    <s v="Adult"/>
    <x v="37"/>
    <n v="2165"/>
    <n v="1322"/>
    <n v="1131"/>
    <n v="5176"/>
    <n v="9795"/>
    <x v="23"/>
    <n v="6307"/>
    <x v="0"/>
  </r>
  <r>
    <d v="2025-08-28T00:00:00"/>
    <s v="Adult"/>
    <x v="44"/>
    <n v="18027"/>
    <n v="5068"/>
    <n v="1917"/>
    <n v="1015"/>
    <n v="26027"/>
    <x v="23"/>
    <n v="2932"/>
    <x v="0"/>
  </r>
  <r>
    <d v="2025-08-28T00:00:00"/>
    <s v="Adult"/>
    <x v="5"/>
    <n v="3296"/>
    <n v="1103"/>
    <n v="495"/>
    <n v="502"/>
    <n v="5396"/>
    <x v="23"/>
    <n v="997"/>
    <x v="0"/>
  </r>
  <r>
    <d v="2025-08-28T00:00:00"/>
    <s v="Adult"/>
    <x v="45"/>
    <n v="3081"/>
    <n v="987"/>
    <n v="781"/>
    <n v="390"/>
    <n v="5239"/>
    <x v="23"/>
    <n v="1171"/>
    <x v="0"/>
  </r>
  <r>
    <d v="2025-08-28T00:00:00"/>
    <s v="Adult"/>
    <x v="46"/>
    <n v="20449"/>
    <n v="7328"/>
    <n v="4260"/>
    <n v="2540"/>
    <n v="34577"/>
    <x v="23"/>
    <n v="6800"/>
    <x v="0"/>
  </r>
  <r>
    <d v="2025-08-28T00:00:00"/>
    <s v="Adult"/>
    <x v="12"/>
    <n v="13873"/>
    <n v="7631"/>
    <n v="2636"/>
    <n v="1067"/>
    <n v="25207"/>
    <x v="23"/>
    <n v="3703"/>
    <x v="0"/>
  </r>
  <r>
    <d v="2025-08-28T00:00:00"/>
    <s v="Adult"/>
    <x v="8"/>
    <n v="2534"/>
    <n v="837"/>
    <n v="422"/>
    <n v="86"/>
    <n v="3878"/>
    <x v="23"/>
    <n v="508"/>
    <x v="0"/>
  </r>
  <r>
    <d v="2025-08-28T00:00:00"/>
    <s v="Adult"/>
    <x v="19"/>
    <n v="7556"/>
    <n v="2351"/>
    <n v="913"/>
    <n v="68"/>
    <n v="10888"/>
    <x v="23"/>
    <n v="981"/>
    <x v="0"/>
  </r>
  <r>
    <d v="2025-08-28T00:00:00"/>
    <s v="Adult"/>
    <x v="34"/>
    <n v="16438"/>
    <n v="4924"/>
    <n v="2303"/>
    <n v="1105"/>
    <n v="24770"/>
    <x v="23"/>
    <n v="3408"/>
    <x v="0"/>
  </r>
  <r>
    <d v="2025-08-28T00:00:00"/>
    <s v="Adult"/>
    <x v="42"/>
    <n v="23072"/>
    <n v="11153"/>
    <n v="5279"/>
    <n v="4938"/>
    <n v="44442"/>
    <x v="23"/>
    <n v="10217"/>
    <x v="0"/>
  </r>
  <r>
    <d v="2025-08-28T00:00:00"/>
    <s v="Adult"/>
    <x v="24"/>
    <n v="3979"/>
    <n v="720"/>
    <n v="54"/>
    <n v="7"/>
    <n v="4761"/>
    <x v="23"/>
    <n v="61"/>
    <x v="0"/>
  </r>
  <r>
    <d v="2025-09-25T00:00:00"/>
    <s v="Adult"/>
    <x v="23"/>
    <n v="27759"/>
    <n v="12519"/>
    <n v="5580"/>
    <n v="1360"/>
    <n v="47217"/>
    <x v="24"/>
    <n v="6940"/>
    <x v="0"/>
  </r>
  <r>
    <d v="2025-09-25T00:00:00"/>
    <s v="Adult"/>
    <x v="16"/>
    <n v="4571"/>
    <n v="1328"/>
    <n v="129"/>
    <n v="29"/>
    <n v="6057"/>
    <x v="24"/>
    <n v="158"/>
    <x v="0"/>
  </r>
  <r>
    <d v="2025-09-25T00:00:00"/>
    <s v="Adult"/>
    <x v="30"/>
    <n v="6884"/>
    <n v="1405"/>
    <n v="328"/>
    <n v="247"/>
    <n v="8863"/>
    <x v="24"/>
    <n v="575"/>
    <x v="0"/>
  </r>
  <r>
    <d v="2025-09-25T00:00:00"/>
    <s v="Adult"/>
    <x v="9"/>
    <n v="2380"/>
    <n v="995"/>
    <n v="167"/>
    <n v="3"/>
    <n v="3545"/>
    <x v="24"/>
    <n v="170"/>
    <x v="0"/>
  </r>
  <r>
    <d v="2025-09-25T00:00:00"/>
    <s v="Adult"/>
    <x v="40"/>
    <n v="13799"/>
    <n v="4344"/>
    <n v="1545"/>
    <n v="623"/>
    <n v="20310"/>
    <x v="24"/>
    <n v="2168"/>
    <x v="0"/>
  </r>
  <r>
    <d v="2025-09-25T00:00:00"/>
    <s v="Adult"/>
    <x v="3"/>
    <n v="3370"/>
    <n v="1975"/>
    <n v="1053"/>
    <n v="456"/>
    <n v="6854"/>
    <x v="24"/>
    <n v="1509"/>
    <x v="0"/>
  </r>
  <r>
    <d v="2025-09-25T00:00:00"/>
    <s v="Adult"/>
    <x v="13"/>
    <n v="455"/>
    <n v="327"/>
    <n v="296"/>
    <n v="193"/>
    <n v="1270"/>
    <x v="24"/>
    <n v="489"/>
    <x v="0"/>
  </r>
  <r>
    <d v="2025-09-25T00:00:00"/>
    <s v="Adult"/>
    <x v="41"/>
    <n v="26741"/>
    <n v="9647"/>
    <n v="4522"/>
    <n v="5665"/>
    <n v="46574"/>
    <x v="24"/>
    <n v="10187"/>
    <x v="0"/>
  </r>
  <r>
    <d v="2025-09-25T00:00:00"/>
    <s v="Adult"/>
    <x v="32"/>
    <n v="9739"/>
    <n v="3156"/>
    <n v="1394"/>
    <n v="442"/>
    <n v="14730"/>
    <x v="24"/>
    <n v="1836"/>
    <x v="0"/>
  </r>
  <r>
    <d v="2025-09-25T00:00:00"/>
    <s v="Adult"/>
    <x v="4"/>
    <n v="2300"/>
    <n v="1102"/>
    <n v="543"/>
    <n v="292"/>
    <n v="4237"/>
    <x v="24"/>
    <n v="835"/>
    <x v="0"/>
  </r>
  <r>
    <d v="2025-09-25T00:00:00"/>
    <s v="Adult"/>
    <x v="43"/>
    <n v="26727"/>
    <n v="8304"/>
    <n v="3456"/>
    <n v="3181"/>
    <n v="41669"/>
    <x v="24"/>
    <n v="6637"/>
    <x v="0"/>
  </r>
  <r>
    <d v="2025-09-25T00:00:00"/>
    <s v="Adult"/>
    <x v="22"/>
    <n v="4371"/>
    <n v="1419"/>
    <n v="432"/>
    <n v="235"/>
    <n v="6457"/>
    <x v="24"/>
    <n v="667"/>
    <x v="0"/>
  </r>
  <r>
    <d v="2025-09-25T00:00:00"/>
    <s v="Adult"/>
    <x v="2"/>
    <n v="3532"/>
    <n v="1374"/>
    <n v="548"/>
    <n v="164"/>
    <n v="5618"/>
    <x v="24"/>
    <n v="712"/>
    <x v="0"/>
  </r>
  <r>
    <d v="2025-09-25T00:00:00"/>
    <s v="Adult"/>
    <x v="26"/>
    <n v="4969"/>
    <n v="1602"/>
    <n v="738"/>
    <n v="949"/>
    <n v="8258"/>
    <x v="24"/>
    <n v="1687"/>
    <x v="0"/>
  </r>
  <r>
    <d v="2025-09-25T00:00:00"/>
    <s v="Adult"/>
    <x v="20"/>
    <n v="2804"/>
    <n v="686"/>
    <n v="247"/>
    <n v="168"/>
    <n v="3905"/>
    <x v="24"/>
    <n v="415"/>
    <x v="0"/>
  </r>
  <r>
    <d v="2025-09-25T00:00:00"/>
    <s v="Adult"/>
    <x v="15"/>
    <n v="7223"/>
    <n v="2754"/>
    <n v="1169"/>
    <n v="470"/>
    <n v="11617"/>
    <x v="24"/>
    <n v="1639"/>
    <x v="0"/>
  </r>
  <r>
    <d v="2025-09-25T00:00:00"/>
    <s v="Adult"/>
    <x v="29"/>
    <n v="1402"/>
    <n v="700"/>
    <n v="575"/>
    <n v="333"/>
    <n v="3010"/>
    <x v="24"/>
    <n v="908"/>
    <x v="0"/>
  </r>
  <r>
    <d v="2025-09-25T00:00:00"/>
    <s v="Adult"/>
    <x v="11"/>
    <n v="396"/>
    <n v="305"/>
    <n v="221"/>
    <n v="246"/>
    <n v="1168"/>
    <x v="24"/>
    <n v="467"/>
    <x v="0"/>
  </r>
  <r>
    <d v="2025-09-25T00:00:00"/>
    <s v="Adult"/>
    <x v="27"/>
    <n v="9820"/>
    <n v="4798"/>
    <n v="2181"/>
    <n v="696"/>
    <n v="17495"/>
    <x v="24"/>
    <n v="2877"/>
    <x v="0"/>
  </r>
  <r>
    <d v="2025-09-25T00:00:00"/>
    <s v="Adult"/>
    <x v="0"/>
    <n v="4333"/>
    <n v="1761"/>
    <n v="526"/>
    <n v="93"/>
    <n v="6712"/>
    <x v="24"/>
    <n v="619"/>
    <x v="0"/>
  </r>
  <r>
    <d v="2025-09-25T00:00:00"/>
    <s v="Adult"/>
    <x v="21"/>
    <n v="2172"/>
    <n v="598"/>
    <n v="148"/>
    <n v="8"/>
    <n v="2925"/>
    <x v="24"/>
    <n v="156"/>
    <x v="0"/>
  </r>
  <r>
    <d v="2025-09-25T00:00:00"/>
    <s v="Adult"/>
    <x v="7"/>
    <n v="3375"/>
    <n v="911"/>
    <n v="183"/>
    <n v="6"/>
    <n v="4474"/>
    <x v="24"/>
    <n v="189"/>
    <x v="0"/>
  </r>
  <r>
    <d v="2025-09-25T00:00:00"/>
    <s v="Adult"/>
    <x v="10"/>
    <n v="4124"/>
    <n v="1134"/>
    <n v="45"/>
    <n v="1"/>
    <n v="5304"/>
    <x v="24"/>
    <n v="46"/>
    <x v="0"/>
  </r>
  <r>
    <d v="2025-09-25T00:00:00"/>
    <s v="Adult"/>
    <x v="38"/>
    <n v="6800"/>
    <n v="3327"/>
    <n v="1619"/>
    <n v="913"/>
    <n v="12659"/>
    <x v="24"/>
    <n v="2532"/>
    <x v="0"/>
  </r>
  <r>
    <d v="2025-09-25T00:00:00"/>
    <s v="Adult"/>
    <x v="35"/>
    <n v="8400"/>
    <n v="2314"/>
    <n v="1152"/>
    <n v="1347"/>
    <n v="13212"/>
    <x v="24"/>
    <n v="2499"/>
    <x v="0"/>
  </r>
  <r>
    <d v="2025-09-25T00:00:00"/>
    <s v="Adult"/>
    <x v="36"/>
    <n v="14753"/>
    <n v="6542"/>
    <n v="3884"/>
    <n v="4330"/>
    <n v="29510"/>
    <x v="24"/>
    <n v="8214"/>
    <x v="0"/>
  </r>
  <r>
    <d v="2025-09-25T00:00:00"/>
    <s v="Adult"/>
    <x v="37"/>
    <n v="2218"/>
    <n v="1286"/>
    <n v="1126"/>
    <n v="5220"/>
    <n v="9850"/>
    <x v="24"/>
    <n v="6346"/>
    <x v="0"/>
  </r>
  <r>
    <d v="2025-09-25T00:00:00"/>
    <s v="Adult"/>
    <x v="44"/>
    <n v="17887"/>
    <n v="4954"/>
    <n v="1889"/>
    <n v="1054"/>
    <n v="25784"/>
    <x v="24"/>
    <n v="2943"/>
    <x v="0"/>
  </r>
  <r>
    <d v="2025-09-25T00:00:00"/>
    <s v="Adult"/>
    <x v="5"/>
    <n v="3344"/>
    <n v="1102"/>
    <n v="636"/>
    <n v="487"/>
    <n v="5570"/>
    <x v="24"/>
    <n v="1123"/>
    <x v="0"/>
  </r>
  <r>
    <d v="2025-09-25T00:00:00"/>
    <s v="Adult"/>
    <x v="45"/>
    <n v="3271"/>
    <n v="1034"/>
    <n v="825"/>
    <n v="361"/>
    <n v="5491"/>
    <x v="24"/>
    <n v="1186"/>
    <x v="0"/>
  </r>
  <r>
    <d v="2025-09-25T00:00:00"/>
    <s v="Adult"/>
    <x v="46"/>
    <n v="20140"/>
    <n v="7367"/>
    <n v="4335"/>
    <n v="2520"/>
    <n v="34361"/>
    <x v="24"/>
    <n v="6855"/>
    <x v="0"/>
  </r>
  <r>
    <d v="2025-09-25T00:00:00"/>
    <s v="Adult"/>
    <x v="12"/>
    <n v="13854"/>
    <n v="7647"/>
    <n v="2650"/>
    <n v="1062"/>
    <n v="25214"/>
    <x v="24"/>
    <n v="3712"/>
    <x v="0"/>
  </r>
  <r>
    <d v="2025-09-25T00:00:00"/>
    <s v="Adult"/>
    <x v="8"/>
    <n v="2426"/>
    <n v="860"/>
    <n v="434"/>
    <n v="110"/>
    <n v="3830"/>
    <x v="24"/>
    <n v="544"/>
    <x v="0"/>
  </r>
  <r>
    <d v="2025-09-25T00:00:00"/>
    <s v="Adult"/>
    <x v="19"/>
    <n v="7666"/>
    <n v="2508"/>
    <n v="990"/>
    <n v="117"/>
    <n v="11282"/>
    <x v="24"/>
    <n v="1107"/>
    <x v="0"/>
  </r>
  <r>
    <d v="2025-09-25T00:00:00"/>
    <s v="Adult"/>
    <x v="34"/>
    <n v="16660"/>
    <n v="5057"/>
    <n v="2246"/>
    <n v="1042"/>
    <n v="25005"/>
    <x v="24"/>
    <n v="3288"/>
    <x v="0"/>
  </r>
  <r>
    <d v="2025-09-25T00:00:00"/>
    <s v="Adult"/>
    <x v="42"/>
    <n v="22761"/>
    <n v="11247"/>
    <n v="5446"/>
    <n v="4846"/>
    <n v="44299"/>
    <x v="24"/>
    <n v="10292"/>
    <x v="0"/>
  </r>
  <r>
    <d v="2025-09-25T00:00:00"/>
    <s v="Adult"/>
    <x v="24"/>
    <n v="3782"/>
    <n v="906"/>
    <n v="46"/>
    <n v="6"/>
    <n v="4740"/>
    <x v="24"/>
    <n v="52"/>
    <x v="0"/>
  </r>
  <r>
    <d v="2025-10-30T00:00:00"/>
    <s v="Adult"/>
    <x v="23"/>
    <n v="27717"/>
    <n v="13893"/>
    <n v="5537"/>
    <n v="1646"/>
    <n v="48792"/>
    <x v="25"/>
    <n v="7183"/>
    <x v="0"/>
  </r>
  <r>
    <d v="2025-10-30T00:00:00"/>
    <s v="Adult"/>
    <x v="30"/>
    <n v="6430"/>
    <n v="1389"/>
    <n v="839"/>
    <n v="412"/>
    <n v="9070"/>
    <x v="25"/>
    <n v="1251"/>
    <x v="0"/>
  </r>
  <r>
    <d v="2025-10-30T00:00:00"/>
    <s v="Adult"/>
    <x v="9"/>
    <n v="2448"/>
    <n v="1144"/>
    <n v="218"/>
    <n v="3"/>
    <n v="3813"/>
    <x v="25"/>
    <n v="221"/>
    <x v="0"/>
  </r>
  <r>
    <d v="2025-10-30T00:00:00"/>
    <s v="Adult"/>
    <x v="40"/>
    <n v="14212"/>
    <n v="4374"/>
    <n v="1578"/>
    <n v="390"/>
    <n v="20554"/>
    <x v="25"/>
    <n v="1968"/>
    <x v="0"/>
  </r>
  <r>
    <d v="2025-10-30T00:00:00"/>
    <s v="Adult"/>
    <x v="3"/>
    <n v="3475"/>
    <n v="2047"/>
    <n v="980"/>
    <n v="456"/>
    <n v="6958"/>
    <x v="25"/>
    <n v="1436"/>
    <x v="0"/>
  </r>
  <r>
    <d v="2025-10-30T00:00:00"/>
    <s v="Adult"/>
    <x v="13"/>
    <n v="474"/>
    <n v="321"/>
    <n v="273"/>
    <n v="239"/>
    <n v="1307"/>
    <x v="25"/>
    <n v="512"/>
    <x v="0"/>
  </r>
  <r>
    <d v="2025-10-30T00:00:00"/>
    <s v="Adult"/>
    <x v="41"/>
    <n v="26464"/>
    <n v="9623"/>
    <n v="4393"/>
    <n v="5929"/>
    <n v="46409"/>
    <x v="25"/>
    <n v="10322"/>
    <x v="0"/>
  </r>
  <r>
    <d v="2025-10-30T00:00:00"/>
    <s v="Adult"/>
    <x v="32"/>
    <n v="9653"/>
    <n v="3069"/>
    <n v="1255"/>
    <n v="479"/>
    <n v="14457"/>
    <x v="25"/>
    <n v="1734"/>
    <x v="0"/>
  </r>
  <r>
    <d v="2025-10-30T00:00:00"/>
    <s v="Adult"/>
    <x v="4"/>
    <n v="2169"/>
    <n v="1115"/>
    <n v="492"/>
    <n v="367"/>
    <n v="4142"/>
    <x v="25"/>
    <n v="859"/>
    <x v="0"/>
  </r>
  <r>
    <d v="2025-10-30T00:00:00"/>
    <s v="Adult"/>
    <x v="43"/>
    <n v="26028"/>
    <n v="8845"/>
    <n v="3367"/>
    <n v="3252"/>
    <n v="41491"/>
    <x v="25"/>
    <n v="6619"/>
    <x v="0"/>
  </r>
  <r>
    <d v="2025-10-30T00:00:00"/>
    <s v="Adult"/>
    <x v="22"/>
    <n v="4475"/>
    <n v="1489"/>
    <n v="443"/>
    <n v="243"/>
    <n v="6650"/>
    <x v="25"/>
    <n v="686"/>
    <x v="0"/>
  </r>
  <r>
    <d v="2025-10-30T00:00:00"/>
    <s v="Adult"/>
    <x v="2"/>
    <n v="3570"/>
    <n v="1340"/>
    <n v="433"/>
    <n v="141"/>
    <n v="5483"/>
    <x v="25"/>
    <n v="574"/>
    <x v="0"/>
  </r>
  <r>
    <d v="2025-10-30T00:00:00"/>
    <s v="Adult"/>
    <x v="26"/>
    <n v="4878"/>
    <n v="1569"/>
    <n v="749"/>
    <n v="963"/>
    <n v="8159"/>
    <x v="25"/>
    <n v="1712"/>
    <x v="0"/>
  </r>
  <r>
    <d v="2025-10-30T00:00:00"/>
    <s v="Adult"/>
    <x v="20"/>
    <n v="2837"/>
    <n v="658"/>
    <n v="270"/>
    <n v="170"/>
    <n v="3935"/>
    <x v="25"/>
    <n v="440"/>
    <x v="0"/>
  </r>
  <r>
    <d v="2025-10-30T00:00:00"/>
    <s v="Adult"/>
    <x v="15"/>
    <n v="7016"/>
    <n v="2923"/>
    <n v="1348"/>
    <n v="533"/>
    <n v="11820"/>
    <x v="25"/>
    <n v="1881"/>
    <x v="0"/>
  </r>
  <r>
    <d v="2025-10-30T00:00:00"/>
    <s v="Adult"/>
    <x v="14"/>
    <n v="2324"/>
    <n v="832"/>
    <n v="160"/>
    <n v="1"/>
    <n v="3317"/>
    <x v="25"/>
    <n v="161"/>
    <x v="0"/>
  </r>
  <r>
    <d v="2025-10-30T00:00:00"/>
    <s v="Adult"/>
    <x v="29"/>
    <n v="1422"/>
    <n v="619"/>
    <n v="578"/>
    <n v="344"/>
    <n v="2962"/>
    <x v="25"/>
    <n v="922"/>
    <x v="0"/>
  </r>
  <r>
    <d v="2025-10-30T00:00:00"/>
    <s v="Adult"/>
    <x v="11"/>
    <n v="384"/>
    <n v="321"/>
    <n v="225"/>
    <n v="269"/>
    <n v="1199"/>
    <x v="25"/>
    <n v="494"/>
    <x v="0"/>
  </r>
  <r>
    <d v="2025-10-30T00:00:00"/>
    <s v="Adult"/>
    <x v="27"/>
    <n v="9866"/>
    <n v="4547"/>
    <n v="2284"/>
    <n v="680"/>
    <n v="17377"/>
    <x v="25"/>
    <n v="2964"/>
    <x v="0"/>
  </r>
  <r>
    <d v="2025-10-30T00:00:00"/>
    <s v="Adult"/>
    <x v="0"/>
    <n v="4481"/>
    <n v="1831"/>
    <n v="566"/>
    <n v="126"/>
    <n v="7003"/>
    <x v="25"/>
    <n v="692"/>
    <x v="0"/>
  </r>
  <r>
    <d v="2025-10-30T00:00:00"/>
    <s v="Adult"/>
    <x v="7"/>
    <n v="3185"/>
    <n v="991"/>
    <n v="78"/>
    <n v="5"/>
    <n v="4259"/>
    <x v="25"/>
    <n v="83"/>
    <x v="0"/>
  </r>
  <r>
    <d v="2025-10-30T00:00:00"/>
    <s v="Adult"/>
    <x v="10"/>
    <n v="4182"/>
    <n v="1150"/>
    <n v="55"/>
    <n v="1"/>
    <n v="5388"/>
    <x v="25"/>
    <n v="56"/>
    <x v="0"/>
  </r>
  <r>
    <d v="2025-10-30T00:00:00"/>
    <s v="Adult"/>
    <x v="38"/>
    <n v="6948"/>
    <n v="3578"/>
    <n v="1828"/>
    <n v="955"/>
    <n v="13309"/>
    <x v="25"/>
    <n v="2783"/>
    <x v="0"/>
  </r>
  <r>
    <d v="2025-10-30T00:00:00"/>
    <s v="Adult"/>
    <x v="35"/>
    <n v="8116"/>
    <n v="2503"/>
    <n v="1067"/>
    <n v="1313"/>
    <n v="12999"/>
    <x v="25"/>
    <n v="2380"/>
    <x v="0"/>
  </r>
  <r>
    <d v="2025-10-30T00:00:00"/>
    <s v="Adult"/>
    <x v="36"/>
    <n v="14808"/>
    <n v="6618"/>
    <n v="3945"/>
    <n v="4528"/>
    <n v="29899"/>
    <x v="25"/>
    <n v="8473"/>
    <x v="0"/>
  </r>
  <r>
    <d v="2025-10-30T00:00:00"/>
    <s v="Adult"/>
    <x v="37"/>
    <n v="2230"/>
    <n v="1243"/>
    <n v="1148"/>
    <n v="5303"/>
    <n v="9923"/>
    <x v="25"/>
    <n v="6451"/>
    <x v="0"/>
  </r>
  <r>
    <d v="2025-10-30T00:00:00"/>
    <s v="Adult"/>
    <x v="44"/>
    <n v="17543"/>
    <n v="4836"/>
    <n v="1922"/>
    <n v="1037"/>
    <n v="25338"/>
    <x v="25"/>
    <n v="2959"/>
    <x v="0"/>
  </r>
  <r>
    <d v="2025-10-30T00:00:00"/>
    <s v="Adult"/>
    <x v="5"/>
    <n v="3340"/>
    <n v="1094"/>
    <n v="634"/>
    <n v="522"/>
    <n v="5590"/>
    <x v="25"/>
    <n v="1156"/>
    <x v="0"/>
  </r>
  <r>
    <d v="2025-10-30T00:00:00"/>
    <s v="Adult"/>
    <x v="45"/>
    <n v="3299"/>
    <n v="1085"/>
    <n v="777"/>
    <n v="443"/>
    <n v="5605"/>
    <x v="25"/>
    <n v="1220"/>
    <x v="0"/>
  </r>
  <r>
    <d v="2025-10-30T00:00:00"/>
    <s v="Adult"/>
    <x v="46"/>
    <n v="19943"/>
    <n v="7156"/>
    <n v="4114"/>
    <n v="2743"/>
    <n v="33956"/>
    <x v="25"/>
    <n v="6857"/>
    <x v="0"/>
  </r>
  <r>
    <d v="2025-10-30T00:00:00"/>
    <s v="Adult"/>
    <x v="12"/>
    <n v="13670"/>
    <n v="7531"/>
    <n v="2692"/>
    <n v="1063"/>
    <n v="24956"/>
    <x v="25"/>
    <n v="3755"/>
    <x v="0"/>
  </r>
  <r>
    <d v="2025-10-30T00:00:00"/>
    <s v="Adult"/>
    <x v="8"/>
    <n v="2518"/>
    <n v="919"/>
    <n v="455"/>
    <n v="142"/>
    <n v="4034"/>
    <x v="25"/>
    <n v="597"/>
    <x v="0"/>
  </r>
  <r>
    <d v="2025-10-30T00:00:00"/>
    <s v="Adult"/>
    <x v="19"/>
    <n v="7322"/>
    <n v="2576"/>
    <n v="987"/>
    <n v="259"/>
    <n v="11145"/>
    <x v="25"/>
    <n v="1246"/>
    <x v="0"/>
  </r>
  <r>
    <d v="2025-10-30T00:00:00"/>
    <s v="Adult"/>
    <x v="34"/>
    <n v="16748"/>
    <n v="4917"/>
    <n v="2067"/>
    <n v="825"/>
    <n v="24557"/>
    <x v="25"/>
    <n v="2892"/>
    <x v="0"/>
  </r>
  <r>
    <d v="2025-10-30T00:00:00"/>
    <s v="Adult"/>
    <x v="42"/>
    <n v="22333"/>
    <n v="11178"/>
    <n v="5457"/>
    <n v="4771"/>
    <n v="43738"/>
    <x v="25"/>
    <n v="10228"/>
    <x v="0"/>
  </r>
  <r>
    <d v="2025-11-27T00:00:00"/>
    <s v="Adult"/>
    <x v="23"/>
    <n v="28561"/>
    <n v="14487"/>
    <n v="5028"/>
    <n v="1691"/>
    <n v="49767"/>
    <x v="26"/>
    <n v="6719"/>
    <x v="0"/>
  </r>
  <r>
    <d v="2025-11-27T00:00:00"/>
    <s v="Adult"/>
    <x v="30"/>
    <n v="6202"/>
    <n v="1305"/>
    <n v="642"/>
    <n v="469"/>
    <n v="8618"/>
    <x v="26"/>
    <n v="1111"/>
    <x v="0"/>
  </r>
  <r>
    <d v="2025-11-27T00:00:00"/>
    <s v="Adult"/>
    <x v="9"/>
    <n v="2584"/>
    <n v="1180"/>
    <n v="275"/>
    <n v="3"/>
    <n v="4041"/>
    <x v="26"/>
    <n v="278"/>
    <x v="0"/>
  </r>
  <r>
    <d v="2025-11-27T00:00:00"/>
    <s v="Adult"/>
    <x v="40"/>
    <n v="14117"/>
    <n v="4465"/>
    <n v="1499"/>
    <n v="251"/>
    <n v="20331"/>
    <x v="26"/>
    <n v="1750"/>
    <x v="0"/>
  </r>
  <r>
    <d v="2025-11-27T00:00:00"/>
    <s v="Adult"/>
    <x v="3"/>
    <n v="3512"/>
    <n v="1983"/>
    <n v="936"/>
    <n v="440"/>
    <n v="6871"/>
    <x v="26"/>
    <n v="1376"/>
    <x v="0"/>
  </r>
  <r>
    <d v="2025-11-27T00:00:00"/>
    <s v="Adult"/>
    <x v="13"/>
    <n v="462"/>
    <n v="302"/>
    <n v="251"/>
    <n v="250"/>
    <n v="1265"/>
    <x v="26"/>
    <n v="501"/>
    <x v="0"/>
  </r>
  <r>
    <d v="2025-11-27T00:00:00"/>
    <s v="Adult"/>
    <x v="41"/>
    <n v="26017"/>
    <n v="9275"/>
    <n v="4019"/>
    <n v="5722"/>
    <n v="45033"/>
    <x v="26"/>
    <n v="9741"/>
    <x v="0"/>
  </r>
  <r>
    <d v="2025-11-27T00:00:00"/>
    <s v="Adult"/>
    <x v="32"/>
    <n v="9442"/>
    <n v="2906"/>
    <n v="1139"/>
    <n v="496"/>
    <n v="13982"/>
    <x v="26"/>
    <n v="1635"/>
    <x v="0"/>
  </r>
  <r>
    <d v="2025-11-27T00:00:00"/>
    <s v="Adult"/>
    <x v="4"/>
    <n v="2175"/>
    <n v="1117"/>
    <n v="560"/>
    <n v="319"/>
    <n v="4172"/>
    <x v="26"/>
    <n v="879"/>
    <x v="0"/>
  </r>
  <r>
    <d v="2025-11-27T00:00:00"/>
    <s v="Adult"/>
    <x v="43"/>
    <n v="25781"/>
    <n v="9163"/>
    <n v="3413"/>
    <n v="3111"/>
    <n v="41468"/>
    <x v="26"/>
    <n v="6524"/>
    <x v="0"/>
  </r>
  <r>
    <d v="2025-11-27T00:00:00"/>
    <s v="Adult"/>
    <x v="22"/>
    <n v="4506"/>
    <n v="1473"/>
    <n v="341"/>
    <n v="250"/>
    <n v="6569"/>
    <x v="26"/>
    <n v="591"/>
    <x v="0"/>
  </r>
  <r>
    <d v="2025-11-27T00:00:00"/>
    <s v="Adult"/>
    <x v="2"/>
    <n v="3541"/>
    <n v="1388"/>
    <n v="377"/>
    <n v="102"/>
    <n v="5407"/>
    <x v="26"/>
    <n v="479"/>
    <x v="0"/>
  </r>
  <r>
    <d v="2025-11-27T00:00:00"/>
    <s v="Adult"/>
    <x v="26"/>
    <n v="4969"/>
    <n v="1585"/>
    <n v="741"/>
    <n v="977"/>
    <n v="8272"/>
    <x v="26"/>
    <n v="1718"/>
    <x v="0"/>
  </r>
  <r>
    <d v="2025-11-27T00:00:00"/>
    <s v="Adult"/>
    <x v="20"/>
    <n v="2965"/>
    <n v="636"/>
    <n v="247"/>
    <n v="136"/>
    <n v="3984"/>
    <x v="26"/>
    <n v="383"/>
    <x v="0"/>
  </r>
  <r>
    <d v="2025-11-27T00:00:00"/>
    <s v="Adult"/>
    <x v="18"/>
    <n v="11684"/>
    <n v="4180"/>
    <n v="632"/>
    <n v="4"/>
    <n v="16499"/>
    <x v="26"/>
    <n v="636"/>
    <x v="0"/>
  </r>
  <r>
    <d v="2025-11-27T00:00:00"/>
    <s v="Adult"/>
    <x v="15"/>
    <n v="6891"/>
    <n v="2977"/>
    <n v="1524"/>
    <n v="564"/>
    <n v="11956"/>
    <x v="26"/>
    <n v="2088"/>
    <x v="0"/>
  </r>
  <r>
    <d v="2025-11-27T00:00:00"/>
    <s v="Adult"/>
    <x v="29"/>
    <n v="1376"/>
    <n v="609"/>
    <n v="587"/>
    <n v="373"/>
    <n v="2945"/>
    <x v="26"/>
    <n v="960"/>
    <x v="0"/>
  </r>
  <r>
    <d v="2025-11-27T00:00:00"/>
    <s v="Adult"/>
    <x v="11"/>
    <n v="362"/>
    <n v="295"/>
    <n v="202"/>
    <n v="270"/>
    <n v="1129"/>
    <x v="26"/>
    <n v="472"/>
    <x v="0"/>
  </r>
  <r>
    <d v="2025-11-27T00:00:00"/>
    <s v="Adult"/>
    <x v="27"/>
    <n v="10025"/>
    <n v="4575"/>
    <n v="2134"/>
    <n v="679"/>
    <n v="17413"/>
    <x v="26"/>
    <n v="2813"/>
    <x v="0"/>
  </r>
  <r>
    <d v="2025-11-27T00:00:00"/>
    <s v="Adult"/>
    <x v="0"/>
    <n v="4343"/>
    <n v="1782"/>
    <n v="454"/>
    <n v="128"/>
    <n v="6706"/>
    <x v="26"/>
    <n v="582"/>
    <x v="0"/>
  </r>
  <r>
    <d v="2025-11-27T00:00:00"/>
    <s v="Adult"/>
    <x v="7"/>
    <n v="3227"/>
    <n v="868"/>
    <n v="60"/>
    <n v="8"/>
    <n v="4162"/>
    <x v="26"/>
    <n v="68"/>
    <x v="0"/>
  </r>
  <r>
    <d v="2025-11-27T00:00:00"/>
    <s v="Adult"/>
    <x v="38"/>
    <n v="7104"/>
    <n v="3534"/>
    <n v="1967"/>
    <n v="945"/>
    <n v="13550"/>
    <x v="26"/>
    <n v="2912"/>
    <x v="0"/>
  </r>
  <r>
    <d v="2025-11-27T00:00:00"/>
    <s v="Adult"/>
    <x v="35"/>
    <n v="8414"/>
    <n v="2460"/>
    <n v="1034"/>
    <n v="1304"/>
    <n v="13212"/>
    <x v="26"/>
    <n v="2338"/>
    <x v="0"/>
  </r>
  <r>
    <d v="2025-11-27T00:00:00"/>
    <s v="Adult"/>
    <x v="36"/>
    <n v="14770"/>
    <n v="6597"/>
    <n v="3979"/>
    <n v="4546"/>
    <n v="29892"/>
    <x v="26"/>
    <n v="8525"/>
    <x v="0"/>
  </r>
  <r>
    <d v="2025-11-27T00:00:00"/>
    <s v="Adult"/>
    <x v="37"/>
    <n v="2233"/>
    <n v="1259"/>
    <n v="1157"/>
    <n v="5399"/>
    <n v="10048"/>
    <x v="26"/>
    <n v="6556"/>
    <x v="0"/>
  </r>
  <r>
    <d v="2025-11-27T00:00:00"/>
    <s v="Adult"/>
    <x v="44"/>
    <n v="17097"/>
    <n v="4922"/>
    <n v="1879"/>
    <n v="1031"/>
    <n v="24929"/>
    <x v="26"/>
    <n v="2910"/>
    <x v="0"/>
  </r>
  <r>
    <d v="2025-11-27T00:00:00"/>
    <s v="Adult"/>
    <x v="5"/>
    <n v="3510"/>
    <n v="1071"/>
    <n v="707"/>
    <n v="537"/>
    <n v="5824"/>
    <x v="26"/>
    <n v="1244"/>
    <x v="0"/>
  </r>
  <r>
    <d v="2025-11-27T00:00:00"/>
    <s v="Adult"/>
    <x v="45"/>
    <n v="3295"/>
    <n v="1153"/>
    <n v="683"/>
    <n v="327"/>
    <n v="5458"/>
    <x v="26"/>
    <n v="1010"/>
    <x v="0"/>
  </r>
  <r>
    <d v="2025-11-27T00:00:00"/>
    <s v="Adult"/>
    <x v="46"/>
    <n v="19884"/>
    <n v="7212"/>
    <n v="3963"/>
    <n v="2816"/>
    <n v="33874"/>
    <x v="26"/>
    <n v="6779"/>
    <x v="0"/>
  </r>
  <r>
    <d v="2025-11-27T00:00:00"/>
    <s v="Adult"/>
    <x v="12"/>
    <n v="13639"/>
    <n v="7376"/>
    <n v="2607"/>
    <n v="885"/>
    <n v="24507"/>
    <x v="26"/>
    <n v="3492"/>
    <x v="0"/>
  </r>
  <r>
    <d v="2025-11-27T00:00:00"/>
    <s v="Adult"/>
    <x v="8"/>
    <n v="2569"/>
    <n v="924"/>
    <n v="328"/>
    <n v="161"/>
    <n v="3982"/>
    <x v="26"/>
    <n v="489"/>
    <x v="0"/>
  </r>
  <r>
    <d v="2025-11-27T00:00:00"/>
    <s v="Adult"/>
    <x v="19"/>
    <n v="7274"/>
    <n v="2630"/>
    <n v="918"/>
    <n v="316"/>
    <n v="11138"/>
    <x v="26"/>
    <n v="1234"/>
    <x v="0"/>
  </r>
  <r>
    <d v="2025-11-27T00:00:00"/>
    <s v="Adult"/>
    <x v="34"/>
    <n v="17296"/>
    <n v="5220"/>
    <n v="2020"/>
    <n v="786"/>
    <n v="25322"/>
    <x v="26"/>
    <n v="2806"/>
    <x v="0"/>
  </r>
  <r>
    <d v="2025-11-27T00:00:00"/>
    <s v="Adult"/>
    <x v="42"/>
    <n v="22180"/>
    <n v="10853"/>
    <n v="5405"/>
    <n v="4572"/>
    <n v="43010"/>
    <x v="26"/>
    <n v="9977"/>
    <x v="0"/>
  </r>
  <r>
    <d v="2025-12-18T00:00:00"/>
    <s v="Adult"/>
    <x v="23"/>
    <n v="28102"/>
    <n v="12728"/>
    <n v="4011"/>
    <n v="1574"/>
    <n v="46414"/>
    <x v="27"/>
    <n v="5585"/>
    <x v="0"/>
  </r>
  <r>
    <d v="2025-12-18T00:00:00"/>
    <s v="Adult"/>
    <x v="30"/>
    <n v="6251"/>
    <n v="1480"/>
    <n v="423"/>
    <n v="107"/>
    <n v="8260"/>
    <x v="27"/>
    <n v="530"/>
    <x v="0"/>
  </r>
  <r>
    <d v="2025-12-18T00:00:00"/>
    <s v="Adult"/>
    <x v="9"/>
    <n v="2415"/>
    <n v="987"/>
    <n v="227"/>
    <n v="3"/>
    <n v="3631"/>
    <x v="27"/>
    <n v="230"/>
    <x v="0"/>
  </r>
  <r>
    <d v="2025-12-18T00:00:00"/>
    <s v="Adult"/>
    <x v="40"/>
    <n v="14004"/>
    <n v="4498"/>
    <n v="1089"/>
    <n v="116"/>
    <n v="19707"/>
    <x v="27"/>
    <n v="1205"/>
    <x v="0"/>
  </r>
  <r>
    <d v="2025-12-18T00:00:00"/>
    <s v="Adult"/>
    <x v="3"/>
    <n v="3403"/>
    <n v="1849"/>
    <n v="782"/>
    <n v="376"/>
    <n v="6410"/>
    <x v="27"/>
    <n v="1158"/>
    <x v="0"/>
  </r>
  <r>
    <d v="2025-12-18T00:00:00"/>
    <s v="Adult"/>
    <x v="13"/>
    <n v="435"/>
    <n v="330"/>
    <n v="255"/>
    <n v="256"/>
    <n v="1276"/>
    <x v="27"/>
    <n v="511"/>
    <x v="0"/>
  </r>
  <r>
    <d v="2025-12-18T00:00:00"/>
    <s v="Adult"/>
    <x v="41"/>
    <n v="25341"/>
    <n v="8880"/>
    <n v="3830"/>
    <n v="5659"/>
    <n v="43711"/>
    <x v="27"/>
    <n v="9489"/>
    <x v="0"/>
  </r>
  <r>
    <d v="2025-12-18T00:00:00"/>
    <s v="Adult"/>
    <x v="32"/>
    <n v="8869"/>
    <n v="2788"/>
    <n v="1017"/>
    <n v="503"/>
    <n v="13177"/>
    <x v="27"/>
    <n v="1520"/>
    <x v="0"/>
  </r>
  <r>
    <d v="2025-12-18T00:00:00"/>
    <s v="Adult"/>
    <x v="4"/>
    <n v="2098"/>
    <n v="990"/>
    <n v="522"/>
    <n v="198"/>
    <n v="3808"/>
    <x v="27"/>
    <n v="720"/>
    <x v="0"/>
  </r>
  <r>
    <d v="2025-12-18T00:00:00"/>
    <s v="Adult"/>
    <x v="43"/>
    <n v="25550"/>
    <n v="9331"/>
    <n v="3418"/>
    <n v="3004"/>
    <n v="41303"/>
    <x v="27"/>
    <n v="6422"/>
    <x v="0"/>
  </r>
  <r>
    <d v="2025-12-18T00:00:00"/>
    <s v="Adult"/>
    <x v="22"/>
    <n v="4575"/>
    <n v="1422"/>
    <n v="294"/>
    <n v="238"/>
    <n v="6529"/>
    <x v="27"/>
    <n v="532"/>
    <x v="0"/>
  </r>
  <r>
    <d v="2025-12-18T00:00:00"/>
    <s v="Adult"/>
    <x v="2"/>
    <n v="3600"/>
    <n v="1357"/>
    <n v="392"/>
    <n v="108"/>
    <n v="5456"/>
    <x v="27"/>
    <n v="500"/>
    <x v="0"/>
  </r>
  <r>
    <d v="2025-12-18T00:00:00"/>
    <s v="Adult"/>
    <x v="26"/>
    <n v="4838"/>
    <n v="1602"/>
    <n v="725"/>
    <n v="1039"/>
    <n v="8204"/>
    <x v="27"/>
    <n v="1764"/>
    <x v="0"/>
  </r>
  <r>
    <d v="2025-12-18T00:00:00"/>
    <s v="Adult"/>
    <x v="20"/>
    <n v="2844"/>
    <n v="643"/>
    <n v="243"/>
    <n v="135"/>
    <n v="3865"/>
    <x v="27"/>
    <n v="378"/>
    <x v="0"/>
  </r>
  <r>
    <d v="2025-12-18T00:00:00"/>
    <s v="Adult"/>
    <x v="15"/>
    <n v="6576"/>
    <n v="3045"/>
    <n v="1569"/>
    <n v="636"/>
    <n v="11824"/>
    <x v="27"/>
    <n v="2205"/>
    <x v="0"/>
  </r>
  <r>
    <d v="2025-12-18T00:00:00"/>
    <s v="Adult"/>
    <x v="29"/>
    <n v="1338"/>
    <n v="565"/>
    <n v="532"/>
    <n v="348"/>
    <n v="2782"/>
    <x v="27"/>
    <n v="880"/>
    <x v="0"/>
  </r>
  <r>
    <d v="2025-12-18T00:00:00"/>
    <s v="Adult"/>
    <x v="11"/>
    <n v="357"/>
    <n v="295"/>
    <n v="211"/>
    <n v="290"/>
    <n v="1153"/>
    <x v="27"/>
    <n v="501"/>
    <x v="0"/>
  </r>
  <r>
    <d v="2025-12-18T00:00:00"/>
    <s v="Adult"/>
    <x v="27"/>
    <n v="9940"/>
    <n v="4544"/>
    <n v="2004"/>
    <n v="690"/>
    <n v="17178"/>
    <x v="27"/>
    <n v="2694"/>
    <x v="0"/>
  </r>
  <r>
    <d v="2025-12-18T00:00:00"/>
    <s v="Adult"/>
    <x v="0"/>
    <n v="4397"/>
    <n v="1736"/>
    <n v="315"/>
    <n v="101"/>
    <n v="6548"/>
    <x v="27"/>
    <n v="416"/>
    <x v="0"/>
  </r>
  <r>
    <d v="2025-12-18T00:00:00"/>
    <s v="Adult"/>
    <x v="21"/>
    <n v="2071"/>
    <n v="574"/>
    <n v="161"/>
    <n v="4"/>
    <n v="2811"/>
    <x v="27"/>
    <n v="165"/>
    <x v="0"/>
  </r>
  <r>
    <d v="2025-12-18T00:00:00"/>
    <s v="Adult"/>
    <x v="7"/>
    <n v="3182"/>
    <n v="810"/>
    <n v="41"/>
    <n v="4"/>
    <n v="4037"/>
    <x v="27"/>
    <n v="45"/>
    <x v="0"/>
  </r>
  <r>
    <d v="2025-12-18T00:00:00"/>
    <s v="Adult"/>
    <x v="38"/>
    <n v="7274"/>
    <n v="3613"/>
    <n v="2075"/>
    <n v="1027"/>
    <n v="13989"/>
    <x v="27"/>
    <n v="3102"/>
    <x v="0"/>
  </r>
  <r>
    <d v="2025-12-18T00:00:00"/>
    <s v="Adult"/>
    <x v="35"/>
    <n v="8320"/>
    <n v="2497"/>
    <n v="982"/>
    <n v="1315"/>
    <n v="13113"/>
    <x v="27"/>
    <n v="2297"/>
    <x v="0"/>
  </r>
  <r>
    <d v="2025-12-18T00:00:00"/>
    <s v="Adult"/>
    <x v="36"/>
    <n v="14810"/>
    <n v="6580"/>
    <n v="3831"/>
    <n v="4537"/>
    <n v="29757"/>
    <x v="27"/>
    <n v="8368"/>
    <x v="0"/>
  </r>
  <r>
    <d v="2025-12-18T00:00:00"/>
    <s v="Adult"/>
    <x v="37"/>
    <n v="2236"/>
    <n v="1223"/>
    <n v="1128"/>
    <n v="5408"/>
    <n v="9994"/>
    <x v="27"/>
    <n v="6536"/>
    <x v="0"/>
  </r>
  <r>
    <d v="2025-12-18T00:00:00"/>
    <s v="Adult"/>
    <x v="44"/>
    <n v="16788"/>
    <n v="5006"/>
    <n v="1868"/>
    <n v="1009"/>
    <n v="24671"/>
    <x v="27"/>
    <n v="2877"/>
    <x v="0"/>
  </r>
  <r>
    <d v="2025-12-18T00:00:00"/>
    <s v="Adult"/>
    <x v="5"/>
    <n v="3612"/>
    <n v="1074"/>
    <n v="733"/>
    <n v="557"/>
    <n v="5976"/>
    <x v="27"/>
    <n v="1290"/>
    <x v="0"/>
  </r>
  <r>
    <d v="2025-12-18T00:00:00"/>
    <s v="Adult"/>
    <x v="45"/>
    <n v="3094"/>
    <n v="1140"/>
    <n v="662"/>
    <n v="362"/>
    <n v="5258"/>
    <x v="27"/>
    <n v="1024"/>
    <x v="0"/>
  </r>
  <r>
    <d v="2025-12-18T00:00:00"/>
    <s v="Adult"/>
    <x v="46"/>
    <n v="19580"/>
    <n v="7373"/>
    <n v="3852"/>
    <n v="2860"/>
    <n v="33666"/>
    <x v="27"/>
    <n v="6712"/>
    <x v="0"/>
  </r>
  <r>
    <d v="2025-12-18T00:00:00"/>
    <s v="Adult"/>
    <x v="12"/>
    <n v="13554"/>
    <n v="7275"/>
    <n v="2446"/>
    <n v="819"/>
    <n v="24094"/>
    <x v="27"/>
    <n v="3265"/>
    <x v="0"/>
  </r>
  <r>
    <d v="2025-12-18T00:00:00"/>
    <s v="Adult"/>
    <x v="8"/>
    <n v="2602"/>
    <n v="935"/>
    <n v="303"/>
    <n v="162"/>
    <n v="4001"/>
    <x v="27"/>
    <n v="465"/>
    <x v="0"/>
  </r>
  <r>
    <d v="2025-12-18T00:00:00"/>
    <s v="Adult"/>
    <x v="19"/>
    <n v="6990"/>
    <n v="2601"/>
    <n v="836"/>
    <n v="328"/>
    <n v="10754"/>
    <x v="27"/>
    <n v="1164"/>
    <x v="0"/>
  </r>
  <r>
    <d v="2025-12-18T00:00:00"/>
    <s v="Adult"/>
    <x v="34"/>
    <n v="17273"/>
    <n v="5386"/>
    <n v="2020"/>
    <n v="756"/>
    <n v="25435"/>
    <x v="27"/>
    <n v="2776"/>
    <x v="0"/>
  </r>
  <r>
    <d v="2025-12-18T00:00:00"/>
    <s v="Adult"/>
    <x v="42"/>
    <n v="22163"/>
    <n v="10811"/>
    <n v="5280"/>
    <n v="4257"/>
    <n v="42511"/>
    <x v="27"/>
    <n v="9537"/>
    <x v="0"/>
  </r>
  <r>
    <d v="2025-12-18T00:00:00"/>
    <s v="Adult"/>
    <x v="24"/>
    <n v="4053"/>
    <n v="824"/>
    <n v="161"/>
    <n v="7"/>
    <n v="5045"/>
    <x v="27"/>
    <n v="168"/>
    <x v="0"/>
  </r>
  <r>
    <d v="2026-01-29T00:00:00"/>
    <s v="Adult"/>
    <x v="23"/>
    <n v="28044"/>
    <n v="13966"/>
    <n v="4898"/>
    <n v="3709"/>
    <n v="50617"/>
    <x v="6"/>
    <n v="8607"/>
    <x v="0"/>
  </r>
  <r>
    <d v="2026-01-29T00:00:00"/>
    <s v="Adult"/>
    <x v="30"/>
    <n v="5898"/>
    <n v="1808"/>
    <n v="344"/>
    <n v="196"/>
    <n v="8247"/>
    <x v="6"/>
    <n v="540"/>
    <x v="0"/>
  </r>
  <r>
    <d v="2026-01-29T00:00:00"/>
    <s v="Adult"/>
    <x v="9"/>
    <n v="2511"/>
    <n v="992"/>
    <n v="196"/>
    <n v="3"/>
    <n v="3701"/>
    <x v="6"/>
    <n v="199"/>
    <x v="0"/>
  </r>
  <r>
    <d v="2026-01-29T00:00:00"/>
    <s v="Adult"/>
    <x v="40"/>
    <n v="14058"/>
    <n v="5006"/>
    <n v="1152"/>
    <n v="236"/>
    <n v="20452"/>
    <x v="6"/>
    <n v="1388"/>
    <x v="0"/>
  </r>
  <r>
    <d v="2026-01-29T00:00:00"/>
    <s v="Adult"/>
    <x v="3"/>
    <n v="3243"/>
    <n v="2091"/>
    <n v="606"/>
    <n v="365"/>
    <n v="6305"/>
    <x v="6"/>
    <n v="971"/>
    <x v="0"/>
  </r>
  <r>
    <d v="2026-01-29T00:00:00"/>
    <s v="Adult"/>
    <x v="13"/>
    <n v="402"/>
    <n v="363"/>
    <n v="249"/>
    <n v="316"/>
    <n v="1330"/>
    <x v="6"/>
    <n v="565"/>
    <x v="0"/>
  </r>
  <r>
    <d v="2026-01-29T00:00:00"/>
    <s v="Adult"/>
    <x v="41"/>
    <n v="25693"/>
    <n v="9654"/>
    <n v="3722"/>
    <n v="5982"/>
    <n v="45051"/>
    <x v="6"/>
    <n v="9704"/>
    <x v="0"/>
  </r>
  <r>
    <d v="2026-01-29T00:00:00"/>
    <s v="Adult"/>
    <x v="32"/>
    <n v="9358"/>
    <n v="2888"/>
    <n v="926"/>
    <n v="602"/>
    <n v="13775"/>
    <x v="6"/>
    <n v="1528"/>
    <x v="0"/>
  </r>
  <r>
    <d v="2026-01-29T00:00:00"/>
    <s v="Adult"/>
    <x v="17"/>
    <n v="1662"/>
    <n v="881"/>
    <n v="291"/>
    <n v="3"/>
    <n v="2837"/>
    <x v="6"/>
    <n v="294"/>
    <x v="0"/>
  </r>
  <r>
    <d v="2026-01-29T00:00:00"/>
    <s v="Adult"/>
    <x v="4"/>
    <n v="2206"/>
    <n v="1006"/>
    <n v="525"/>
    <n v="187"/>
    <n v="3924"/>
    <x v="6"/>
    <n v="712"/>
    <x v="0"/>
  </r>
  <r>
    <d v="2026-01-29T00:00:00"/>
    <s v="Adult"/>
    <x v="43"/>
    <n v="25062"/>
    <n v="10870"/>
    <n v="3402"/>
    <n v="3122"/>
    <n v="42457"/>
    <x v="6"/>
    <n v="6524"/>
    <x v="0"/>
  </r>
  <r>
    <d v="2026-01-29T00:00:00"/>
    <s v="Adult"/>
    <x v="22"/>
    <n v="4561"/>
    <n v="1655"/>
    <n v="308"/>
    <n v="245"/>
    <n v="6768"/>
    <x v="6"/>
    <n v="553"/>
    <x v="0"/>
  </r>
  <r>
    <d v="2026-01-29T00:00:00"/>
    <s v="Adult"/>
    <x v="2"/>
    <n v="3487"/>
    <n v="1551"/>
    <n v="460"/>
    <n v="190"/>
    <n v="5689"/>
    <x v="6"/>
    <n v="650"/>
    <x v="0"/>
  </r>
  <r>
    <d v="2026-01-29T00:00:00"/>
    <s v="Adult"/>
    <x v="26"/>
    <n v="5050"/>
    <n v="1791"/>
    <n v="678"/>
    <n v="1125"/>
    <n v="8644"/>
    <x v="6"/>
    <n v="1803"/>
    <x v="0"/>
  </r>
  <r>
    <d v="2026-01-29T00:00:00"/>
    <s v="Adult"/>
    <x v="20"/>
    <n v="3022"/>
    <n v="735"/>
    <n v="296"/>
    <n v="136"/>
    <n v="4189"/>
    <x v="6"/>
    <n v="432"/>
    <x v="0"/>
  </r>
  <r>
    <d v="2026-01-29T00:00:00"/>
    <s v="Adult"/>
    <x v="18"/>
    <n v="11208"/>
    <n v="5171"/>
    <n v="917"/>
    <n v="48"/>
    <n v="17344"/>
    <x v="6"/>
    <n v="965"/>
    <x v="0"/>
  </r>
  <r>
    <d v="2026-01-29T00:00:00"/>
    <s v="Adult"/>
    <x v="15"/>
    <n v="6481"/>
    <n v="3506"/>
    <n v="1613"/>
    <n v="733"/>
    <n v="12333"/>
    <x v="6"/>
    <n v="2346"/>
    <x v="0"/>
  </r>
  <r>
    <d v="2026-01-29T00:00:00"/>
    <s v="Adult"/>
    <x v="14"/>
    <n v="2303"/>
    <n v="949"/>
    <n v="148"/>
    <n v="3"/>
    <n v="3403"/>
    <x v="6"/>
    <n v="151"/>
    <x v="0"/>
  </r>
  <r>
    <d v="2026-01-29T00:00:00"/>
    <s v="Adult"/>
    <x v="29"/>
    <n v="1290"/>
    <n v="586"/>
    <n v="473"/>
    <n v="363"/>
    <n v="2712"/>
    <x v="6"/>
    <n v="836"/>
    <x v="0"/>
  </r>
  <r>
    <d v="2026-01-29T00:00:00"/>
    <s v="Adult"/>
    <x v="11"/>
    <n v="379"/>
    <n v="342"/>
    <n v="215"/>
    <n v="317"/>
    <n v="1253"/>
    <x v="6"/>
    <n v="532"/>
    <x v="0"/>
  </r>
  <r>
    <d v="2026-01-29T00:00:00"/>
    <s v="Adult"/>
    <x v="27"/>
    <n v="9786"/>
    <n v="5192"/>
    <n v="2082"/>
    <n v="788"/>
    <n v="17847"/>
    <x v="6"/>
    <n v="2870"/>
    <x v="0"/>
  </r>
  <r>
    <d v="2026-01-29T00:00:00"/>
    <s v="Adult"/>
    <x v="0"/>
    <n v="4276"/>
    <n v="1805"/>
    <n v="311"/>
    <n v="103"/>
    <n v="6496"/>
    <x v="6"/>
    <n v="414"/>
    <x v="0"/>
  </r>
  <r>
    <d v="2026-01-29T00:00:00"/>
    <s v="Adult"/>
    <x v="21"/>
    <n v="2203"/>
    <n v="619"/>
    <n v="177"/>
    <n v="5"/>
    <n v="3004"/>
    <x v="6"/>
    <n v="182"/>
    <x v="0"/>
  </r>
  <r>
    <d v="2026-01-29T00:00:00"/>
    <s v="Adult"/>
    <x v="7"/>
    <n v="3219"/>
    <n v="1109"/>
    <n v="22"/>
    <n v="5"/>
    <n v="4354"/>
    <x v="6"/>
    <n v="27"/>
    <x v="0"/>
  </r>
  <r>
    <d v="2026-01-29T00:00:00"/>
    <s v="Adult"/>
    <x v="38"/>
    <n v="7290"/>
    <n v="3961"/>
    <n v="2084"/>
    <n v="1154"/>
    <n v="14489"/>
    <x v="6"/>
    <n v="3238"/>
    <x v="0"/>
  </r>
  <r>
    <d v="2026-01-29T00:00:00"/>
    <s v="Adult"/>
    <x v="35"/>
    <n v="8614"/>
    <n v="2806"/>
    <n v="942"/>
    <n v="1430"/>
    <n v="13792"/>
    <x v="6"/>
    <n v="2372"/>
    <x v="0"/>
  </r>
  <r>
    <d v="2026-01-29T00:00:00"/>
    <s v="Adult"/>
    <x v="36"/>
    <n v="14794"/>
    <n v="7304"/>
    <n v="3765"/>
    <n v="4826"/>
    <n v="30689"/>
    <x v="6"/>
    <n v="8591"/>
    <x v="0"/>
  </r>
  <r>
    <d v="2026-01-29T00:00:00"/>
    <s v="Adult"/>
    <x v="37"/>
    <n v="2156"/>
    <n v="1371"/>
    <n v="1033"/>
    <n v="5585"/>
    <n v="10146"/>
    <x v="6"/>
    <n v="6618"/>
    <x v="0"/>
  </r>
  <r>
    <d v="2026-01-29T00:00:00"/>
    <s v="Adult"/>
    <x v="44"/>
    <n v="17075"/>
    <n v="5959"/>
    <n v="1964"/>
    <n v="1115"/>
    <n v="26114"/>
    <x v="6"/>
    <n v="3079"/>
    <x v="0"/>
  </r>
  <r>
    <d v="2026-01-29T00:00:00"/>
    <s v="Adult"/>
    <x v="5"/>
    <n v="3518"/>
    <n v="1264"/>
    <n v="705"/>
    <n v="546"/>
    <n v="6033"/>
    <x v="6"/>
    <n v="1251"/>
    <x v="0"/>
  </r>
  <r>
    <d v="2026-01-29T00:00:00"/>
    <s v="Adult"/>
    <x v="45"/>
    <n v="2874"/>
    <n v="1271"/>
    <n v="598"/>
    <n v="424"/>
    <n v="5168"/>
    <x v="6"/>
    <n v="1022"/>
    <x v="0"/>
  </r>
  <r>
    <d v="2026-01-29T00:00:00"/>
    <s v="Adult"/>
    <x v="46"/>
    <n v="18551"/>
    <n v="8224"/>
    <n v="3838"/>
    <n v="3229"/>
    <n v="33842"/>
    <x v="6"/>
    <n v="7067"/>
    <x v="0"/>
  </r>
  <r>
    <d v="2026-01-29T00:00:00"/>
    <s v="Adult"/>
    <x v="12"/>
    <n v="12546"/>
    <n v="8412"/>
    <n v="2313"/>
    <n v="908"/>
    <n v="24178"/>
    <x v="6"/>
    <n v="3221"/>
    <x v="0"/>
  </r>
  <r>
    <d v="2026-01-29T00:00:00"/>
    <s v="Adult"/>
    <x v="8"/>
    <n v="2412"/>
    <n v="1121"/>
    <n v="304"/>
    <n v="184"/>
    <n v="4021"/>
    <x v="6"/>
    <n v="488"/>
    <x v="0"/>
  </r>
  <r>
    <d v="2026-01-29T00:00:00"/>
    <s v="Adult"/>
    <x v="19"/>
    <n v="6684"/>
    <n v="3035"/>
    <n v="832"/>
    <n v="417"/>
    <n v="10968"/>
    <x v="6"/>
    <n v="1249"/>
    <x v="0"/>
  </r>
  <r>
    <d v="2026-01-29T00:00:00"/>
    <s v="Adult"/>
    <x v="34"/>
    <n v="16955"/>
    <n v="6648"/>
    <n v="1958"/>
    <n v="856"/>
    <n v="26417"/>
    <x v="6"/>
    <n v="2814"/>
    <x v="0"/>
  </r>
  <r>
    <d v="2026-01-29T00:00:00"/>
    <s v="Adult"/>
    <x v="42"/>
    <n v="20809"/>
    <n v="11624"/>
    <n v="5072"/>
    <n v="4304"/>
    <n v="41809"/>
    <x v="6"/>
    <n v="9376"/>
    <x v="0"/>
  </r>
  <r>
    <d v="2026-01-29T00:00:00"/>
    <s v="Adult"/>
    <x v="24"/>
    <n v="3737"/>
    <n v="1038"/>
    <n v="200"/>
    <n v="4"/>
    <n v="4978"/>
    <x v="6"/>
    <n v="204"/>
    <x v="0"/>
  </r>
  <r>
    <d v="2026-02-26T00:00:00"/>
    <s v="Adult"/>
    <x v="23"/>
    <n v="29615"/>
    <n v="14440"/>
    <n v="5973"/>
    <n v="2448"/>
    <n v="52476"/>
    <x v="7"/>
    <n v="8421"/>
    <x v="0"/>
  </r>
  <r>
    <d v="2026-02-26T00:00:00"/>
    <s v="Adult"/>
    <x v="30"/>
    <n v="6030"/>
    <n v="1910"/>
    <n v="282"/>
    <n v="71"/>
    <n v="8292"/>
    <x v="7"/>
    <n v="353"/>
    <x v="0"/>
  </r>
  <r>
    <d v="2026-02-26T00:00:00"/>
    <s v="Adult"/>
    <x v="9"/>
    <n v="2436"/>
    <n v="1040"/>
    <n v="154"/>
    <n v="11"/>
    <n v="3641"/>
    <x v="7"/>
    <n v="165"/>
    <x v="0"/>
  </r>
  <r>
    <d v="2026-02-26T00:00:00"/>
    <s v="Adult"/>
    <x v="40"/>
    <n v="14300"/>
    <n v="4830"/>
    <n v="1124"/>
    <n v="230"/>
    <n v="20484"/>
    <x v="7"/>
    <n v="1354"/>
    <x v="0"/>
  </r>
  <r>
    <d v="2026-02-26T00:00:00"/>
    <s v="Adult"/>
    <x v="3"/>
    <n v="3190"/>
    <n v="2229"/>
    <n v="586"/>
    <n v="362"/>
    <n v="6367"/>
    <x v="7"/>
    <n v="948"/>
    <x v="0"/>
  </r>
  <r>
    <d v="2026-02-26T00:00:00"/>
    <s v="Adult"/>
    <x v="13"/>
    <n v="422"/>
    <n v="375"/>
    <n v="260"/>
    <n v="313"/>
    <n v="1371"/>
    <x v="7"/>
    <n v="573"/>
    <x v="0"/>
  </r>
  <r>
    <d v="2026-02-26T00:00:00"/>
    <s v="Adult"/>
    <x v="41"/>
    <n v="25540"/>
    <n v="9815"/>
    <n v="3736"/>
    <n v="5656"/>
    <n v="44746"/>
    <x v="7"/>
    <n v="9392"/>
    <x v="0"/>
  </r>
  <r>
    <d v="2026-02-26T00:00:00"/>
    <s v="Adult"/>
    <x v="32"/>
    <n v="9772"/>
    <n v="2628"/>
    <n v="794"/>
    <n v="635"/>
    <n v="13828"/>
    <x v="7"/>
    <n v="1429"/>
    <x v="0"/>
  </r>
  <r>
    <d v="2026-02-26T00:00:00"/>
    <s v="Adult"/>
    <x v="17"/>
    <n v="1689"/>
    <n v="887"/>
    <n v="329"/>
    <n v="4"/>
    <n v="2909"/>
    <x v="7"/>
    <n v="333"/>
    <x v="0"/>
  </r>
  <r>
    <d v="2026-02-26T00:00:00"/>
    <s v="Adult"/>
    <x v="4"/>
    <n v="2247"/>
    <n v="864"/>
    <n v="486"/>
    <n v="193"/>
    <n v="3790"/>
    <x v="7"/>
    <n v="679"/>
    <x v="0"/>
  </r>
  <r>
    <d v="2026-02-26T00:00:00"/>
    <s v="Adult"/>
    <x v="43"/>
    <n v="24843"/>
    <n v="10999"/>
    <n v="3535"/>
    <n v="3180"/>
    <n v="42557"/>
    <x v="7"/>
    <n v="6715"/>
    <x v="0"/>
  </r>
  <r>
    <d v="2026-02-26T00:00:00"/>
    <s v="Adult"/>
    <x v="22"/>
    <n v="4745"/>
    <n v="1701"/>
    <n v="327"/>
    <n v="244"/>
    <n v="7017"/>
    <x v="7"/>
    <n v="571"/>
    <x v="0"/>
  </r>
  <r>
    <d v="2026-02-26T00:00:00"/>
    <s v="Adult"/>
    <x v="2"/>
    <n v="3569"/>
    <n v="1529"/>
    <n v="531"/>
    <n v="234"/>
    <n v="5863"/>
    <x v="7"/>
    <n v="765"/>
    <x v="0"/>
  </r>
  <r>
    <d v="2026-02-26T00:00:00"/>
    <s v="Adult"/>
    <x v="26"/>
    <n v="5193"/>
    <n v="1793"/>
    <n v="699"/>
    <n v="1149"/>
    <n v="8835"/>
    <x v="7"/>
    <n v="1848"/>
    <x v="0"/>
  </r>
  <r>
    <d v="2026-02-26T00:00:00"/>
    <s v="Adult"/>
    <x v="20"/>
    <n v="2987"/>
    <n v="863"/>
    <n v="305"/>
    <n v="145"/>
    <n v="4299"/>
    <x v="7"/>
    <n v="450"/>
    <x v="0"/>
  </r>
  <r>
    <d v="2026-02-26T00:00:00"/>
    <s v="Adult"/>
    <x v="18"/>
    <n v="11435"/>
    <n v="5138"/>
    <n v="1130"/>
    <n v="84"/>
    <n v="17787"/>
    <x v="7"/>
    <n v="1214"/>
    <x v="0"/>
  </r>
  <r>
    <d v="2026-02-26T00:00:00"/>
    <s v="Adult"/>
    <x v="15"/>
    <n v="6466"/>
    <n v="3739"/>
    <n v="1735"/>
    <n v="836"/>
    <n v="12775"/>
    <x v="7"/>
    <n v="2571"/>
    <x v="0"/>
  </r>
  <r>
    <d v="2026-02-26T00:00:00"/>
    <s v="Adult"/>
    <x v="14"/>
    <n v="2359"/>
    <n v="933"/>
    <n v="230"/>
    <n v="3"/>
    <n v="3525"/>
    <x v="7"/>
    <n v="233"/>
    <x v="0"/>
  </r>
  <r>
    <d v="2026-02-26T00:00:00"/>
    <s v="Adult"/>
    <x v="29"/>
    <n v="1316"/>
    <n v="553"/>
    <n v="470"/>
    <n v="314"/>
    <n v="2652"/>
    <x v="7"/>
    <n v="784"/>
    <x v="0"/>
  </r>
  <r>
    <d v="2026-02-26T00:00:00"/>
    <s v="Adult"/>
    <x v="11"/>
    <n v="393"/>
    <n v="335"/>
    <n v="232"/>
    <n v="328"/>
    <n v="1287"/>
    <x v="7"/>
    <n v="560"/>
    <x v="0"/>
  </r>
  <r>
    <d v="2026-02-26T00:00:00"/>
    <s v="Adult"/>
    <x v="27"/>
    <n v="9953"/>
    <n v="4860"/>
    <n v="2012"/>
    <n v="816"/>
    <n v="17641"/>
    <x v="7"/>
    <n v="2828"/>
    <x v="0"/>
  </r>
  <r>
    <d v="2026-02-26T00:00:00"/>
    <s v="Adult"/>
    <x v="0"/>
    <n v="4396"/>
    <n v="1906"/>
    <n v="283"/>
    <n v="95"/>
    <n v="6680"/>
    <x v="7"/>
    <n v="378"/>
    <x v="0"/>
  </r>
  <r>
    <d v="2026-02-26T00:00:00"/>
    <s v="Adult"/>
    <x v="21"/>
    <n v="2290"/>
    <n v="636"/>
    <n v="234"/>
    <n v="8"/>
    <n v="3168"/>
    <x v="7"/>
    <n v="242"/>
    <x v="0"/>
  </r>
  <r>
    <d v="2026-02-26T00:00:00"/>
    <s v="Adult"/>
    <x v="7"/>
    <n v="3315"/>
    <n v="1268"/>
    <n v="91"/>
    <n v="4"/>
    <n v="4678"/>
    <x v="7"/>
    <n v="95"/>
    <x v="0"/>
  </r>
  <r>
    <d v="2026-02-26T00:00:00"/>
    <s v="Adult"/>
    <x v="38"/>
    <n v="7681"/>
    <n v="3942"/>
    <n v="2242"/>
    <n v="1350"/>
    <n v="15215"/>
    <x v="7"/>
    <n v="3592"/>
    <x v="0"/>
  </r>
  <r>
    <d v="2026-02-26T00:00:00"/>
    <s v="Adult"/>
    <x v="35"/>
    <n v="9008"/>
    <n v="2926"/>
    <n v="995"/>
    <n v="1477"/>
    <n v="14405"/>
    <x v="7"/>
    <n v="2472"/>
    <x v="0"/>
  </r>
  <r>
    <d v="2026-02-26T00:00:00"/>
    <s v="Adult"/>
    <x v="36"/>
    <n v="14853"/>
    <n v="7507"/>
    <n v="3570"/>
    <n v="4899"/>
    <n v="30829"/>
    <x v="7"/>
    <n v="8469"/>
    <x v="0"/>
  </r>
  <r>
    <d v="2026-02-26T00:00:00"/>
    <s v="Adult"/>
    <x v="37"/>
    <n v="2168"/>
    <n v="1379"/>
    <n v="1072"/>
    <n v="5729"/>
    <n v="10348"/>
    <x v="7"/>
    <n v="6801"/>
    <x v="0"/>
  </r>
  <r>
    <d v="2026-02-26T00:00:00"/>
    <s v="Adult"/>
    <x v="44"/>
    <n v="17185"/>
    <n v="6058"/>
    <n v="2199"/>
    <n v="1214"/>
    <n v="26657"/>
    <x v="7"/>
    <n v="3413"/>
    <x v="0"/>
  </r>
  <r>
    <d v="2026-02-26T00:00:00"/>
    <s v="Adult"/>
    <x v="5"/>
    <n v="3635"/>
    <n v="1315"/>
    <n v="717"/>
    <n v="460"/>
    <n v="6128"/>
    <x v="7"/>
    <n v="1177"/>
    <x v="0"/>
  </r>
  <r>
    <d v="2026-02-26T00:00:00"/>
    <s v="Adult"/>
    <x v="45"/>
    <n v="2856"/>
    <n v="1217"/>
    <n v="622"/>
    <n v="428"/>
    <n v="5122"/>
    <x v="7"/>
    <n v="1050"/>
    <x v="0"/>
  </r>
  <r>
    <d v="2026-02-26T00:00:00"/>
    <s v="Adult"/>
    <x v="46"/>
    <n v="18692"/>
    <n v="8077"/>
    <n v="3883"/>
    <n v="3295"/>
    <n v="33947"/>
    <x v="7"/>
    <n v="7178"/>
    <x v="0"/>
  </r>
  <r>
    <d v="2026-02-26T00:00:00"/>
    <s v="Adult"/>
    <x v="12"/>
    <n v="13187"/>
    <n v="8474"/>
    <n v="2330"/>
    <n v="906"/>
    <n v="24897"/>
    <x v="7"/>
    <n v="3236"/>
    <x v="0"/>
  </r>
  <r>
    <d v="2026-02-26T00:00:00"/>
    <s v="Adult"/>
    <x v="8"/>
    <n v="2547"/>
    <n v="1111"/>
    <n v="346"/>
    <n v="144"/>
    <n v="4147"/>
    <x v="7"/>
    <n v="490"/>
    <x v="0"/>
  </r>
  <r>
    <d v="2026-02-26T00:00:00"/>
    <s v="Adult"/>
    <x v="19"/>
    <n v="6924"/>
    <n v="3056"/>
    <n v="825"/>
    <n v="452"/>
    <n v="11258"/>
    <x v="7"/>
    <n v="1277"/>
    <x v="0"/>
  </r>
  <r>
    <d v="2026-02-26T00:00:00"/>
    <s v="Adult"/>
    <x v="34"/>
    <n v="16588"/>
    <n v="7257"/>
    <n v="1935"/>
    <n v="784"/>
    <n v="26564"/>
    <x v="7"/>
    <n v="2719"/>
    <x v="0"/>
  </r>
  <r>
    <d v="2026-02-26T00:00:00"/>
    <s v="Adult"/>
    <x v="42"/>
    <n v="22053"/>
    <n v="11359"/>
    <n v="5170"/>
    <n v="4186"/>
    <n v="42768"/>
    <x v="7"/>
    <n v="9356"/>
    <x v="0"/>
  </r>
  <r>
    <d v="2026-02-26T00:00:00"/>
    <s v="Adult"/>
    <x v="24"/>
    <n v="3927"/>
    <n v="1040"/>
    <n v="241"/>
    <n v="7"/>
    <n v="5215"/>
    <x v="7"/>
    <n v="248"/>
    <x v="0"/>
  </r>
  <r>
    <d v="2026-03-26T00:00:00"/>
    <s v="Adult"/>
    <x v="23"/>
    <n v="30106"/>
    <n v="14401"/>
    <n v="6725"/>
    <n v="2787"/>
    <n v="54019"/>
    <x v="28"/>
    <n v="9512"/>
    <x v="0"/>
  </r>
  <r>
    <d v="2026-03-26T00:00:00"/>
    <s v="Adult"/>
    <x v="30"/>
    <n v="6005"/>
    <n v="1954"/>
    <n v="242"/>
    <n v="49"/>
    <n v="8250"/>
    <x v="28"/>
    <n v="291"/>
    <x v="0"/>
  </r>
  <r>
    <d v="2026-03-26T00:00:00"/>
    <s v="Adult"/>
    <x v="9"/>
    <n v="2341"/>
    <n v="1092"/>
    <n v="124"/>
    <n v="4"/>
    <n v="3560"/>
    <x v="28"/>
    <n v="128"/>
    <x v="0"/>
  </r>
  <r>
    <d v="2026-03-26T00:00:00"/>
    <s v="Adult"/>
    <x v="40"/>
    <n v="14311"/>
    <n v="4867"/>
    <n v="1296"/>
    <n v="250"/>
    <n v="20723"/>
    <x v="28"/>
    <n v="1546"/>
    <x v="0"/>
  </r>
  <r>
    <d v="2026-03-26T00:00:00"/>
    <s v="Adult"/>
    <x v="3"/>
    <n v="3167"/>
    <n v="2271"/>
    <n v="573"/>
    <n v="373"/>
    <n v="6384"/>
    <x v="28"/>
    <n v="946"/>
    <x v="0"/>
  </r>
  <r>
    <d v="2026-03-26T00:00:00"/>
    <s v="Adult"/>
    <x v="13"/>
    <n v="399"/>
    <n v="392"/>
    <n v="269"/>
    <n v="349"/>
    <n v="1408"/>
    <x v="28"/>
    <n v="618"/>
    <x v="0"/>
  </r>
  <r>
    <d v="2026-03-26T00:00:00"/>
    <s v="Adult"/>
    <x v="41"/>
    <n v="24803"/>
    <n v="9561"/>
    <n v="3996"/>
    <n v="5561"/>
    <n v="43920"/>
    <x v="28"/>
    <n v="9557"/>
    <x v="0"/>
  </r>
  <r>
    <d v="2026-03-26T00:00:00"/>
    <s v="Adult"/>
    <x v="32"/>
    <n v="10003"/>
    <n v="2422"/>
    <n v="747"/>
    <n v="658"/>
    <n v="13830"/>
    <x v="28"/>
    <n v="1405"/>
    <x v="0"/>
  </r>
  <r>
    <d v="2026-03-26T00:00:00"/>
    <s v="Adult"/>
    <x v="17"/>
    <n v="1738"/>
    <n v="946"/>
    <n v="362"/>
    <n v="4"/>
    <n v="3051"/>
    <x v="28"/>
    <n v="366"/>
    <x v="0"/>
  </r>
  <r>
    <d v="2026-03-26T00:00:00"/>
    <s v="Adult"/>
    <x v="4"/>
    <n v="2320"/>
    <n v="850"/>
    <n v="420"/>
    <n v="209"/>
    <n v="3799"/>
    <x v="28"/>
    <n v="629"/>
    <x v="0"/>
  </r>
  <r>
    <d v="2026-03-26T00:00:00"/>
    <s v="Adult"/>
    <x v="43"/>
    <n v="24958"/>
    <n v="11096"/>
    <n v="3776"/>
    <n v="3192"/>
    <n v="43022"/>
    <x v="28"/>
    <n v="6968"/>
    <x v="0"/>
  </r>
  <r>
    <d v="2026-03-26T00:00:00"/>
    <s v="Adult"/>
    <x v="22"/>
    <n v="4852"/>
    <n v="1728"/>
    <n v="387"/>
    <n v="246"/>
    <n v="7214"/>
    <x v="28"/>
    <n v="633"/>
    <x v="0"/>
  </r>
  <r>
    <d v="2026-03-26T00:00:00"/>
    <s v="Adult"/>
    <x v="2"/>
    <n v="3499"/>
    <n v="1564"/>
    <n v="528"/>
    <n v="250"/>
    <n v="5841"/>
    <x v="28"/>
    <n v="778"/>
    <x v="0"/>
  </r>
  <r>
    <d v="2026-03-26T00:00:00"/>
    <s v="Adult"/>
    <x v="26"/>
    <n v="5398"/>
    <n v="1860"/>
    <n v="695"/>
    <n v="1211"/>
    <n v="9163"/>
    <x v="28"/>
    <n v="1906"/>
    <x v="0"/>
  </r>
  <r>
    <d v="2026-03-26T00:00:00"/>
    <s v="Adult"/>
    <x v="20"/>
    <n v="3013"/>
    <n v="972"/>
    <n v="337"/>
    <n v="153"/>
    <n v="4475"/>
    <x v="28"/>
    <n v="490"/>
    <x v="0"/>
  </r>
  <r>
    <d v="2026-03-26T00:00:00"/>
    <s v="Adult"/>
    <x v="18"/>
    <n v="11320"/>
    <n v="5358"/>
    <n v="1407"/>
    <n v="152"/>
    <n v="18236"/>
    <x v="28"/>
    <n v="1559"/>
    <x v="0"/>
  </r>
  <r>
    <d v="2026-03-26T00:00:00"/>
    <s v="Adult"/>
    <x v="15"/>
    <n v="6361"/>
    <n v="3772"/>
    <n v="1825"/>
    <n v="1009"/>
    <n v="12966"/>
    <x v="28"/>
    <n v="2834"/>
    <x v="0"/>
  </r>
  <r>
    <d v="2026-03-26T00:00:00"/>
    <s v="Adult"/>
    <x v="29"/>
    <n v="1247"/>
    <n v="540"/>
    <n v="461"/>
    <n v="313"/>
    <n v="2561"/>
    <x v="28"/>
    <n v="774"/>
    <x v="0"/>
  </r>
  <r>
    <d v="2026-03-26T00:00:00"/>
    <s v="Adult"/>
    <x v="11"/>
    <n v="387"/>
    <n v="348"/>
    <n v="239"/>
    <n v="342"/>
    <n v="1316"/>
    <x v="28"/>
    <n v="581"/>
    <x v="0"/>
  </r>
  <r>
    <d v="2026-03-26T00:00:00"/>
    <s v="Adult"/>
    <x v="27"/>
    <n v="9442"/>
    <n v="4766"/>
    <n v="2024"/>
    <n v="854"/>
    <n v="17086"/>
    <x v="28"/>
    <n v="2878"/>
    <x v="0"/>
  </r>
  <r>
    <d v="2026-03-26T00:00:00"/>
    <s v="Adult"/>
    <x v="0"/>
    <n v="4550"/>
    <n v="1931"/>
    <n v="366"/>
    <n v="68"/>
    <n v="6915"/>
    <x v="28"/>
    <n v="434"/>
    <x v="0"/>
  </r>
  <r>
    <d v="2026-03-26T00:00:00"/>
    <s v="Adult"/>
    <x v="21"/>
    <n v="2291"/>
    <n v="630"/>
    <n v="220"/>
    <n v="10"/>
    <n v="3151"/>
    <x v="28"/>
    <n v="230"/>
    <x v="0"/>
  </r>
  <r>
    <d v="2026-03-26T00:00:00"/>
    <s v="Adult"/>
    <x v="7"/>
    <n v="3452"/>
    <n v="1314"/>
    <n v="39"/>
    <n v="4"/>
    <n v="4809"/>
    <x v="28"/>
    <n v="43"/>
    <x v="0"/>
  </r>
  <r>
    <d v="2026-03-26T00:00:00"/>
    <s v="Adult"/>
    <x v="10"/>
    <n v="4547"/>
    <n v="1566"/>
    <n v="64"/>
    <n v="1"/>
    <n v="6178"/>
    <x v="28"/>
    <n v="65"/>
    <x v="0"/>
  </r>
  <r>
    <d v="2026-03-26T00:00:00"/>
    <s v="Adult"/>
    <x v="38"/>
    <n v="7595"/>
    <n v="4141"/>
    <n v="2206"/>
    <n v="1657"/>
    <n v="15599"/>
    <x v="28"/>
    <n v="3863"/>
    <x v="0"/>
  </r>
  <r>
    <d v="2026-03-26T00:00:00"/>
    <s v="Adult"/>
    <x v="35"/>
    <n v="8956"/>
    <n v="3091"/>
    <n v="1002"/>
    <n v="1540"/>
    <n v="14590"/>
    <x v="28"/>
    <n v="2542"/>
    <x v="0"/>
  </r>
  <r>
    <d v="2026-03-26T00:00:00"/>
    <s v="Adult"/>
    <x v="36"/>
    <n v="15605"/>
    <n v="7629"/>
    <n v="3597"/>
    <n v="4953"/>
    <n v="31784"/>
    <x v="28"/>
    <n v="8550"/>
    <x v="0"/>
  </r>
  <r>
    <d v="2026-03-26T00:00:00"/>
    <s v="Adult"/>
    <x v="37"/>
    <n v="2161"/>
    <n v="1399"/>
    <n v="1075"/>
    <n v="5821"/>
    <n v="10456"/>
    <x v="28"/>
    <n v="6896"/>
    <x v="0"/>
  </r>
  <r>
    <d v="2026-03-26T00:00:00"/>
    <s v="Adult"/>
    <x v="44"/>
    <n v="17371"/>
    <n v="6292"/>
    <n v="2483"/>
    <n v="1315"/>
    <n v="27460"/>
    <x v="28"/>
    <n v="3798"/>
    <x v="0"/>
  </r>
  <r>
    <d v="2026-03-26T00:00:00"/>
    <s v="Adult"/>
    <x v="5"/>
    <n v="3614"/>
    <n v="1372"/>
    <n v="685"/>
    <n v="537"/>
    <n v="6208"/>
    <x v="28"/>
    <n v="1222"/>
    <x v="0"/>
  </r>
  <r>
    <d v="2026-03-26T00:00:00"/>
    <s v="Adult"/>
    <x v="45"/>
    <n v="2821"/>
    <n v="1193"/>
    <n v="661"/>
    <n v="383"/>
    <n v="5059"/>
    <x v="28"/>
    <n v="1044"/>
    <x v="0"/>
  </r>
  <r>
    <d v="2026-03-26T00:00:00"/>
    <s v="Adult"/>
    <x v="46"/>
    <n v="18893"/>
    <n v="8094"/>
    <n v="3869"/>
    <n v="3383"/>
    <n v="34239"/>
    <x v="28"/>
    <n v="7252"/>
    <x v="0"/>
  </r>
  <r>
    <d v="2026-03-26T00:00:00"/>
    <s v="Adult"/>
    <x v="12"/>
    <n v="14337"/>
    <n v="8924"/>
    <n v="2492"/>
    <n v="962"/>
    <n v="26714"/>
    <x v="28"/>
    <n v="3454"/>
    <x v="0"/>
  </r>
  <r>
    <d v="2026-03-26T00:00:00"/>
    <s v="Adult"/>
    <x v="8"/>
    <n v="2626"/>
    <n v="1101"/>
    <n v="370"/>
    <n v="157"/>
    <n v="4253"/>
    <x v="28"/>
    <n v="527"/>
    <x v="0"/>
  </r>
  <r>
    <d v="2026-03-26T00:00:00"/>
    <s v="Adult"/>
    <x v="19"/>
    <n v="6915"/>
    <n v="2974"/>
    <n v="959"/>
    <n v="437"/>
    <n v="11285"/>
    <x v="28"/>
    <n v="1396"/>
    <x v="0"/>
  </r>
  <r>
    <d v="2026-03-26T00:00:00"/>
    <s v="Adult"/>
    <x v="34"/>
    <n v="17151"/>
    <n v="7651"/>
    <n v="1842"/>
    <n v="786"/>
    <n v="27429"/>
    <x v="28"/>
    <n v="2628"/>
    <x v="0"/>
  </r>
  <r>
    <d v="2026-03-26T00:00:00"/>
    <s v="Adult"/>
    <x v="42"/>
    <n v="21913"/>
    <n v="11315"/>
    <n v="5257"/>
    <n v="4150"/>
    <n v="42636"/>
    <x v="28"/>
    <n v="9407"/>
    <x v="0"/>
  </r>
  <r>
    <d v="2026-03-26T00:00:00"/>
    <s v="Adult"/>
    <x v="24"/>
    <n v="4042"/>
    <n v="963"/>
    <n v="359"/>
    <n v="17"/>
    <n v="5382"/>
    <x v="28"/>
    <n v="376"/>
    <x v="0"/>
  </r>
  <r>
    <d v="2026-04-30T00:00:00"/>
    <s v="Adult"/>
    <x v="23"/>
    <n v="30531"/>
    <n v="14009"/>
    <n v="6802"/>
    <n v="3265"/>
    <n v="54607"/>
    <x v="29"/>
    <n v="10067"/>
    <x v="0"/>
  </r>
  <r>
    <d v="2026-04-30T00:00:00"/>
    <s v="Adult"/>
    <x v="30"/>
    <n v="5850"/>
    <n v="1895"/>
    <n v="707"/>
    <n v="7"/>
    <n v="8458"/>
    <x v="29"/>
    <n v="714"/>
    <x v="0"/>
  </r>
  <r>
    <d v="2026-04-30T00:00:00"/>
    <s v="Adult"/>
    <x v="9"/>
    <n v="2392"/>
    <n v="1116"/>
    <n v="112"/>
    <n v="3"/>
    <n v="3623"/>
    <x v="29"/>
    <n v="115"/>
    <x v="0"/>
  </r>
  <r>
    <d v="2026-04-30T00:00:00"/>
    <s v="Adult"/>
    <x v="40"/>
    <n v="14166"/>
    <n v="5002"/>
    <n v="1139"/>
    <n v="138"/>
    <n v="20444"/>
    <x v="29"/>
    <n v="1277"/>
    <x v="0"/>
  </r>
  <r>
    <d v="2026-04-30T00:00:00"/>
    <s v="Adult"/>
    <x v="3"/>
    <n v="3193"/>
    <n v="2264"/>
    <n v="592"/>
    <n v="383"/>
    <n v="6432"/>
    <x v="29"/>
    <n v="975"/>
    <x v="0"/>
  </r>
  <r>
    <d v="2026-04-30T00:00:00"/>
    <s v="Adult"/>
    <x v="13"/>
    <n v="412"/>
    <n v="383"/>
    <n v="285"/>
    <n v="358"/>
    <n v="1438"/>
    <x v="29"/>
    <n v="643"/>
    <x v="0"/>
  </r>
  <r>
    <d v="2026-04-30T00:00:00"/>
    <s v="Adult"/>
    <x v="41"/>
    <n v="25029"/>
    <n v="9710"/>
    <n v="4325"/>
    <n v="5541"/>
    <n v="44605"/>
    <x v="29"/>
    <n v="9866"/>
    <x v="0"/>
  </r>
  <r>
    <d v="2026-04-30T00:00:00"/>
    <s v="Adult"/>
    <x v="32"/>
    <n v="10248"/>
    <n v="2216"/>
    <n v="646"/>
    <n v="568"/>
    <n v="13679"/>
    <x v="29"/>
    <n v="1214"/>
    <x v="0"/>
  </r>
  <r>
    <d v="2026-04-30T00:00:00"/>
    <s v="Adult"/>
    <x v="4"/>
    <n v="2376"/>
    <n v="726"/>
    <n v="315"/>
    <n v="129"/>
    <n v="3546"/>
    <x v="29"/>
    <n v="444"/>
    <x v="0"/>
  </r>
  <r>
    <d v="2026-04-30T00:00:00"/>
    <s v="Adult"/>
    <x v="43"/>
    <n v="25575"/>
    <n v="10286"/>
    <n v="3667"/>
    <n v="2855"/>
    <n v="42382"/>
    <x v="29"/>
    <n v="6522"/>
    <x v="0"/>
  </r>
  <r>
    <d v="2026-04-30T00:00:00"/>
    <s v="Adult"/>
    <x v="22"/>
    <n v="5111"/>
    <n v="1689"/>
    <n v="436"/>
    <n v="265"/>
    <n v="7501"/>
    <x v="29"/>
    <n v="701"/>
    <x v="0"/>
  </r>
  <r>
    <d v="2026-04-30T00:00:00"/>
    <s v="Adult"/>
    <x v="2"/>
    <n v="3509"/>
    <n v="1688"/>
    <n v="588"/>
    <n v="255"/>
    <n v="6040"/>
    <x v="29"/>
    <n v="843"/>
    <x v="0"/>
  </r>
  <r>
    <d v="2026-04-30T00:00:00"/>
    <s v="Adult"/>
    <x v="26"/>
    <n v="5591"/>
    <n v="1877"/>
    <n v="639"/>
    <n v="1130"/>
    <n v="9236"/>
    <x v="29"/>
    <n v="1769"/>
    <x v="0"/>
  </r>
  <r>
    <d v="2026-04-30T00:00:00"/>
    <s v="Adult"/>
    <x v="20"/>
    <n v="3092"/>
    <n v="984"/>
    <n v="359"/>
    <n v="145"/>
    <n v="4580"/>
    <x v="29"/>
    <n v="504"/>
    <x v="0"/>
  </r>
  <r>
    <d v="2026-04-30T00:00:00"/>
    <s v="Adult"/>
    <x v="18"/>
    <n v="11611"/>
    <n v="5978"/>
    <n v="1726"/>
    <n v="195"/>
    <n v="19510"/>
    <x v="29"/>
    <n v="1921"/>
    <x v="0"/>
  </r>
  <r>
    <d v="2026-04-30T00:00:00"/>
    <s v="Adult"/>
    <x v="15"/>
    <n v="6414"/>
    <n v="3734"/>
    <n v="1966"/>
    <n v="1229"/>
    <n v="13343"/>
    <x v="29"/>
    <n v="3195"/>
    <x v="0"/>
  </r>
  <r>
    <d v="2026-04-30T00:00:00"/>
    <s v="Adult"/>
    <x v="29"/>
    <n v="1278"/>
    <n v="526"/>
    <n v="420"/>
    <n v="349"/>
    <n v="2572"/>
    <x v="29"/>
    <n v="769"/>
    <x v="0"/>
  </r>
  <r>
    <d v="2026-04-30T00:00:00"/>
    <s v="Adult"/>
    <x v="11"/>
    <n v="418"/>
    <n v="346"/>
    <n v="255"/>
    <n v="352"/>
    <n v="1370"/>
    <x v="29"/>
    <n v="607"/>
    <x v="0"/>
  </r>
  <r>
    <d v="2026-04-30T00:00:00"/>
    <s v="Adult"/>
    <x v="27"/>
    <n v="9786"/>
    <n v="5040"/>
    <n v="1969"/>
    <n v="903"/>
    <n v="17699"/>
    <x v="29"/>
    <n v="2872"/>
    <x v="0"/>
  </r>
  <r>
    <d v="2026-04-30T00:00:00"/>
    <s v="Adult"/>
    <x v="0"/>
    <n v="4785"/>
    <n v="2054"/>
    <n v="477"/>
    <n v="79"/>
    <n v="7395"/>
    <x v="29"/>
    <n v="556"/>
    <x v="0"/>
  </r>
  <r>
    <d v="2026-04-30T00:00:00"/>
    <s v="Adult"/>
    <x v="21"/>
    <n v="2305"/>
    <n v="620"/>
    <n v="175"/>
    <n v="7"/>
    <n v="3106"/>
    <x v="29"/>
    <n v="182"/>
    <x v="0"/>
  </r>
  <r>
    <d v="2026-04-30T00:00:00"/>
    <s v="Adult"/>
    <x v="38"/>
    <n v="7381"/>
    <n v="4692"/>
    <n v="2702"/>
    <n v="1804"/>
    <n v="16579"/>
    <x v="29"/>
    <n v="4506"/>
    <x v="0"/>
  </r>
  <r>
    <d v="2026-04-30T00:00:00"/>
    <s v="Adult"/>
    <x v="35"/>
    <n v="8892"/>
    <n v="3132"/>
    <n v="1030"/>
    <n v="1532"/>
    <n v="14585"/>
    <x v="29"/>
    <n v="2562"/>
    <x v="0"/>
  </r>
  <r>
    <d v="2026-04-30T00:00:00"/>
    <s v="Adult"/>
    <x v="36"/>
    <n v="15049"/>
    <n v="7699"/>
    <n v="3688"/>
    <n v="4712"/>
    <n v="31148"/>
    <x v="29"/>
    <n v="8400"/>
    <x v="0"/>
  </r>
  <r>
    <d v="2026-04-30T00:00:00"/>
    <s v="Adult"/>
    <x v="37"/>
    <n v="2200"/>
    <n v="1447"/>
    <n v="1073"/>
    <n v="5934"/>
    <n v="10654"/>
    <x v="29"/>
    <n v="7007"/>
    <x v="0"/>
  </r>
  <r>
    <d v="2026-04-30T00:00:00"/>
    <s v="Adult"/>
    <x v="44"/>
    <n v="18226"/>
    <n v="6371"/>
    <n v="2684"/>
    <n v="1498"/>
    <n v="28779"/>
    <x v="29"/>
    <n v="4182"/>
    <x v="0"/>
  </r>
  <r>
    <d v="2026-04-30T00:00:00"/>
    <s v="Adult"/>
    <x v="5"/>
    <n v="3678"/>
    <n v="1413"/>
    <n v="631"/>
    <n v="500"/>
    <n v="6223"/>
    <x v="29"/>
    <n v="1131"/>
    <x v="0"/>
  </r>
  <r>
    <d v="2026-04-30T00:00:00"/>
    <s v="Adult"/>
    <x v="45"/>
    <n v="2730"/>
    <n v="1176"/>
    <n v="611"/>
    <n v="360"/>
    <n v="4876"/>
    <x v="29"/>
    <n v="971"/>
    <x v="0"/>
  </r>
  <r>
    <d v="2026-04-30T00:00:00"/>
    <s v="Adult"/>
    <x v="46"/>
    <n v="18958"/>
    <n v="8108"/>
    <n v="3976"/>
    <n v="3474"/>
    <n v="34517"/>
    <x v="29"/>
    <n v="7450"/>
    <x v="0"/>
  </r>
  <r>
    <d v="2026-04-30T00:00:00"/>
    <s v="Adult"/>
    <x v="12"/>
    <n v="15464"/>
    <n v="9292"/>
    <n v="2706"/>
    <n v="1055"/>
    <n v="28516"/>
    <x v="29"/>
    <n v="3761"/>
    <x v="0"/>
  </r>
  <r>
    <d v="2026-04-30T00:00:00"/>
    <s v="Adult"/>
    <x v="8"/>
    <n v="2696"/>
    <n v="1019"/>
    <n v="382"/>
    <n v="160"/>
    <n v="4257"/>
    <x v="29"/>
    <n v="542"/>
    <x v="0"/>
  </r>
  <r>
    <d v="2026-04-30T00:00:00"/>
    <s v="Adult"/>
    <x v="19"/>
    <n v="6933"/>
    <n v="2730"/>
    <n v="1019"/>
    <n v="448"/>
    <n v="11130"/>
    <x v="29"/>
    <n v="1467"/>
    <x v="0"/>
  </r>
  <r>
    <d v="2026-04-30T00:00:00"/>
    <s v="Adult"/>
    <x v="34"/>
    <n v="17678"/>
    <n v="7897"/>
    <n v="1863"/>
    <n v="768"/>
    <n v="28206"/>
    <x v="29"/>
    <n v="2631"/>
    <x v="0"/>
  </r>
  <r>
    <d v="2026-04-30T00:00:00"/>
    <s v="Adult"/>
    <x v="42"/>
    <n v="22442"/>
    <n v="11498"/>
    <n v="5180"/>
    <n v="4129"/>
    <n v="43249"/>
    <x v="29"/>
    <n v="9309"/>
    <x v="0"/>
  </r>
  <r>
    <d v="2026-04-30T00:00:00"/>
    <s v="Adult"/>
    <x v="24"/>
    <n v="4301"/>
    <n v="849"/>
    <n v="364"/>
    <n v="13"/>
    <n v="5527"/>
    <x v="29"/>
    <n v="377"/>
    <x v="0"/>
  </r>
  <r>
    <d v="2026-05-28T00:00:00"/>
    <s v="Adult"/>
    <x v="23"/>
    <n v="30782"/>
    <n v="14124"/>
    <n v="7071"/>
    <n v="3714"/>
    <n v="55691"/>
    <x v="8"/>
    <n v="10785"/>
    <x v="0"/>
  </r>
  <r>
    <d v="2026-05-28T00:00:00"/>
    <s v="Adult"/>
    <x v="30"/>
    <n v="5929"/>
    <n v="1908"/>
    <n v="741"/>
    <n v="11"/>
    <n v="8589"/>
    <x v="8"/>
    <n v="752"/>
    <x v="0"/>
  </r>
  <r>
    <d v="2026-05-28T00:00:00"/>
    <s v="Adult"/>
    <x v="40"/>
    <n v="14124"/>
    <n v="5154"/>
    <n v="1351"/>
    <n v="122"/>
    <n v="20751"/>
    <x v="8"/>
    <n v="1473"/>
    <x v="0"/>
  </r>
  <r>
    <d v="2026-05-28T00:00:00"/>
    <s v="Adult"/>
    <x v="3"/>
    <n v="3088"/>
    <n v="2343"/>
    <n v="566"/>
    <n v="365"/>
    <n v="6362"/>
    <x v="8"/>
    <n v="931"/>
    <x v="0"/>
  </r>
  <r>
    <d v="2026-05-28T00:00:00"/>
    <s v="Adult"/>
    <x v="13"/>
    <n v="424"/>
    <n v="379"/>
    <n v="287"/>
    <n v="382"/>
    <n v="1472"/>
    <x v="8"/>
    <n v="669"/>
    <x v="0"/>
  </r>
  <r>
    <d v="2026-05-28T00:00:00"/>
    <s v="Adult"/>
    <x v="41"/>
    <n v="25521"/>
    <n v="9570"/>
    <n v="4483"/>
    <n v="5427"/>
    <n v="45002"/>
    <x v="8"/>
    <n v="9910"/>
    <x v="0"/>
  </r>
  <r>
    <d v="2026-05-28T00:00:00"/>
    <s v="Adult"/>
    <x v="32"/>
    <n v="10359"/>
    <n v="1962"/>
    <n v="458"/>
    <n v="595"/>
    <n v="13373"/>
    <x v="8"/>
    <n v="1053"/>
    <x v="0"/>
  </r>
  <r>
    <d v="2026-05-28T00:00:00"/>
    <s v="Adult"/>
    <x v="17"/>
    <n v="1708"/>
    <n v="735"/>
    <n v="178"/>
    <n v="7"/>
    <n v="2628"/>
    <x v="8"/>
    <n v="185"/>
    <x v="0"/>
  </r>
  <r>
    <d v="2026-05-28T00:00:00"/>
    <s v="Adult"/>
    <x v="4"/>
    <n v="2429"/>
    <n v="733"/>
    <n v="276"/>
    <n v="136"/>
    <n v="3573"/>
    <x v="8"/>
    <n v="412"/>
    <x v="0"/>
  </r>
  <r>
    <d v="2026-05-28T00:00:00"/>
    <s v="Adult"/>
    <x v="43"/>
    <n v="25615"/>
    <n v="10267"/>
    <n v="3924"/>
    <n v="3128"/>
    <n v="42933"/>
    <x v="8"/>
    <n v="7052"/>
    <x v="0"/>
  </r>
  <r>
    <d v="2026-05-28T00:00:00"/>
    <s v="Adult"/>
    <x v="22"/>
    <n v="5163"/>
    <n v="1673"/>
    <n v="499"/>
    <n v="180"/>
    <n v="7515"/>
    <x v="8"/>
    <n v="679"/>
    <x v="0"/>
  </r>
  <r>
    <d v="2026-05-28T00:00:00"/>
    <s v="Adult"/>
    <x v="2"/>
    <n v="3518"/>
    <n v="1679"/>
    <n v="678"/>
    <n v="306"/>
    <n v="6181"/>
    <x v="8"/>
    <n v="984"/>
    <x v="0"/>
  </r>
  <r>
    <d v="2026-05-28T00:00:00"/>
    <s v="Adult"/>
    <x v="26"/>
    <n v="5713"/>
    <n v="1973"/>
    <n v="648"/>
    <n v="1048"/>
    <n v="9382"/>
    <x v="8"/>
    <n v="1696"/>
    <x v="0"/>
  </r>
  <r>
    <d v="2026-05-28T00:00:00"/>
    <s v="Adult"/>
    <x v="20"/>
    <n v="3281"/>
    <n v="1092"/>
    <n v="390"/>
    <n v="161"/>
    <n v="4924"/>
    <x v="8"/>
    <n v="551"/>
    <x v="0"/>
  </r>
  <r>
    <d v="2026-05-28T00:00:00"/>
    <s v="Adult"/>
    <x v="18"/>
    <n v="11800"/>
    <n v="6123"/>
    <n v="1926"/>
    <n v="291"/>
    <n v="20139"/>
    <x v="8"/>
    <n v="2217"/>
    <x v="0"/>
  </r>
  <r>
    <d v="2026-05-28T00:00:00"/>
    <s v="Adult"/>
    <x v="15"/>
    <n v="6694"/>
    <n v="3601"/>
    <n v="1997"/>
    <n v="1396"/>
    <n v="13688"/>
    <x v="8"/>
    <n v="3393"/>
    <x v="0"/>
  </r>
  <r>
    <d v="2026-05-28T00:00:00"/>
    <s v="Adult"/>
    <x v="14"/>
    <n v="2410"/>
    <n v="973"/>
    <n v="356"/>
    <n v="1"/>
    <n v="3740"/>
    <x v="8"/>
    <n v="357"/>
    <x v="0"/>
  </r>
  <r>
    <d v="2026-05-28T00:00:00"/>
    <s v="Adult"/>
    <x v="29"/>
    <n v="1310"/>
    <n v="477"/>
    <n v="404"/>
    <n v="319"/>
    <n v="2509"/>
    <x v="8"/>
    <n v="723"/>
    <x v="0"/>
  </r>
  <r>
    <d v="2026-05-28T00:00:00"/>
    <s v="Adult"/>
    <x v="11"/>
    <n v="412"/>
    <n v="343"/>
    <n v="267"/>
    <n v="376"/>
    <n v="1399"/>
    <x v="8"/>
    <n v="643"/>
    <x v="0"/>
  </r>
  <r>
    <d v="2026-05-28T00:00:00"/>
    <s v="Adult"/>
    <x v="27"/>
    <n v="9697"/>
    <n v="5106"/>
    <n v="1877"/>
    <n v="877"/>
    <n v="17558"/>
    <x v="8"/>
    <n v="2754"/>
    <x v="0"/>
  </r>
  <r>
    <d v="2026-05-28T00:00:00"/>
    <s v="Adult"/>
    <x v="0"/>
    <n v="4956"/>
    <n v="2202"/>
    <n v="527"/>
    <n v="90"/>
    <n v="7774"/>
    <x v="8"/>
    <n v="617"/>
    <x v="0"/>
  </r>
  <r>
    <d v="2026-05-28T00:00:00"/>
    <s v="Adult"/>
    <x v="21"/>
    <n v="2379"/>
    <n v="652"/>
    <n v="183"/>
    <n v="8"/>
    <n v="3222"/>
    <x v="8"/>
    <n v="191"/>
    <x v="0"/>
  </r>
  <r>
    <d v="2026-05-28T00:00:00"/>
    <s v="Adult"/>
    <x v="38"/>
    <n v="7024"/>
    <n v="4758"/>
    <n v="2855"/>
    <n v="1993"/>
    <n v="16630"/>
    <x v="8"/>
    <n v="4848"/>
    <x v="0"/>
  </r>
  <r>
    <d v="2026-05-28T00:00:00"/>
    <s v="Adult"/>
    <x v="35"/>
    <n v="9360"/>
    <n v="3258"/>
    <n v="1011"/>
    <n v="1500"/>
    <n v="15129"/>
    <x v="8"/>
    <n v="2511"/>
    <x v="0"/>
  </r>
  <r>
    <d v="2026-05-28T00:00:00"/>
    <s v="Adult"/>
    <x v="36"/>
    <n v="15144"/>
    <n v="7754"/>
    <n v="3649"/>
    <n v="4872"/>
    <n v="31419"/>
    <x v="8"/>
    <n v="8521"/>
    <x v="0"/>
  </r>
  <r>
    <d v="2026-05-28T00:00:00"/>
    <s v="Adult"/>
    <x v="37"/>
    <n v="2211"/>
    <n v="1463"/>
    <n v="1111"/>
    <n v="6114"/>
    <n v="10899"/>
    <x v="8"/>
    <n v="7225"/>
    <x v="0"/>
  </r>
  <r>
    <d v="2026-05-28T00:00:00"/>
    <s v="Adult"/>
    <x v="44"/>
    <n v="18465"/>
    <n v="6428"/>
    <n v="2756"/>
    <n v="1564"/>
    <n v="29213"/>
    <x v="8"/>
    <n v="4320"/>
    <x v="0"/>
  </r>
  <r>
    <d v="2026-05-28T00:00:00"/>
    <s v="Adult"/>
    <x v="5"/>
    <n v="3576"/>
    <n v="1506"/>
    <n v="588"/>
    <n v="518"/>
    <n v="6188"/>
    <x v="8"/>
    <n v="1106"/>
    <x v="0"/>
  </r>
  <r>
    <d v="2026-05-28T00:00:00"/>
    <s v="Adult"/>
    <x v="45"/>
    <n v="2796"/>
    <n v="1113"/>
    <n v="678"/>
    <n v="350"/>
    <n v="4937"/>
    <x v="8"/>
    <n v="1028"/>
    <x v="0"/>
  </r>
  <r>
    <d v="2026-05-28T00:00:00"/>
    <s v="Adult"/>
    <x v="46"/>
    <n v="18879"/>
    <n v="7879"/>
    <n v="4003"/>
    <n v="3504"/>
    <n v="34264"/>
    <x v="8"/>
    <n v="7507"/>
    <x v="0"/>
  </r>
  <r>
    <d v="2026-05-28T00:00:00"/>
    <s v="Adult"/>
    <x v="12"/>
    <n v="16191"/>
    <n v="9260"/>
    <n v="2869"/>
    <n v="1104"/>
    <n v="29424"/>
    <x v="8"/>
    <n v="3973"/>
    <x v="0"/>
  </r>
  <r>
    <d v="2026-05-28T00:00:00"/>
    <s v="Adult"/>
    <x v="8"/>
    <n v="2781"/>
    <n v="936"/>
    <n v="436"/>
    <n v="178"/>
    <n v="4331"/>
    <x v="8"/>
    <n v="614"/>
    <x v="0"/>
  </r>
  <r>
    <d v="2026-05-28T00:00:00"/>
    <s v="Adult"/>
    <x v="19"/>
    <n v="6882"/>
    <n v="2470"/>
    <n v="980"/>
    <n v="439"/>
    <n v="10771"/>
    <x v="8"/>
    <n v="1419"/>
    <x v="0"/>
  </r>
  <r>
    <d v="2026-05-28T00:00:00"/>
    <s v="Adult"/>
    <x v="34"/>
    <n v="17959"/>
    <n v="8327"/>
    <n v="2104"/>
    <n v="855"/>
    <n v="29246"/>
    <x v="8"/>
    <n v="2959"/>
    <x v="0"/>
  </r>
  <r>
    <d v="2026-05-28T00:00:00"/>
    <s v="Adult"/>
    <x v="42"/>
    <n v="22479"/>
    <n v="11576"/>
    <n v="5193"/>
    <n v="4151"/>
    <n v="43399"/>
    <x v="8"/>
    <n v="9344"/>
    <x v="0"/>
  </r>
  <r>
    <d v="2026-05-28T00:00:00"/>
    <s v="Adult"/>
    <x v="24"/>
    <n v="4228"/>
    <n v="884"/>
    <n v="430"/>
    <n v="39"/>
    <n v="5581"/>
    <x v="8"/>
    <n v="469"/>
    <x v="0"/>
  </r>
  <r>
    <d v="2026-06-25T00:00:00"/>
    <s v="Adult"/>
    <x v="23"/>
    <n v="31211"/>
    <n v="14319"/>
    <n v="7274"/>
    <n v="4050"/>
    <n v="56854"/>
    <x v="9"/>
    <n v="11324"/>
    <x v="0"/>
  </r>
  <r>
    <d v="2026-06-25T00:00:00"/>
    <s v="Adult"/>
    <x v="16"/>
    <n v="5057"/>
    <n v="1391"/>
    <n v="105"/>
    <n v="17"/>
    <n v="6570"/>
    <x v="9"/>
    <n v="122"/>
    <x v="0"/>
  </r>
  <r>
    <d v="2026-06-25T00:00:00"/>
    <s v="Adult"/>
    <x v="30"/>
    <n v="5540"/>
    <n v="1780"/>
    <n v="820"/>
    <n v="9"/>
    <n v="8149"/>
    <x v="9"/>
    <n v="829"/>
    <x v="0"/>
  </r>
  <r>
    <d v="2026-06-25T00:00:00"/>
    <s v="Adult"/>
    <x v="40"/>
    <n v="14084"/>
    <n v="5408"/>
    <n v="1525"/>
    <n v="116"/>
    <n v="21132"/>
    <x v="9"/>
    <n v="1641"/>
    <x v="0"/>
  </r>
  <r>
    <d v="2026-06-25T00:00:00"/>
    <s v="Adult"/>
    <x v="3"/>
    <n v="3174"/>
    <n v="2310"/>
    <n v="593"/>
    <n v="373"/>
    <n v="6449"/>
    <x v="9"/>
    <n v="966"/>
    <x v="0"/>
  </r>
  <r>
    <d v="2026-06-25T00:00:00"/>
    <s v="Adult"/>
    <x v="13"/>
    <n v="422"/>
    <n v="341"/>
    <n v="312"/>
    <n v="344"/>
    <n v="1418"/>
    <x v="9"/>
    <n v="656"/>
    <x v="0"/>
  </r>
  <r>
    <d v="2026-06-25T00:00:00"/>
    <s v="Adult"/>
    <x v="41"/>
    <n v="25533"/>
    <n v="9587"/>
    <n v="4744"/>
    <n v="5138"/>
    <n v="45002"/>
    <x v="9"/>
    <n v="9882"/>
    <x v="0"/>
  </r>
  <r>
    <d v="2026-06-25T00:00:00"/>
    <s v="Adult"/>
    <x v="32"/>
    <n v="10519"/>
    <n v="1814"/>
    <n v="422"/>
    <n v="598"/>
    <n v="13353"/>
    <x v="9"/>
    <n v="1020"/>
    <x v="0"/>
  </r>
  <r>
    <d v="2026-06-25T00:00:00"/>
    <s v="Adult"/>
    <x v="4"/>
    <n v="2433"/>
    <n v="774"/>
    <n v="205"/>
    <n v="162"/>
    <n v="3574"/>
    <x v="9"/>
    <n v="367"/>
    <x v="0"/>
  </r>
  <r>
    <d v="2026-06-25T00:00:00"/>
    <s v="Adult"/>
    <x v="43"/>
    <n v="25827"/>
    <n v="10134"/>
    <n v="4216"/>
    <n v="3176"/>
    <n v="43353"/>
    <x v="9"/>
    <n v="7392"/>
    <x v="0"/>
  </r>
  <r>
    <d v="2026-06-25T00:00:00"/>
    <s v="Adult"/>
    <x v="22"/>
    <n v="5192"/>
    <n v="1747"/>
    <n v="463"/>
    <n v="155"/>
    <n v="7557"/>
    <x v="9"/>
    <n v="618"/>
    <x v="0"/>
  </r>
  <r>
    <d v="2026-06-25T00:00:00"/>
    <s v="Adult"/>
    <x v="2"/>
    <n v="3503"/>
    <n v="1704"/>
    <n v="652"/>
    <n v="276"/>
    <n v="6135"/>
    <x v="9"/>
    <n v="928"/>
    <x v="0"/>
  </r>
  <r>
    <d v="2026-06-25T00:00:00"/>
    <s v="Adult"/>
    <x v="26"/>
    <n v="5773"/>
    <n v="2013"/>
    <n v="726"/>
    <n v="956"/>
    <n v="9468"/>
    <x v="9"/>
    <n v="1682"/>
    <x v="0"/>
  </r>
  <r>
    <d v="2026-06-25T00:00:00"/>
    <s v="Adult"/>
    <x v="20"/>
    <n v="3239"/>
    <n v="1064"/>
    <n v="407"/>
    <n v="182"/>
    <n v="4891"/>
    <x v="9"/>
    <n v="589"/>
    <x v="0"/>
  </r>
  <r>
    <d v="2026-06-25T00:00:00"/>
    <s v="Adult"/>
    <x v="18"/>
    <n v="11686"/>
    <n v="6029"/>
    <n v="2066"/>
    <n v="388"/>
    <n v="20170"/>
    <x v="9"/>
    <n v="2454"/>
    <x v="0"/>
  </r>
  <r>
    <d v="2026-06-25T00:00:00"/>
    <s v="Adult"/>
    <x v="15"/>
    <n v="6818"/>
    <n v="3541"/>
    <n v="2131"/>
    <n v="1540"/>
    <n v="14029"/>
    <x v="9"/>
    <n v="3671"/>
    <x v="0"/>
  </r>
  <r>
    <d v="2026-06-25T00:00:00"/>
    <s v="Adult"/>
    <x v="14"/>
    <n v="2310"/>
    <n v="892"/>
    <n v="405"/>
    <n v="1"/>
    <n v="3608"/>
    <x v="9"/>
    <n v="406"/>
    <x v="0"/>
  </r>
  <r>
    <d v="2026-06-25T00:00:00"/>
    <s v="Adult"/>
    <x v="29"/>
    <n v="1389"/>
    <n v="429"/>
    <n v="383"/>
    <n v="280"/>
    <n v="2481"/>
    <x v="9"/>
    <n v="663"/>
    <x v="0"/>
  </r>
  <r>
    <d v="2026-06-25T00:00:00"/>
    <s v="Adult"/>
    <x v="11"/>
    <n v="382"/>
    <n v="339"/>
    <n v="276"/>
    <n v="390"/>
    <n v="1387"/>
    <x v="9"/>
    <n v="666"/>
    <x v="0"/>
  </r>
  <r>
    <d v="2026-06-25T00:00:00"/>
    <s v="Adult"/>
    <x v="27"/>
    <n v="9342"/>
    <n v="4572"/>
    <n v="1788"/>
    <n v="834"/>
    <n v="16536"/>
    <x v="9"/>
    <n v="2622"/>
    <x v="0"/>
  </r>
  <r>
    <d v="2026-06-25T00:00:00"/>
    <s v="Adult"/>
    <x v="0"/>
    <n v="5027"/>
    <n v="2195"/>
    <n v="660"/>
    <n v="68"/>
    <n v="7951"/>
    <x v="9"/>
    <n v="728"/>
    <x v="0"/>
  </r>
  <r>
    <d v="2026-06-25T00:00:00"/>
    <s v="Adult"/>
    <x v="21"/>
    <n v="2406"/>
    <n v="578"/>
    <n v="144"/>
    <n v="13"/>
    <n v="3141"/>
    <x v="9"/>
    <n v="157"/>
    <x v="0"/>
  </r>
  <r>
    <d v="2026-06-25T00:00:00"/>
    <s v="Adult"/>
    <x v="10"/>
    <n v="4468"/>
    <n v="1592"/>
    <n v="118"/>
    <n v="3"/>
    <n v="6181"/>
    <x v="9"/>
    <n v="121"/>
    <x v="0"/>
  </r>
  <r>
    <d v="2026-06-25T00:00:00"/>
    <s v="Adult"/>
    <x v="38"/>
    <n v="6772"/>
    <n v="4738"/>
    <n v="2975"/>
    <n v="2117"/>
    <n v="16602"/>
    <x v="9"/>
    <n v="5092"/>
    <x v="0"/>
  </r>
  <r>
    <d v="2026-06-25T00:00:00"/>
    <s v="Adult"/>
    <x v="35"/>
    <n v="9671"/>
    <n v="3293"/>
    <n v="1024"/>
    <n v="1505"/>
    <n v="15494"/>
    <x v="9"/>
    <n v="2529"/>
    <x v="0"/>
  </r>
  <r>
    <d v="2026-06-25T00:00:00"/>
    <s v="Adult"/>
    <x v="36"/>
    <n v="15061"/>
    <n v="7753"/>
    <n v="3733"/>
    <n v="4745"/>
    <n v="31292"/>
    <x v="9"/>
    <n v="8478"/>
    <x v="0"/>
  </r>
  <r>
    <d v="2026-06-25T00:00:00"/>
    <s v="Adult"/>
    <x v="37"/>
    <n v="2249"/>
    <n v="1436"/>
    <n v="1082"/>
    <n v="6092"/>
    <n v="10858"/>
    <x v="9"/>
    <n v="7174"/>
    <x v="0"/>
  </r>
  <r>
    <d v="2026-06-25T00:00:00"/>
    <s v="Adult"/>
    <x v="44"/>
    <n v="18507"/>
    <n v="6452"/>
    <n v="2574"/>
    <n v="1703"/>
    <n v="29235"/>
    <x v="9"/>
    <n v="4277"/>
    <x v="0"/>
  </r>
  <r>
    <d v="2026-06-25T00:00:00"/>
    <s v="Adult"/>
    <x v="1"/>
    <n v="529"/>
    <n v="298"/>
    <n v="70"/>
    <n v="3"/>
    <n v="899"/>
    <x v="9"/>
    <n v="73"/>
    <x v="0"/>
  </r>
  <r>
    <d v="2026-06-25T00:00:00"/>
    <s v="Adult"/>
    <x v="5"/>
    <n v="3785"/>
    <n v="1502"/>
    <n v="617"/>
    <n v="520"/>
    <n v="6424"/>
    <x v="9"/>
    <n v="1137"/>
    <x v="0"/>
  </r>
  <r>
    <d v="2026-06-25T00:00:00"/>
    <s v="Adult"/>
    <x v="45"/>
    <n v="2808"/>
    <n v="1084"/>
    <n v="587"/>
    <n v="372"/>
    <n v="4851"/>
    <x v="9"/>
    <n v="959"/>
    <x v="0"/>
  </r>
  <r>
    <d v="2026-06-25T00:00:00"/>
    <s v="Adult"/>
    <x v="46"/>
    <n v="19410"/>
    <n v="7773"/>
    <n v="4151"/>
    <n v="3456"/>
    <n v="34789"/>
    <x v="9"/>
    <n v="7607"/>
    <x v="0"/>
  </r>
  <r>
    <d v="2026-06-25T00:00:00"/>
    <s v="Adult"/>
    <x v="12"/>
    <n v="16829"/>
    <n v="9271"/>
    <n v="2808"/>
    <n v="1141"/>
    <n v="30049"/>
    <x v="9"/>
    <n v="3949"/>
    <x v="0"/>
  </r>
  <r>
    <d v="2026-06-25T00:00:00"/>
    <s v="Adult"/>
    <x v="8"/>
    <n v="2767"/>
    <n v="981"/>
    <n v="457"/>
    <n v="198"/>
    <n v="4403"/>
    <x v="9"/>
    <n v="655"/>
    <x v="0"/>
  </r>
  <r>
    <d v="2026-06-25T00:00:00"/>
    <s v="Adult"/>
    <x v="19"/>
    <n v="6943"/>
    <n v="2390"/>
    <n v="978"/>
    <n v="409"/>
    <n v="10721"/>
    <x v="9"/>
    <n v="1387"/>
    <x v="0"/>
  </r>
  <r>
    <d v="2026-06-25T00:00:00"/>
    <s v="Adult"/>
    <x v="34"/>
    <n v="18617"/>
    <n v="8387"/>
    <n v="2424"/>
    <n v="890"/>
    <n v="30319"/>
    <x v="9"/>
    <n v="3314"/>
    <x v="0"/>
  </r>
  <r>
    <d v="2026-06-25T00:00:00"/>
    <s v="Adult"/>
    <x v="42"/>
    <n v="23068"/>
    <n v="11597"/>
    <n v="5276"/>
    <n v="4087"/>
    <n v="44028"/>
    <x v="9"/>
    <n v="9363"/>
    <x v="0"/>
  </r>
  <r>
    <d v="2026-06-25T00:00:00"/>
    <s v="Adult"/>
    <x v="24"/>
    <n v="4492"/>
    <n v="964"/>
    <n v="449"/>
    <n v="48"/>
    <n v="5952"/>
    <x v="9"/>
    <n v="497"/>
    <x v="0"/>
  </r>
  <r>
    <d v="2026-07-30T00:00:00"/>
    <s v="Adult"/>
    <x v="23"/>
    <n v="32201"/>
    <n v="13575"/>
    <n v="7661"/>
    <n v="4268"/>
    <n v="57704"/>
    <x v="10"/>
    <n v="11929"/>
    <x v="0"/>
  </r>
  <r>
    <d v="2026-07-30T00:00:00"/>
    <s v="Adult"/>
    <x v="30"/>
    <n v="5985"/>
    <n v="1660"/>
    <n v="996"/>
    <n v="82"/>
    <n v="8723"/>
    <x v="10"/>
    <n v="1078"/>
    <x v="0"/>
  </r>
  <r>
    <d v="2026-07-30T00:00:00"/>
    <s v="Adult"/>
    <x v="40"/>
    <n v="14693"/>
    <n v="5337"/>
    <n v="1904"/>
    <n v="153"/>
    <n v="22087"/>
    <x v="10"/>
    <n v="2057"/>
    <x v="0"/>
  </r>
  <r>
    <d v="2026-07-30T00:00:00"/>
    <s v="Adult"/>
    <x v="3"/>
    <n v="3374"/>
    <n v="2175"/>
    <n v="652"/>
    <n v="273"/>
    <n v="6474"/>
    <x v="10"/>
    <n v="925"/>
    <x v="0"/>
  </r>
  <r>
    <d v="2026-07-30T00:00:00"/>
    <s v="Adult"/>
    <x v="13"/>
    <n v="388"/>
    <n v="274"/>
    <n v="318"/>
    <n v="339"/>
    <n v="1318"/>
    <x v="10"/>
    <n v="657"/>
    <x v="0"/>
  </r>
  <r>
    <d v="2026-07-30T00:00:00"/>
    <s v="Adult"/>
    <x v="41"/>
    <n v="26528"/>
    <n v="8715"/>
    <n v="5171"/>
    <n v="4965"/>
    <n v="45380"/>
    <x v="10"/>
    <n v="10136"/>
    <x v="0"/>
  </r>
  <r>
    <d v="2026-07-30T00:00:00"/>
    <s v="Adult"/>
    <x v="32"/>
    <n v="10445"/>
    <n v="1721"/>
    <n v="422"/>
    <n v="597"/>
    <n v="13185"/>
    <x v="10"/>
    <n v="1019"/>
    <x v="0"/>
  </r>
  <r>
    <d v="2026-07-30T00:00:00"/>
    <s v="Adult"/>
    <x v="4"/>
    <n v="2570"/>
    <n v="727"/>
    <n v="216"/>
    <n v="124"/>
    <n v="3637"/>
    <x v="10"/>
    <n v="340"/>
    <x v="0"/>
  </r>
  <r>
    <d v="2026-07-30T00:00:00"/>
    <s v="Adult"/>
    <x v="43"/>
    <n v="26603"/>
    <n v="9630"/>
    <n v="4566"/>
    <n v="3077"/>
    <n v="43876"/>
    <x v="10"/>
    <n v="7643"/>
    <x v="0"/>
  </r>
  <r>
    <d v="2026-07-30T00:00:00"/>
    <s v="Adult"/>
    <x v="22"/>
    <n v="5398"/>
    <n v="1525"/>
    <n v="439"/>
    <n v="160"/>
    <n v="7521"/>
    <x v="10"/>
    <n v="599"/>
    <x v="0"/>
  </r>
  <r>
    <d v="2026-07-30T00:00:00"/>
    <s v="Adult"/>
    <x v="2"/>
    <n v="3748"/>
    <n v="1488"/>
    <n v="724"/>
    <n v="266"/>
    <n v="6226"/>
    <x v="10"/>
    <n v="990"/>
    <x v="0"/>
  </r>
  <r>
    <d v="2026-07-30T00:00:00"/>
    <s v="Adult"/>
    <x v="26"/>
    <n v="6100"/>
    <n v="1860"/>
    <n v="779"/>
    <n v="959"/>
    <n v="9698"/>
    <x v="10"/>
    <n v="1738"/>
    <x v="0"/>
  </r>
  <r>
    <d v="2026-07-30T00:00:00"/>
    <s v="Adult"/>
    <x v="20"/>
    <n v="3233"/>
    <n v="1090"/>
    <n v="439"/>
    <n v="197"/>
    <n v="4959"/>
    <x v="10"/>
    <n v="636"/>
    <x v="0"/>
  </r>
  <r>
    <d v="2026-07-30T00:00:00"/>
    <s v="Adult"/>
    <x v="18"/>
    <n v="12174"/>
    <n v="6090"/>
    <n v="2469"/>
    <n v="517"/>
    <n v="21250"/>
    <x v="10"/>
    <n v="2986"/>
    <x v="0"/>
  </r>
  <r>
    <d v="2026-07-30T00:00:00"/>
    <s v="Adult"/>
    <x v="15"/>
    <n v="7248"/>
    <n v="3249"/>
    <n v="2343"/>
    <n v="1694"/>
    <n v="14534"/>
    <x v="10"/>
    <n v="4037"/>
    <x v="0"/>
  </r>
  <r>
    <d v="2026-07-30T00:00:00"/>
    <s v="Adult"/>
    <x v="14"/>
    <n v="2379"/>
    <n v="814"/>
    <n v="460"/>
    <n v="1"/>
    <n v="3654"/>
    <x v="10"/>
    <n v="461"/>
    <x v="0"/>
  </r>
  <r>
    <d v="2026-07-30T00:00:00"/>
    <s v="Adult"/>
    <x v="29"/>
    <n v="1482"/>
    <n v="365"/>
    <n v="350"/>
    <n v="235"/>
    <n v="2432"/>
    <x v="10"/>
    <n v="585"/>
    <x v="0"/>
  </r>
  <r>
    <d v="2026-07-30T00:00:00"/>
    <s v="Adult"/>
    <x v="11"/>
    <n v="439"/>
    <n v="273"/>
    <n v="302"/>
    <n v="391"/>
    <n v="1405"/>
    <x v="10"/>
    <n v="693"/>
    <x v="0"/>
  </r>
  <r>
    <d v="2026-07-30T00:00:00"/>
    <s v="Adult"/>
    <x v="27"/>
    <n v="10053"/>
    <n v="4461"/>
    <n v="1926"/>
    <n v="766"/>
    <n v="17205"/>
    <x v="10"/>
    <n v="2692"/>
    <x v="0"/>
  </r>
  <r>
    <d v="2026-07-30T00:00:00"/>
    <s v="Adult"/>
    <x v="0"/>
    <n v="5335"/>
    <n v="2231"/>
    <n v="768"/>
    <n v="55"/>
    <n v="8389"/>
    <x v="10"/>
    <n v="823"/>
    <x v="0"/>
  </r>
  <r>
    <d v="2026-07-30T00:00:00"/>
    <s v="Adult"/>
    <x v="21"/>
    <n v="2443"/>
    <n v="555"/>
    <n v="154"/>
    <n v="22"/>
    <n v="3174"/>
    <x v="10"/>
    <n v="176"/>
    <x v="0"/>
  </r>
  <r>
    <d v="2026-07-30T00:00:00"/>
    <s v="Adult"/>
    <x v="38"/>
    <n v="6548"/>
    <n v="4719"/>
    <n v="3078"/>
    <n v="2168"/>
    <n v="16513"/>
    <x v="10"/>
    <n v="5246"/>
    <x v="0"/>
  </r>
  <r>
    <d v="2026-07-30T00:00:00"/>
    <s v="Adult"/>
    <x v="35"/>
    <n v="9727"/>
    <n v="3173"/>
    <n v="1061"/>
    <n v="1465"/>
    <n v="15426"/>
    <x v="10"/>
    <n v="2526"/>
    <x v="0"/>
  </r>
  <r>
    <d v="2026-07-30T00:00:00"/>
    <s v="Adult"/>
    <x v="36"/>
    <n v="16929"/>
    <n v="7340"/>
    <n v="3682"/>
    <n v="4231"/>
    <n v="32182"/>
    <x v="10"/>
    <n v="7913"/>
    <x v="0"/>
  </r>
  <r>
    <d v="2026-07-30T00:00:00"/>
    <s v="Adult"/>
    <x v="37"/>
    <n v="2167"/>
    <n v="1362"/>
    <n v="1166"/>
    <n v="6104"/>
    <n v="10798"/>
    <x v="10"/>
    <n v="7270"/>
    <x v="0"/>
  </r>
  <r>
    <d v="2026-07-30T00:00:00"/>
    <s v="Adult"/>
    <x v="44"/>
    <n v="19064"/>
    <n v="5998"/>
    <n v="2577"/>
    <n v="1748"/>
    <n v="29388"/>
    <x v="10"/>
    <n v="4325"/>
    <x v="0"/>
  </r>
  <r>
    <d v="2026-07-30T00:00:00"/>
    <s v="Adult"/>
    <x v="1"/>
    <n v="602"/>
    <n v="300"/>
    <n v="85"/>
    <n v="3"/>
    <n v="989"/>
    <x v="10"/>
    <n v="88"/>
    <x v="0"/>
  </r>
  <r>
    <d v="2026-07-30T00:00:00"/>
    <s v="Adult"/>
    <x v="5"/>
    <n v="3853"/>
    <n v="1492"/>
    <n v="685"/>
    <n v="531"/>
    <n v="6562"/>
    <x v="10"/>
    <n v="1216"/>
    <x v="0"/>
  </r>
  <r>
    <d v="2026-07-30T00:00:00"/>
    <s v="Adult"/>
    <x v="45"/>
    <n v="2986"/>
    <n v="1033"/>
    <n v="584"/>
    <n v="338"/>
    <n v="4941"/>
    <x v="10"/>
    <n v="922"/>
    <x v="0"/>
  </r>
  <r>
    <d v="2026-07-30T00:00:00"/>
    <s v="Adult"/>
    <x v="46"/>
    <n v="20237"/>
    <n v="7198"/>
    <n v="4386"/>
    <n v="3447"/>
    <n v="35268"/>
    <x v="10"/>
    <n v="7833"/>
    <x v="0"/>
  </r>
  <r>
    <d v="2026-07-30T00:00:00"/>
    <s v="Adult"/>
    <x v="12"/>
    <n v="17862"/>
    <n v="8905"/>
    <n v="3295"/>
    <n v="1135"/>
    <n v="31198"/>
    <x v="10"/>
    <n v="4430"/>
    <x v="0"/>
  </r>
  <r>
    <d v="2026-07-30T00:00:00"/>
    <s v="Adult"/>
    <x v="8"/>
    <n v="2688"/>
    <n v="946"/>
    <n v="513"/>
    <n v="194"/>
    <n v="4340"/>
    <x v="10"/>
    <n v="707"/>
    <x v="0"/>
  </r>
  <r>
    <d v="2026-07-30T00:00:00"/>
    <s v="Adult"/>
    <x v="19"/>
    <n v="7251"/>
    <n v="2126"/>
    <n v="995"/>
    <n v="364"/>
    <n v="10737"/>
    <x v="10"/>
    <n v="1359"/>
    <x v="0"/>
  </r>
  <r>
    <d v="2026-07-30T00:00:00"/>
    <s v="Adult"/>
    <x v="34"/>
    <n v="18535"/>
    <n v="7919"/>
    <n v="2803"/>
    <n v="810"/>
    <n v="30067"/>
    <x v="10"/>
    <n v="3613"/>
    <x v="0"/>
  </r>
  <r>
    <d v="2026-07-30T00:00:00"/>
    <s v="Adult"/>
    <x v="42"/>
    <n v="24223"/>
    <n v="11047"/>
    <n v="5675"/>
    <n v="4100"/>
    <n v="45046"/>
    <x v="10"/>
    <n v="9775"/>
    <x v="0"/>
  </r>
  <r>
    <d v="2026-07-30T00:00:00"/>
    <s v="Adult"/>
    <x v="24"/>
    <n v="4545"/>
    <n v="884"/>
    <n v="506"/>
    <n v="48"/>
    <n v="5982"/>
    <x v="10"/>
    <n v="554"/>
    <x v="0"/>
  </r>
  <r>
    <d v="2026-08-27T00:00:00"/>
    <s v="Adult"/>
    <x v="25"/>
    <n v="894"/>
    <n v="225"/>
    <n v="43"/>
    <n v="3"/>
    <n v="1165"/>
    <x v="11"/>
    <n v="46"/>
    <x v="0"/>
  </r>
  <r>
    <d v="2026-08-27T00:00:00"/>
    <s v="Adult"/>
    <x v="23"/>
    <n v="31595"/>
    <n v="13599"/>
    <n v="7153"/>
    <n v="4491"/>
    <n v="56838"/>
    <x v="11"/>
    <n v="11644"/>
    <x v="0"/>
  </r>
  <r>
    <d v="2026-08-27T00:00:00"/>
    <s v="Adult"/>
    <x v="30"/>
    <n v="5882"/>
    <n v="1547"/>
    <n v="753"/>
    <n v="78"/>
    <n v="8261"/>
    <x v="11"/>
    <n v="831"/>
    <x v="0"/>
  </r>
  <r>
    <d v="2026-08-27T00:00:00"/>
    <s v="Adult"/>
    <x v="9"/>
    <n v="2533"/>
    <n v="994"/>
    <n v="117"/>
    <n v="3"/>
    <n v="3647"/>
    <x v="11"/>
    <n v="120"/>
    <x v="0"/>
  </r>
  <r>
    <d v="2026-08-27T00:00:00"/>
    <s v="Adult"/>
    <x v="40"/>
    <n v="14416"/>
    <n v="5773"/>
    <n v="1805"/>
    <n v="127"/>
    <n v="22122"/>
    <x v="11"/>
    <n v="1932"/>
    <x v="0"/>
  </r>
  <r>
    <d v="2026-08-27T00:00:00"/>
    <s v="Adult"/>
    <x v="3"/>
    <n v="3244"/>
    <n v="1949"/>
    <n v="693"/>
    <n v="251"/>
    <n v="6136"/>
    <x v="11"/>
    <n v="944"/>
    <x v="0"/>
  </r>
  <r>
    <d v="2026-08-27T00:00:00"/>
    <s v="Adult"/>
    <x v="13"/>
    <n v="409"/>
    <n v="300"/>
    <n v="296"/>
    <n v="327"/>
    <n v="1332"/>
    <x v="11"/>
    <n v="623"/>
    <x v="0"/>
  </r>
  <r>
    <d v="2026-08-27T00:00:00"/>
    <s v="Adult"/>
    <x v="41"/>
    <n v="27059"/>
    <n v="9177"/>
    <n v="5169"/>
    <n v="5193"/>
    <n v="46598"/>
    <x v="11"/>
    <n v="10362"/>
    <x v="0"/>
  </r>
  <r>
    <d v="2026-08-27T00:00:00"/>
    <s v="Adult"/>
    <x v="32"/>
    <n v="11074"/>
    <n v="2015"/>
    <n v="390"/>
    <n v="626"/>
    <n v="14105"/>
    <x v="11"/>
    <n v="1016"/>
    <x v="0"/>
  </r>
  <r>
    <d v="2026-08-27T00:00:00"/>
    <s v="Adult"/>
    <x v="17"/>
    <n v="1772"/>
    <n v="774"/>
    <n v="189"/>
    <n v="5"/>
    <n v="2739"/>
    <x v="11"/>
    <n v="194"/>
    <x v="0"/>
  </r>
  <r>
    <d v="2026-08-27T00:00:00"/>
    <s v="Adult"/>
    <x v="4"/>
    <n v="2651"/>
    <n v="709"/>
    <n v="199"/>
    <n v="130"/>
    <n v="3688"/>
    <x v="11"/>
    <n v="329"/>
    <x v="0"/>
  </r>
  <r>
    <d v="2026-08-27T00:00:00"/>
    <s v="Adult"/>
    <x v="43"/>
    <n v="26385"/>
    <n v="9414"/>
    <n v="4638"/>
    <n v="3217"/>
    <n v="43655"/>
    <x v="11"/>
    <n v="7855"/>
    <x v="0"/>
  </r>
  <r>
    <d v="2026-08-27T00:00:00"/>
    <s v="Adult"/>
    <x v="22"/>
    <n v="5421"/>
    <n v="1650"/>
    <n v="471"/>
    <n v="154"/>
    <n v="7695"/>
    <x v="11"/>
    <n v="625"/>
    <x v="0"/>
  </r>
  <r>
    <d v="2026-08-27T00:00:00"/>
    <s v="Adult"/>
    <x v="2"/>
    <n v="3633"/>
    <n v="1512"/>
    <n v="703"/>
    <n v="133"/>
    <n v="5980"/>
    <x v="11"/>
    <n v="836"/>
    <x v="0"/>
  </r>
  <r>
    <d v="2026-08-27T00:00:00"/>
    <s v="Adult"/>
    <x v="26"/>
    <n v="6208"/>
    <n v="2033"/>
    <n v="808"/>
    <n v="949"/>
    <n v="9998"/>
    <x v="11"/>
    <n v="1757"/>
    <x v="0"/>
  </r>
  <r>
    <d v="2026-08-27T00:00:00"/>
    <s v="Adult"/>
    <x v="20"/>
    <n v="3104"/>
    <n v="970"/>
    <n v="489"/>
    <n v="206"/>
    <n v="4769"/>
    <x v="11"/>
    <n v="695"/>
    <x v="0"/>
  </r>
  <r>
    <d v="2026-08-27T00:00:00"/>
    <s v="Adult"/>
    <x v="18"/>
    <n v="12136"/>
    <n v="6386"/>
    <n v="2535"/>
    <n v="737"/>
    <n v="21793"/>
    <x v="11"/>
    <n v="3272"/>
    <x v="0"/>
  </r>
  <r>
    <d v="2026-08-27T00:00:00"/>
    <s v="Adult"/>
    <x v="15"/>
    <n v="7153"/>
    <n v="3189"/>
    <n v="2319"/>
    <n v="1880"/>
    <n v="14541"/>
    <x v="11"/>
    <n v="4199"/>
    <x v="0"/>
  </r>
  <r>
    <d v="2026-08-27T00:00:00"/>
    <s v="Adult"/>
    <x v="14"/>
    <n v="2315"/>
    <n v="854"/>
    <n v="504"/>
    <n v="9"/>
    <n v="3682"/>
    <x v="11"/>
    <n v="513"/>
    <x v="0"/>
  </r>
  <r>
    <d v="2026-08-27T00:00:00"/>
    <s v="Adult"/>
    <x v="29"/>
    <n v="1474"/>
    <n v="352"/>
    <n v="324"/>
    <n v="211"/>
    <n v="2361"/>
    <x v="11"/>
    <n v="535"/>
    <x v="0"/>
  </r>
  <r>
    <d v="2026-08-27T00:00:00"/>
    <s v="Adult"/>
    <x v="11"/>
    <n v="463"/>
    <n v="267"/>
    <n v="284"/>
    <n v="334"/>
    <n v="1348"/>
    <x v="11"/>
    <n v="618"/>
    <x v="0"/>
  </r>
  <r>
    <d v="2026-08-27T00:00:00"/>
    <s v="Adult"/>
    <x v="27"/>
    <n v="10186"/>
    <n v="4408"/>
    <n v="2004"/>
    <n v="770"/>
    <n v="17368"/>
    <x v="11"/>
    <n v="2774"/>
    <x v="0"/>
  </r>
  <r>
    <d v="2026-08-27T00:00:00"/>
    <s v="Adult"/>
    <x v="0"/>
    <n v="5350"/>
    <n v="2314"/>
    <n v="910"/>
    <n v="61"/>
    <n v="8636"/>
    <x v="11"/>
    <n v="971"/>
    <x v="0"/>
  </r>
  <r>
    <d v="2026-08-27T00:00:00"/>
    <s v="Adult"/>
    <x v="21"/>
    <n v="2476"/>
    <n v="592"/>
    <n v="155"/>
    <n v="30"/>
    <n v="3253"/>
    <x v="11"/>
    <n v="185"/>
    <x v="0"/>
  </r>
  <r>
    <d v="2026-08-27T00:00:00"/>
    <s v="Adult"/>
    <x v="7"/>
    <n v="3451"/>
    <n v="1205"/>
    <n v="44"/>
    <n v="5"/>
    <n v="4704"/>
    <x v="11"/>
    <n v="49"/>
    <x v="0"/>
  </r>
  <r>
    <d v="2026-08-27T00:00:00"/>
    <s v="Adult"/>
    <x v="10"/>
    <n v="4952"/>
    <n v="1624"/>
    <n v="165"/>
    <n v="1"/>
    <n v="6742"/>
    <x v="11"/>
    <n v="166"/>
    <x v="0"/>
  </r>
  <r>
    <d v="2026-08-27T00:00:00"/>
    <s v="Adult"/>
    <x v="38"/>
    <n v="6126"/>
    <n v="4856"/>
    <n v="3089"/>
    <n v="2286"/>
    <n v="16357"/>
    <x v="11"/>
    <n v="5375"/>
    <x v="0"/>
  </r>
  <r>
    <d v="2026-08-27T00:00:00"/>
    <s v="Adult"/>
    <x v="35"/>
    <n v="10118"/>
    <n v="3593"/>
    <n v="1145"/>
    <n v="1513"/>
    <n v="16368"/>
    <x v="11"/>
    <n v="2658"/>
    <x v="0"/>
  </r>
  <r>
    <d v="2026-08-27T00:00:00"/>
    <s v="Adult"/>
    <x v="36"/>
    <n v="16098"/>
    <n v="7174"/>
    <n v="3495"/>
    <n v="3953"/>
    <n v="30719"/>
    <x v="11"/>
    <n v="7448"/>
    <x v="0"/>
  </r>
  <r>
    <d v="2026-08-27T00:00:00"/>
    <s v="Adult"/>
    <x v="37"/>
    <n v="2175"/>
    <n v="1381"/>
    <n v="1137"/>
    <n v="6199"/>
    <n v="10892"/>
    <x v="11"/>
    <n v="7336"/>
    <x v="0"/>
  </r>
  <r>
    <d v="2026-08-27T00:00:00"/>
    <s v="Adult"/>
    <x v="44"/>
    <n v="19039"/>
    <n v="6301"/>
    <n v="2520"/>
    <n v="1787"/>
    <n v="29647"/>
    <x v="11"/>
    <n v="4307"/>
    <x v="0"/>
  </r>
  <r>
    <d v="2026-08-27T00:00:00"/>
    <s v="Adult"/>
    <x v="5"/>
    <n v="3835"/>
    <n v="1561"/>
    <n v="714"/>
    <n v="552"/>
    <n v="6662"/>
    <x v="11"/>
    <n v="1266"/>
    <x v="0"/>
  </r>
  <r>
    <d v="2026-08-27T00:00:00"/>
    <s v="Adult"/>
    <x v="45"/>
    <n v="3133"/>
    <n v="1054"/>
    <n v="540"/>
    <n v="344"/>
    <n v="5071"/>
    <x v="11"/>
    <n v="884"/>
    <x v="0"/>
  </r>
  <r>
    <d v="2026-08-27T00:00:00"/>
    <s v="Adult"/>
    <x v="46"/>
    <n v="20274"/>
    <n v="7385"/>
    <n v="4311"/>
    <n v="3527"/>
    <n v="35498"/>
    <x v="11"/>
    <n v="7838"/>
    <x v="0"/>
  </r>
  <r>
    <d v="2026-08-27T00:00:00"/>
    <s v="Adult"/>
    <x v="12"/>
    <n v="17839"/>
    <n v="9132"/>
    <n v="3423"/>
    <n v="1273"/>
    <n v="31667"/>
    <x v="11"/>
    <n v="4696"/>
    <x v="0"/>
  </r>
  <r>
    <d v="2026-08-27T00:00:00"/>
    <s v="Adult"/>
    <x v="8"/>
    <n v="2619"/>
    <n v="1052"/>
    <n v="499"/>
    <n v="219"/>
    <n v="4388"/>
    <x v="11"/>
    <n v="718"/>
    <x v="0"/>
  </r>
  <r>
    <d v="2026-08-27T00:00:00"/>
    <s v="Adult"/>
    <x v="19"/>
    <n v="7346"/>
    <n v="2112"/>
    <n v="922"/>
    <n v="380"/>
    <n v="10761"/>
    <x v="11"/>
    <n v="1302"/>
    <x v="0"/>
  </r>
  <r>
    <d v="2026-08-27T00:00:00"/>
    <s v="Adult"/>
    <x v="34"/>
    <n v="18472"/>
    <n v="8197"/>
    <n v="3039"/>
    <n v="861"/>
    <n v="30569"/>
    <x v="11"/>
    <n v="3900"/>
    <x v="0"/>
  </r>
  <r>
    <d v="2026-08-27T00:00:00"/>
    <s v="Adult"/>
    <x v="42"/>
    <n v="24029"/>
    <n v="11677"/>
    <n v="5708"/>
    <n v="4389"/>
    <n v="45802"/>
    <x v="11"/>
    <n v="10097"/>
    <x v="0"/>
  </r>
  <r>
    <d v="2026-08-27T00:00:00"/>
    <s v="Adult"/>
    <x v="24"/>
    <n v="4603"/>
    <n v="958"/>
    <n v="534"/>
    <n v="62"/>
    <n v="6156"/>
    <x v="11"/>
    <n v="596"/>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D97764-C816-40F7-9896-B7D11EB1B564}" name="PivotTable3" cacheId="67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1">
  <location ref="A4:B15" firstHeaderRow="1" firstDataRow="1" firstDataCol="1" rowPageCount="2" colPageCount="1"/>
  <pivotFields count="11">
    <pivotField compact="0" numFmtId="14" outline="0" showAll="0"/>
    <pivotField compact="0" outline="0" showAll="0"/>
    <pivotField axis="axisRow" compact="0" outline="0" showAll="0" measureFilter="1" sortType="descending">
      <items count="48">
        <item x="25"/>
        <item x="23"/>
        <item x="16"/>
        <item x="39"/>
        <item x="30"/>
        <item x="9"/>
        <item x="40"/>
        <item x="6"/>
        <item x="3"/>
        <item x="13"/>
        <item x="41"/>
        <item x="31"/>
        <item x="32"/>
        <item x="17"/>
        <item x="4"/>
        <item x="43"/>
        <item x="22"/>
        <item x="2"/>
        <item x="26"/>
        <item x="20"/>
        <item x="18"/>
        <item x="15"/>
        <item x="14"/>
        <item x="29"/>
        <item x="11"/>
        <item x="33"/>
        <item x="27"/>
        <item x="0"/>
        <item x="21"/>
        <item x="7"/>
        <item x="10"/>
        <item x="38"/>
        <item x="35"/>
        <item x="28"/>
        <item x="36"/>
        <item x="37"/>
        <item x="44"/>
        <item x="1"/>
        <item x="5"/>
        <item x="45"/>
        <item x="46"/>
        <item x="12"/>
        <item x="8"/>
        <item x="19"/>
        <item x="34"/>
        <item x="42"/>
        <item x="24"/>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dataField="1" compact="0" outline="0" showAll="0"/>
    <pivotField axis="axisPage" compact="0" numFmtId="14" outline="0" showAll="0">
      <items count="45">
        <item h="1" x="36"/>
        <item h="1" x="37"/>
        <item h="1" x="38"/>
        <item h="1" x="39"/>
        <item h="1" x="40"/>
        <item h="1" x="30"/>
        <item h="1" x="31"/>
        <item h="1" x="32"/>
        <item h="1" x="33"/>
        <item h="1" x="41"/>
        <item h="1" x="42"/>
        <item h="1" x="43"/>
        <item h="1" x="12"/>
        <item h="1" x="13"/>
        <item h="1" x="14"/>
        <item h="1" x="15"/>
        <item h="1" x="0"/>
        <item h="1" x="1"/>
        <item h="1" x="16"/>
        <item h="1" x="2"/>
        <item h="1" x="17"/>
        <item h="1" x="34"/>
        <item h="1" x="3"/>
        <item h="1" x="4"/>
        <item h="1" x="18"/>
        <item h="1" x="35"/>
        <item h="1" x="19"/>
        <item h="1" x="5"/>
        <item h="1" x="20"/>
        <item h="1" x="21"/>
        <item h="1" x="22"/>
        <item h="1" x="23"/>
        <item h="1" x="24"/>
        <item h="1" x="25"/>
        <item h="1" x="26"/>
        <item h="1" x="27"/>
        <item h="1" x="6"/>
        <item h="1" x="7"/>
        <item h="1" x="28"/>
        <item h="1" x="29"/>
        <item h="1" x="8"/>
        <item h="1" x="9"/>
        <item h="1" x="10"/>
        <item x="11"/>
        <item t="default"/>
      </items>
    </pivotField>
    <pivotField compact="0" outline="0" showAll="0"/>
    <pivotField axis="axisPage" compact="0" outline="0" showAll="0">
      <items count="3">
        <item h="1" x="1"/>
        <item x="0"/>
        <item t="default"/>
      </items>
    </pivotField>
  </pivotFields>
  <rowFields count="1">
    <field x="2"/>
  </rowFields>
  <rowItems count="11">
    <i>
      <x v="1"/>
    </i>
    <i>
      <x v="10"/>
    </i>
    <i>
      <x v="45"/>
    </i>
    <i>
      <x v="15"/>
    </i>
    <i>
      <x v="40"/>
    </i>
    <i>
      <x v="44"/>
    </i>
    <i>
      <x v="34"/>
    </i>
    <i>
      <x v="3"/>
    </i>
    <i>
      <x v="41"/>
    </i>
    <i>
      <x v="36"/>
    </i>
    <i t="grand">
      <x/>
    </i>
  </rowItems>
  <colItems count="1">
    <i/>
  </colItems>
  <pageFields count="2">
    <pageField fld="8" item="43" hier="-1"/>
    <pageField fld="10" item="1" hier="-1"/>
  </pageFields>
  <dataFields count="1">
    <dataField name="Sum of Total" fld="7" baseField="0" baseItem="0"/>
  </dataFields>
  <chartFormats count="9">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0AA762-4F2B-47A0-BAA1-91473A5EB42D}" name="PivotTable4" cacheId="67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A21:B32" firstHeaderRow="1" firstDataRow="1" firstDataCol="1" rowPageCount="2" colPageCount="1"/>
  <pivotFields count="11">
    <pivotField compact="0" numFmtId="14" outline="0" showAll="0"/>
    <pivotField compact="0" outline="0" showAll="0"/>
    <pivotField axis="axisRow" compact="0" outline="0" showAll="0" measureFilter="1" sortType="descending">
      <items count="48">
        <item x="25"/>
        <item x="23"/>
        <item x="16"/>
        <item x="39"/>
        <item x="30"/>
        <item x="9"/>
        <item x="40"/>
        <item x="6"/>
        <item x="3"/>
        <item x="13"/>
        <item x="41"/>
        <item x="31"/>
        <item x="32"/>
        <item x="17"/>
        <item x="4"/>
        <item x="43"/>
        <item x="22"/>
        <item x="2"/>
        <item x="26"/>
        <item x="20"/>
        <item x="18"/>
        <item x="15"/>
        <item x="14"/>
        <item x="29"/>
        <item x="11"/>
        <item x="33"/>
        <item x="27"/>
        <item x="0"/>
        <item x="21"/>
        <item x="7"/>
        <item x="10"/>
        <item x="38"/>
        <item x="35"/>
        <item x="28"/>
        <item x="36"/>
        <item x="37"/>
        <item x="44"/>
        <item x="1"/>
        <item x="5"/>
        <item x="45"/>
        <item x="46"/>
        <item x="12"/>
        <item x="8"/>
        <item x="19"/>
        <item x="34"/>
        <item x="42"/>
        <item x="24"/>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dataField="1" compact="0" outline="0" showAll="0"/>
    <pivotField axis="axisPage" compact="0" numFmtId="14" outline="0" showAll="0">
      <items count="45">
        <item h="1" x="36"/>
        <item h="1" x="37"/>
        <item h="1" x="38"/>
        <item h="1" x="39"/>
        <item h="1" x="40"/>
        <item h="1" x="30"/>
        <item h="1" x="31"/>
        <item h="1" x="32"/>
        <item h="1" x="33"/>
        <item h="1" x="41"/>
        <item h="1" x="42"/>
        <item h="1" x="43"/>
        <item h="1" x="12"/>
        <item h="1" x="13"/>
        <item h="1" x="14"/>
        <item h="1" x="15"/>
        <item h="1" x="0"/>
        <item h="1" x="1"/>
        <item h="1" x="16"/>
        <item h="1" x="2"/>
        <item h="1" x="17"/>
        <item h="1" x="34"/>
        <item h="1" x="3"/>
        <item h="1" x="4"/>
        <item h="1" x="18"/>
        <item h="1" x="35"/>
        <item h="1" x="19"/>
        <item h="1" x="5"/>
        <item h="1" x="20"/>
        <item h="1" x="21"/>
        <item h="1" x="22"/>
        <item h="1" x="23"/>
        <item h="1" x="24"/>
        <item h="1" x="25"/>
        <item h="1" x="26"/>
        <item h="1" x="27"/>
        <item h="1" x="6"/>
        <item h="1" x="7"/>
        <item h="1" x="28"/>
        <item h="1" x="29"/>
        <item h="1" x="8"/>
        <item h="1" x="9"/>
        <item h="1" x="10"/>
        <item x="11"/>
        <item t="default"/>
      </items>
    </pivotField>
    <pivotField compact="0" outline="0" showAll="0"/>
    <pivotField axis="axisPage" compact="0" outline="0" showAll="0">
      <items count="3">
        <item x="1"/>
        <item h="1" x="0"/>
        <item t="default"/>
      </items>
    </pivotField>
  </pivotFields>
  <rowFields count="1">
    <field x="2"/>
  </rowFields>
  <rowItems count="11">
    <i>
      <x v="10"/>
    </i>
    <i>
      <x v="15"/>
    </i>
    <i>
      <x v="1"/>
    </i>
    <i>
      <x v="36"/>
    </i>
    <i>
      <x v="45"/>
    </i>
    <i>
      <x v="3"/>
    </i>
    <i>
      <x v="41"/>
    </i>
    <i>
      <x v="40"/>
    </i>
    <i>
      <x v="34"/>
    </i>
    <i>
      <x v="31"/>
    </i>
    <i t="grand">
      <x/>
    </i>
  </rowItems>
  <colItems count="1">
    <i/>
  </colItems>
  <pageFields count="2">
    <pageField fld="8" item="43" hier="-1"/>
    <pageField fld="10" item="0" hier="-1"/>
  </pageFields>
  <dataFields count="1">
    <dataField name="Sum of Total" fld="7" baseField="0" baseItem="0"/>
  </dataFields>
  <chartFormats count="4">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8ABE2C-7D3F-4098-AD0F-769EE4F8D50E}" name="PivotTable2" cacheId="67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D49" firstHeaderRow="1" firstDataRow="2" firstDataCol="1"/>
  <pivotFields count="11">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axis="axisRow" compact="0" numFmtId="14" outline="0" showAll="0">
      <items count="45">
        <item x="36"/>
        <item x="37"/>
        <item x="38"/>
        <item x="39"/>
        <item x="40"/>
        <item x="30"/>
        <item x="31"/>
        <item x="32"/>
        <item x="33"/>
        <item x="41"/>
        <item x="42"/>
        <item x="43"/>
        <item x="12"/>
        <item x="13"/>
        <item x="14"/>
        <item x="15"/>
        <item x="0"/>
        <item x="1"/>
        <item x="16"/>
        <item x="2"/>
        <item x="17"/>
        <item x="34"/>
        <item x="3"/>
        <item x="4"/>
        <item x="18"/>
        <item x="35"/>
        <item x="19"/>
        <item x="5"/>
        <item x="20"/>
        <item x="21"/>
        <item x="22"/>
        <item x="23"/>
        <item x="24"/>
        <item x="25"/>
        <item x="26"/>
        <item x="27"/>
        <item x="6"/>
        <item x="7"/>
        <item x="28"/>
        <item x="29"/>
        <item x="8"/>
        <item x="9"/>
        <item x="10"/>
        <item x="11"/>
        <item t="default"/>
      </items>
    </pivotField>
    <pivotField compact="0" outline="0" showAll="0"/>
    <pivotField axis="axisCol" compact="0" outline="0" showAll="0">
      <items count="3">
        <item x="1"/>
        <item x="0"/>
        <item t="default"/>
      </items>
    </pivotField>
  </pivotFields>
  <rowFields count="1">
    <field x="8"/>
  </rowFields>
  <rowItems count="4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t="grand">
      <x/>
    </i>
  </rowItems>
  <colFields count="1">
    <field x="10"/>
  </colFields>
  <colItems count="3">
    <i>
      <x/>
    </i>
    <i>
      <x v="1"/>
    </i>
    <i t="grand">
      <x/>
    </i>
  </colItems>
  <dataFields count="1">
    <dataField name="Sum of Total" fld="7" baseField="0" baseItem="0"/>
  </dataField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E2819BD-E0A9-4AE1-857E-403223D22B79}" name="tblWaitingList" displayName="tblWaitingList" ref="A1:K6395" totalsRowShown="0">
  <autoFilter ref="A1:K6395" xr:uid="{DE2819BD-E0A9-4AE1-857E-403223D22B79}"/>
  <tableColumns count="11">
    <tableColumn id="1" xr3:uid="{E655F0B8-91C3-4CDF-901B-1BBD205A1A2C}" name="Date" dataDxfId="1"/>
    <tableColumn id="2" xr3:uid="{2CC12B76-17DD-41F9-9FC3-25EC8437C5F3}" name="Adult_Child"/>
    <tableColumn id="3" xr3:uid="{86996222-5C63-498B-A2F1-6A8040702A73}" name="HospitalName"/>
    <tableColumn id="4" xr3:uid="{2ED028AE-0354-42D5-A9C5-20F72FD379B0}" name="0-6 Months"/>
    <tableColumn id="5" xr3:uid="{37084083-D245-4556-9576-C204EBC66733}" name="6-12 Months"/>
    <tableColumn id="6" xr3:uid="{7EC20359-5B5F-4096-84D3-968C2CFB6B64}" name="12-18 Months"/>
    <tableColumn id="7" xr3:uid="{DB71D95A-B35C-4708-B193-6B6D7E119DB4}" name="18 Months +"/>
    <tableColumn id="8" xr3:uid="{1422BD56-CED3-4ADB-94C9-6F6560E6594C}" name="Total"/>
    <tableColumn id="9" xr3:uid="{8758A84C-44A4-493F-AFB8-B0A07C30F169}" name="Month" dataDxfId="0"/>
    <tableColumn id="10" xr3:uid="{64E99E9C-31C0-4E85-9571-A65561B562B3}" name="Waiting 12+ Months"/>
    <tableColumn id="11" xr3:uid="{93E31909-EB84-40AD-B9CE-F96F732CE482}" name="List Type"/>
  </tableColumns>
  <tableStyleInfo name="TableStylePreset3_Accent1"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7EB4C-4A10-4F78-ACA1-10E8B7F08C33}">
  <sheetPr>
    <pageSetUpPr fitToPage="1"/>
  </sheetPr>
  <dimension ref="A1:P53"/>
  <sheetViews>
    <sheetView showGridLines="0" tabSelected="1" workbookViewId="0">
      <selection activeCell="E44" sqref="E44:N52"/>
    </sheetView>
  </sheetViews>
  <sheetFormatPr defaultRowHeight="13.5"/>
  <cols>
    <col min="1" max="1" width="8.875" customWidth="1"/>
  </cols>
  <sheetData>
    <row r="1" spans="1:16" ht="16.5" customHeight="1">
      <c r="A1" s="18"/>
      <c r="B1" s="19" t="s">
        <v>0</v>
      </c>
      <c r="C1" s="19"/>
      <c r="D1" s="19"/>
      <c r="E1" s="19"/>
      <c r="F1" s="19"/>
      <c r="G1" s="19"/>
      <c r="H1" s="19"/>
      <c r="I1" s="19"/>
      <c r="J1" s="19"/>
      <c r="K1" s="19"/>
      <c r="L1" s="19"/>
      <c r="M1" s="19"/>
      <c r="N1" s="19"/>
      <c r="O1" s="19"/>
      <c r="P1" s="19"/>
    </row>
    <row r="2" spans="1:16" ht="16.5">
      <c r="A2" s="18"/>
      <c r="B2" s="19"/>
      <c r="C2" s="19"/>
      <c r="D2" s="19"/>
      <c r="E2" s="19"/>
      <c r="F2" s="19"/>
      <c r="G2" s="19"/>
      <c r="H2" s="19"/>
      <c r="I2" s="19"/>
      <c r="J2" s="19"/>
      <c r="K2" s="19"/>
      <c r="L2" s="19"/>
      <c r="M2" s="19"/>
      <c r="N2" s="19"/>
      <c r="O2" s="19"/>
      <c r="P2" s="19"/>
    </row>
    <row r="3" spans="1:16" ht="16.5">
      <c r="A3" s="18"/>
      <c r="B3" s="20" t="s">
        <v>1</v>
      </c>
      <c r="C3" s="21"/>
      <c r="D3" s="21"/>
      <c r="E3" s="21"/>
      <c r="F3" s="21"/>
      <c r="G3" s="18"/>
      <c r="H3" s="18"/>
      <c r="I3" s="18"/>
      <c r="J3" s="18"/>
      <c r="K3" s="18"/>
      <c r="L3" s="18"/>
      <c r="M3" s="18"/>
      <c r="N3" s="18"/>
      <c r="O3" s="18"/>
      <c r="P3" s="18"/>
    </row>
    <row r="4" spans="1:16" ht="16.5">
      <c r="A4" s="18"/>
      <c r="B4" s="18"/>
      <c r="C4" s="18"/>
      <c r="D4" s="18"/>
      <c r="E4" s="18"/>
      <c r="F4" s="18"/>
      <c r="G4" s="18"/>
      <c r="H4" s="18"/>
      <c r="I4" s="18"/>
      <c r="J4" s="18"/>
      <c r="K4" s="18"/>
      <c r="L4" s="18"/>
      <c r="M4" s="18"/>
      <c r="N4" s="18"/>
      <c r="O4" s="18"/>
      <c r="P4" s="18"/>
    </row>
    <row r="5" spans="1:16" ht="16.5">
      <c r="A5" s="18"/>
      <c r="B5" s="22" t="s">
        <v>2</v>
      </c>
      <c r="C5" s="22"/>
      <c r="D5" s="22" t="s">
        <v>3</v>
      </c>
      <c r="E5" s="22"/>
      <c r="F5" s="22" t="s">
        <v>4</v>
      </c>
      <c r="G5" s="22"/>
      <c r="H5" s="22" t="s">
        <v>5</v>
      </c>
      <c r="I5" s="22"/>
      <c r="J5" s="22" t="s">
        <v>6</v>
      </c>
      <c r="K5" s="22"/>
      <c r="L5" s="22" t="s">
        <v>7</v>
      </c>
      <c r="M5" s="22"/>
      <c r="N5" s="18"/>
      <c r="O5" s="18"/>
      <c r="P5" s="18"/>
    </row>
    <row r="6" spans="1:16" ht="30.75">
      <c r="A6" s="18"/>
      <c r="B6" s="23">
        <f>MAX(tblWaitingList[Month])</f>
        <v>46235</v>
      </c>
      <c r="C6" s="23"/>
      <c r="D6" s="24">
        <f>SUMIFS(tblWaitingList[Total], tblWaitingList[Month], B6)</f>
        <v>802760</v>
      </c>
      <c r="E6" s="24"/>
      <c r="F6" s="24">
        <f>SUMIFS(tblWaitingList[Total], tblWaitingList[Month], B6, tblWaitingList[List Type], "Outpatient")</f>
        <v>687839</v>
      </c>
      <c r="G6" s="24"/>
      <c r="H6" s="24">
        <f>SUMIFS(tblWaitingList[Total], tblWaitingList[Month], B6, tblWaitingList[List Type], "Inpatient/Day Case")</f>
        <v>114921</v>
      </c>
      <c r="I6" s="24"/>
      <c r="J6" s="25">
        <f>SUMIFS(tblWaitingList[Waiting 12+ Months], tblWaitingList[Month], B6) / D6</f>
        <v>0.17844187552942348</v>
      </c>
      <c r="K6" s="25"/>
      <c r="L6" s="26">
        <f>D6 / SUMIFS(tblWaitingList[Total], tblWaitingList[Month], EDATE(B6,-12)) - 1</f>
        <v>0.11266348430162609</v>
      </c>
      <c r="M6" s="26"/>
      <c r="N6" s="18"/>
      <c r="O6" s="18"/>
      <c r="P6" s="18"/>
    </row>
    <row r="7" spans="1:16" ht="16.5">
      <c r="A7" s="18"/>
      <c r="B7" s="27"/>
      <c r="C7" s="27"/>
      <c r="D7" s="27"/>
      <c r="E7" s="27"/>
      <c r="F7" s="27"/>
      <c r="G7" s="27"/>
      <c r="H7" s="27"/>
      <c r="I7" s="27"/>
      <c r="J7" s="28" t="s">
        <v>8</v>
      </c>
      <c r="K7" s="28"/>
      <c r="L7" s="29" t="str">
        <f>"▲ "&amp;TEXT(L6,"0.0%")&amp;" vs "&amp;TEXT(EDATE(B6,-12),"mmm yyyy")</f>
        <v>▲ 11.3% vs Aug 2025</v>
      </c>
      <c r="M7" s="29"/>
      <c r="N7" s="18"/>
      <c r="O7" s="18"/>
      <c r="P7" s="18"/>
    </row>
    <row r="8" spans="1:16" ht="16.5">
      <c r="A8" s="18"/>
      <c r="B8" s="18"/>
      <c r="C8" s="18"/>
      <c r="D8" s="18"/>
      <c r="E8" s="18"/>
      <c r="F8" s="18"/>
      <c r="G8" s="18"/>
      <c r="H8" s="18"/>
      <c r="I8" s="18"/>
      <c r="J8" s="18"/>
      <c r="K8" s="18"/>
      <c r="L8" s="18"/>
      <c r="M8" s="18"/>
      <c r="N8" s="18"/>
      <c r="O8" s="18"/>
      <c r="P8" s="18"/>
    </row>
    <row r="9" spans="1:16" ht="16.5">
      <c r="A9" s="18"/>
      <c r="B9" s="18"/>
      <c r="C9" s="18"/>
      <c r="D9" s="18"/>
      <c r="E9" s="18"/>
      <c r="F9" s="18"/>
      <c r="G9" s="18"/>
      <c r="H9" s="18"/>
      <c r="I9" s="18"/>
      <c r="J9" s="18"/>
      <c r="K9" s="18"/>
      <c r="L9" s="18"/>
      <c r="M9" s="18"/>
      <c r="N9" s="18"/>
      <c r="O9" s="18"/>
      <c r="P9" s="18"/>
    </row>
    <row r="10" spans="1:16" ht="16.5">
      <c r="A10" s="18"/>
      <c r="B10" s="18"/>
      <c r="C10" s="18"/>
      <c r="D10" s="18"/>
      <c r="E10" s="18"/>
      <c r="F10" s="18"/>
      <c r="G10" s="18"/>
      <c r="H10" s="18"/>
      <c r="I10" s="18"/>
      <c r="J10" s="18"/>
      <c r="K10" s="18"/>
      <c r="L10" s="18"/>
      <c r="M10" s="18"/>
      <c r="N10" s="18"/>
      <c r="O10" s="18"/>
      <c r="P10" s="18"/>
    </row>
    <row r="11" spans="1:16" ht="16.5">
      <c r="A11" s="18"/>
      <c r="B11" s="18"/>
      <c r="C11" s="18"/>
      <c r="D11" s="18"/>
      <c r="E11" s="18"/>
      <c r="F11" s="18"/>
      <c r="G11" s="18"/>
      <c r="H11" s="18"/>
      <c r="I11" s="18"/>
      <c r="J11" s="18"/>
      <c r="K11" s="18"/>
      <c r="L11" s="18"/>
      <c r="M11" s="18"/>
      <c r="N11" s="18"/>
      <c r="O11" s="18"/>
      <c r="P11" s="18"/>
    </row>
    <row r="12" spans="1:16" ht="16.5">
      <c r="A12" s="18"/>
      <c r="B12" s="18"/>
      <c r="C12" s="18"/>
      <c r="D12" s="18"/>
      <c r="E12" s="18"/>
      <c r="F12" s="18"/>
      <c r="G12" s="18"/>
      <c r="H12" s="18"/>
      <c r="I12" s="18"/>
      <c r="J12" s="18"/>
      <c r="K12" s="18"/>
      <c r="L12" s="18"/>
      <c r="M12" s="18"/>
      <c r="N12" s="18"/>
      <c r="O12" s="18"/>
      <c r="P12" s="18"/>
    </row>
    <row r="13" spans="1:16" ht="16.5">
      <c r="A13" s="18"/>
      <c r="B13" s="18"/>
      <c r="C13" s="18"/>
      <c r="D13" s="18"/>
      <c r="E13" s="18"/>
      <c r="F13" s="18"/>
      <c r="G13" s="18"/>
      <c r="H13" s="18"/>
      <c r="I13" s="18"/>
      <c r="J13" s="18"/>
      <c r="K13" s="18"/>
      <c r="L13" s="18"/>
      <c r="M13" s="18"/>
      <c r="N13" s="18"/>
      <c r="O13" s="18"/>
      <c r="P13" s="18"/>
    </row>
    <row r="14" spans="1:16" ht="16.5">
      <c r="A14" s="18"/>
      <c r="B14" s="18"/>
      <c r="C14" s="18"/>
      <c r="D14" s="18"/>
      <c r="E14" s="18"/>
      <c r="F14" s="18"/>
      <c r="G14" s="18"/>
      <c r="H14" s="18"/>
      <c r="I14" s="18"/>
      <c r="J14" s="18"/>
      <c r="K14" s="18"/>
      <c r="L14" s="18"/>
      <c r="M14" s="18"/>
      <c r="N14" s="18"/>
      <c r="O14" s="18"/>
      <c r="P14" s="18"/>
    </row>
    <row r="15" spans="1:16" ht="16.5">
      <c r="A15" s="18"/>
      <c r="B15" s="18"/>
      <c r="C15" s="18"/>
      <c r="D15" s="18"/>
      <c r="E15" s="18"/>
      <c r="F15" s="18"/>
      <c r="G15" s="18"/>
      <c r="H15" s="18"/>
      <c r="I15" s="18"/>
      <c r="J15" s="18"/>
      <c r="K15" s="18"/>
      <c r="L15" s="18"/>
      <c r="M15" s="18"/>
      <c r="N15" s="18"/>
      <c r="O15" s="18"/>
      <c r="P15" s="18"/>
    </row>
    <row r="16" spans="1:16" ht="16.5">
      <c r="A16" s="18"/>
      <c r="B16" s="18"/>
      <c r="C16" s="18"/>
      <c r="D16" s="18"/>
      <c r="E16" s="18"/>
      <c r="F16" s="18"/>
      <c r="G16" s="18"/>
      <c r="H16" s="18"/>
      <c r="I16" s="18"/>
      <c r="J16" s="18"/>
      <c r="K16" s="18"/>
      <c r="L16" s="18"/>
      <c r="M16" s="18"/>
      <c r="N16" s="18"/>
      <c r="O16" s="18"/>
      <c r="P16" s="18"/>
    </row>
    <row r="17" spans="1:16" ht="16.5">
      <c r="A17" s="18"/>
      <c r="B17" s="18"/>
      <c r="C17" s="18"/>
      <c r="D17" s="18"/>
      <c r="E17" s="18"/>
      <c r="F17" s="18"/>
      <c r="G17" s="18"/>
      <c r="H17" s="18"/>
      <c r="I17" s="18"/>
      <c r="J17" s="18"/>
      <c r="K17" s="18"/>
      <c r="L17" s="18"/>
      <c r="M17" s="18"/>
      <c r="N17" s="18"/>
      <c r="O17" s="18"/>
      <c r="P17" s="18"/>
    </row>
    <row r="18" spans="1:16" ht="16.5">
      <c r="A18" s="18"/>
      <c r="B18" s="18"/>
      <c r="C18" s="18"/>
      <c r="D18" s="18"/>
      <c r="E18" s="18"/>
      <c r="F18" s="18"/>
      <c r="G18" s="18"/>
      <c r="H18" s="18"/>
      <c r="I18" s="18"/>
      <c r="J18" s="18"/>
      <c r="K18" s="18"/>
      <c r="L18" s="18"/>
      <c r="M18" s="18"/>
      <c r="N18" s="18"/>
      <c r="O18" s="18"/>
      <c r="P18" s="18"/>
    </row>
    <row r="19" spans="1:16" ht="16.5">
      <c r="A19" s="18"/>
      <c r="B19" s="18"/>
      <c r="C19" s="18"/>
      <c r="D19" s="18"/>
      <c r="E19" s="18"/>
      <c r="F19" s="18"/>
      <c r="G19" s="18"/>
      <c r="H19" s="18"/>
      <c r="I19" s="18"/>
      <c r="J19" s="18"/>
      <c r="K19" s="18"/>
      <c r="L19" s="18"/>
      <c r="M19" s="18"/>
      <c r="N19" s="18"/>
      <c r="O19" s="18"/>
      <c r="P19" s="18"/>
    </row>
    <row r="20" spans="1:16" ht="16.5">
      <c r="A20" s="18"/>
      <c r="B20" s="18"/>
      <c r="C20" s="18"/>
      <c r="D20" s="18"/>
      <c r="E20" s="18"/>
      <c r="F20" s="18"/>
      <c r="G20" s="18"/>
      <c r="H20" s="18"/>
      <c r="I20" s="18"/>
      <c r="J20" s="18"/>
      <c r="K20" s="18"/>
      <c r="L20" s="18"/>
      <c r="M20" s="18"/>
      <c r="N20" s="18"/>
      <c r="O20" s="18"/>
      <c r="P20" s="18"/>
    </row>
    <row r="21" spans="1:16" ht="16.5">
      <c r="A21" s="18"/>
      <c r="B21" s="18"/>
      <c r="C21" s="18"/>
      <c r="D21" s="18"/>
      <c r="E21" s="18"/>
      <c r="F21" s="18"/>
      <c r="G21" s="18"/>
      <c r="H21" s="18"/>
      <c r="I21" s="18"/>
      <c r="J21" s="18"/>
      <c r="K21" s="18"/>
      <c r="L21" s="18"/>
      <c r="M21" s="18"/>
      <c r="N21" s="18"/>
      <c r="O21" s="18"/>
      <c r="P21" s="18"/>
    </row>
    <row r="22" spans="1:16" ht="16.5">
      <c r="A22" s="18"/>
      <c r="B22" s="18"/>
      <c r="C22" s="18"/>
      <c r="D22" s="18"/>
      <c r="E22" s="18"/>
      <c r="F22" s="18"/>
      <c r="G22" s="18"/>
      <c r="H22" s="18"/>
      <c r="I22" s="18"/>
      <c r="J22" s="18"/>
      <c r="K22" s="18"/>
      <c r="L22" s="18"/>
      <c r="M22" s="18"/>
      <c r="N22" s="18"/>
      <c r="O22" s="18"/>
      <c r="P22" s="18"/>
    </row>
    <row r="23" spans="1:16" ht="16.5">
      <c r="A23" s="18"/>
      <c r="B23" s="18"/>
      <c r="C23" s="18"/>
      <c r="D23" s="18"/>
      <c r="E23" s="18"/>
      <c r="F23" s="18"/>
      <c r="G23" s="18"/>
      <c r="H23" s="18"/>
      <c r="I23" s="18"/>
      <c r="J23" s="18"/>
      <c r="K23" s="18"/>
      <c r="L23" s="18"/>
      <c r="M23" s="18"/>
      <c r="N23" s="18"/>
      <c r="O23" s="18"/>
      <c r="P23" s="18"/>
    </row>
    <row r="24" spans="1:16" ht="16.5">
      <c r="A24" s="18"/>
      <c r="B24" s="18"/>
      <c r="C24" s="18"/>
      <c r="D24" s="18"/>
      <c r="E24" s="18"/>
      <c r="F24" s="18"/>
      <c r="G24" s="18"/>
      <c r="H24" s="18"/>
      <c r="I24" s="18"/>
      <c r="J24" s="18"/>
      <c r="K24" s="18"/>
      <c r="L24" s="18"/>
      <c r="M24" s="18"/>
      <c r="N24" s="18"/>
      <c r="O24" s="18"/>
      <c r="P24" s="18"/>
    </row>
    <row r="25" spans="1:16" ht="16.5">
      <c r="A25" s="18"/>
      <c r="B25" s="18"/>
      <c r="C25" s="18"/>
      <c r="D25" s="18"/>
      <c r="E25" s="18"/>
      <c r="F25" s="18"/>
      <c r="G25" s="18"/>
      <c r="H25" s="18"/>
      <c r="I25" s="18"/>
      <c r="J25" s="18"/>
      <c r="K25" s="18"/>
      <c r="L25" s="18"/>
      <c r="M25" s="18"/>
      <c r="N25" s="18"/>
      <c r="O25" s="18"/>
      <c r="P25" s="18"/>
    </row>
    <row r="26" spans="1:16" ht="16.5">
      <c r="A26" s="18"/>
      <c r="B26" s="18"/>
      <c r="C26" s="18"/>
      <c r="D26" s="18"/>
      <c r="E26" s="18"/>
      <c r="F26" s="18"/>
      <c r="G26" s="18"/>
      <c r="H26" s="18"/>
      <c r="I26" s="18"/>
      <c r="J26" s="18"/>
      <c r="K26" s="18"/>
      <c r="L26" s="18"/>
      <c r="M26" s="18"/>
      <c r="N26" s="18"/>
      <c r="O26" s="18"/>
      <c r="P26" s="18"/>
    </row>
    <row r="27" spans="1:16" ht="16.5">
      <c r="A27" s="18"/>
      <c r="B27" s="18"/>
      <c r="C27" s="18"/>
      <c r="D27" s="18"/>
      <c r="E27" s="18"/>
      <c r="F27" s="18"/>
      <c r="G27" s="18"/>
      <c r="H27" s="18"/>
      <c r="I27" s="18"/>
      <c r="J27" s="18"/>
      <c r="K27" s="18"/>
      <c r="L27" s="18"/>
      <c r="M27" s="18"/>
      <c r="N27" s="18"/>
      <c r="O27" s="18"/>
      <c r="P27" s="18"/>
    </row>
    <row r="28" spans="1:16" ht="16.5">
      <c r="A28" s="18"/>
      <c r="B28" s="18"/>
      <c r="C28" s="18"/>
      <c r="D28" s="18"/>
      <c r="E28" s="18"/>
      <c r="F28" s="18"/>
      <c r="G28" s="18"/>
      <c r="H28" s="18"/>
      <c r="I28" s="18"/>
      <c r="J28" s="18"/>
      <c r="K28" s="18"/>
      <c r="L28" s="18"/>
      <c r="M28" s="18"/>
      <c r="N28" s="18"/>
      <c r="O28" s="18"/>
      <c r="P28" s="18"/>
    </row>
    <row r="29" spans="1:16" ht="16.5">
      <c r="A29" s="18"/>
      <c r="B29" s="18"/>
      <c r="C29" s="18"/>
      <c r="D29" s="18"/>
      <c r="E29" s="18"/>
      <c r="F29" s="18"/>
      <c r="G29" s="18"/>
      <c r="H29" s="18"/>
      <c r="I29" s="18"/>
      <c r="J29" s="18"/>
      <c r="K29" s="18"/>
      <c r="L29" s="18"/>
      <c r="M29" s="18"/>
      <c r="N29" s="18"/>
      <c r="O29" s="18"/>
      <c r="P29" s="18"/>
    </row>
    <row r="30" spans="1:16" ht="16.5">
      <c r="A30" s="18"/>
      <c r="B30" s="18"/>
      <c r="C30" s="18"/>
      <c r="D30" s="18"/>
      <c r="E30" s="18"/>
      <c r="F30" s="18"/>
      <c r="G30" s="18"/>
      <c r="H30" s="18"/>
      <c r="I30" s="18"/>
      <c r="J30" s="18"/>
      <c r="K30" s="18"/>
      <c r="L30" s="18"/>
      <c r="M30" s="18"/>
      <c r="N30" s="18"/>
      <c r="O30" s="18"/>
      <c r="P30" s="18"/>
    </row>
    <row r="31" spans="1:16" ht="16.5">
      <c r="A31" s="18"/>
      <c r="B31" s="18"/>
      <c r="C31" s="18"/>
      <c r="D31" s="18"/>
      <c r="E31" s="18"/>
      <c r="F31" s="18"/>
      <c r="G31" s="18"/>
      <c r="H31" s="18"/>
      <c r="I31" s="18"/>
      <c r="J31" s="18"/>
      <c r="K31" s="18"/>
      <c r="L31" s="18"/>
      <c r="M31" s="18"/>
      <c r="N31" s="18"/>
      <c r="O31" s="18"/>
      <c r="P31" s="18"/>
    </row>
    <row r="32" spans="1:16" ht="16.5">
      <c r="A32" s="18"/>
      <c r="B32" s="18"/>
      <c r="C32" s="18"/>
      <c r="D32" s="18"/>
      <c r="E32" s="18"/>
      <c r="F32" s="18"/>
      <c r="G32" s="18"/>
      <c r="H32" s="18"/>
      <c r="I32" s="18"/>
      <c r="J32" s="18"/>
      <c r="K32" s="18"/>
      <c r="L32" s="18"/>
      <c r="M32" s="18"/>
      <c r="N32" s="18"/>
      <c r="O32" s="18"/>
      <c r="P32" s="18"/>
    </row>
    <row r="33" spans="1:16" ht="16.5">
      <c r="A33" s="18"/>
      <c r="B33" s="18"/>
      <c r="C33" s="18"/>
      <c r="D33" s="18"/>
      <c r="E33" s="18"/>
      <c r="F33" s="18"/>
      <c r="G33" s="18"/>
      <c r="H33" s="18"/>
      <c r="I33" s="18"/>
      <c r="J33" s="18"/>
      <c r="K33" s="18"/>
      <c r="L33" s="18"/>
      <c r="M33" s="18"/>
      <c r="N33" s="18"/>
      <c r="O33" s="18"/>
      <c r="P33" s="18"/>
    </row>
    <row r="34" spans="1:16" ht="16.5">
      <c r="A34" s="18"/>
      <c r="B34" s="18"/>
      <c r="C34" s="18"/>
      <c r="D34" s="18"/>
      <c r="E34" s="18"/>
      <c r="F34" s="18"/>
      <c r="G34" s="18"/>
      <c r="H34" s="18"/>
      <c r="I34" s="18"/>
      <c r="J34" s="18"/>
      <c r="K34" s="18"/>
      <c r="L34" s="18"/>
      <c r="M34" s="18"/>
      <c r="N34" s="18"/>
      <c r="O34" s="18"/>
      <c r="P34" s="18"/>
    </row>
    <row r="35" spans="1:16" ht="16.5">
      <c r="A35" s="18"/>
      <c r="B35" s="18"/>
      <c r="C35" s="18"/>
      <c r="D35" s="18"/>
      <c r="E35" s="18"/>
      <c r="F35" s="18"/>
      <c r="G35" s="18"/>
      <c r="H35" s="18"/>
      <c r="I35" s="18"/>
      <c r="J35" s="18"/>
      <c r="K35" s="18"/>
      <c r="L35" s="18"/>
      <c r="M35" s="18"/>
      <c r="N35" s="18"/>
      <c r="O35" s="18"/>
      <c r="P35" s="18"/>
    </row>
    <row r="36" spans="1:16" ht="16.5">
      <c r="A36" s="18"/>
      <c r="B36" s="18"/>
      <c r="C36" s="18"/>
      <c r="D36" s="18"/>
      <c r="E36" s="18"/>
      <c r="F36" s="18"/>
      <c r="G36" s="18"/>
      <c r="H36" s="18"/>
      <c r="I36" s="18"/>
      <c r="J36" s="18"/>
      <c r="K36" s="18"/>
      <c r="L36" s="18"/>
      <c r="M36" s="18"/>
      <c r="N36" s="18"/>
      <c r="O36" s="18"/>
      <c r="P36" s="18"/>
    </row>
    <row r="37" spans="1:16" ht="16.5">
      <c r="A37" s="18"/>
      <c r="B37" s="18"/>
      <c r="C37" s="18"/>
      <c r="D37" s="18"/>
      <c r="E37" s="18"/>
      <c r="F37" s="18"/>
      <c r="G37" s="18"/>
      <c r="H37" s="18"/>
      <c r="I37" s="18"/>
      <c r="J37" s="18"/>
      <c r="K37" s="18"/>
      <c r="L37" s="18"/>
      <c r="M37" s="18"/>
      <c r="N37" s="18"/>
      <c r="O37" s="18"/>
      <c r="P37" s="18"/>
    </row>
    <row r="38" spans="1:16" ht="16.5">
      <c r="A38" s="18"/>
      <c r="B38" s="18"/>
      <c r="C38" s="18"/>
      <c r="D38" s="18"/>
      <c r="E38" s="18"/>
      <c r="F38" s="18"/>
      <c r="G38" s="18"/>
      <c r="H38" s="18"/>
      <c r="I38" s="18"/>
      <c r="J38" s="18"/>
      <c r="K38" s="18"/>
      <c r="L38" s="18"/>
      <c r="M38" s="18"/>
      <c r="N38" s="18"/>
      <c r="O38" s="18"/>
      <c r="P38" s="18"/>
    </row>
    <row r="39" spans="1:16" ht="16.5">
      <c r="A39" s="18"/>
      <c r="B39" s="18"/>
      <c r="C39" s="18"/>
      <c r="D39" s="18"/>
      <c r="E39" s="18"/>
      <c r="F39" s="18"/>
      <c r="G39" s="18"/>
      <c r="H39" s="18"/>
      <c r="I39" s="18"/>
      <c r="J39" s="18"/>
      <c r="K39" s="18"/>
      <c r="L39" s="18"/>
      <c r="M39" s="18"/>
      <c r="N39" s="18"/>
      <c r="O39" s="18"/>
      <c r="P39" s="18"/>
    </row>
    <row r="40" spans="1:16" ht="16.5">
      <c r="A40" s="18"/>
      <c r="N40" s="18"/>
      <c r="O40" s="18"/>
      <c r="P40" s="18"/>
    </row>
    <row r="41" spans="1:16" ht="16.5">
      <c r="A41" s="18"/>
      <c r="N41" s="18"/>
      <c r="O41" s="18"/>
      <c r="P41" s="18"/>
    </row>
    <row r="42" spans="1:16" ht="16.5">
      <c r="A42" s="18"/>
      <c r="N42" s="18"/>
      <c r="O42" s="18"/>
      <c r="P42" s="18"/>
    </row>
    <row r="43" spans="1:16" ht="16.5">
      <c r="A43" s="18"/>
      <c r="N43" s="18"/>
      <c r="O43" s="18"/>
      <c r="P43" s="18"/>
    </row>
    <row r="44" spans="1:16" ht="16.5" customHeight="1">
      <c r="A44" s="18"/>
      <c r="E44" s="32" t="s">
        <v>9</v>
      </c>
      <c r="F44" s="31"/>
      <c r="G44" s="31"/>
      <c r="H44" s="31"/>
      <c r="I44" s="31"/>
      <c r="J44" s="31"/>
      <c r="K44" s="31"/>
      <c r="L44" s="31"/>
      <c r="M44" s="31"/>
      <c r="N44" s="31"/>
      <c r="O44" s="30"/>
      <c r="P44" s="18"/>
    </row>
    <row r="45" spans="1:16" ht="16.5">
      <c r="A45" s="18"/>
      <c r="E45" s="31"/>
      <c r="F45" s="31"/>
      <c r="G45" s="31"/>
      <c r="H45" s="31"/>
      <c r="I45" s="31"/>
      <c r="J45" s="31"/>
      <c r="K45" s="31"/>
      <c r="L45" s="31"/>
      <c r="M45" s="31"/>
      <c r="N45" s="31"/>
      <c r="O45" s="30"/>
      <c r="P45" s="18"/>
    </row>
    <row r="46" spans="1:16" ht="16.5">
      <c r="A46" s="18"/>
      <c r="E46" s="31"/>
      <c r="F46" s="31"/>
      <c r="G46" s="31"/>
      <c r="H46" s="31"/>
      <c r="I46" s="31"/>
      <c r="J46" s="31"/>
      <c r="K46" s="31"/>
      <c r="L46" s="31"/>
      <c r="M46" s="31"/>
      <c r="N46" s="31"/>
      <c r="O46" s="30"/>
      <c r="P46" s="18"/>
    </row>
    <row r="47" spans="1:16" ht="16.5">
      <c r="A47" s="18"/>
      <c r="E47" s="31"/>
      <c r="F47" s="31"/>
      <c r="G47" s="31"/>
      <c r="H47" s="31"/>
      <c r="I47" s="31"/>
      <c r="J47" s="31"/>
      <c r="K47" s="31"/>
      <c r="L47" s="31"/>
      <c r="M47" s="31"/>
      <c r="N47" s="31"/>
      <c r="O47" s="30"/>
      <c r="P47" s="18"/>
    </row>
    <row r="48" spans="1:16" ht="16.5">
      <c r="A48" s="18"/>
      <c r="E48" s="31"/>
      <c r="F48" s="31"/>
      <c r="G48" s="31"/>
      <c r="H48" s="31"/>
      <c r="I48" s="31"/>
      <c r="J48" s="31"/>
      <c r="K48" s="31"/>
      <c r="L48" s="31"/>
      <c r="M48" s="31"/>
      <c r="N48" s="31"/>
      <c r="O48" s="30"/>
      <c r="P48" s="18"/>
    </row>
    <row r="49" spans="1:16" ht="16.5">
      <c r="A49" s="18"/>
      <c r="B49" s="18"/>
      <c r="C49" s="18"/>
      <c r="D49" s="18"/>
      <c r="E49" s="31"/>
      <c r="F49" s="31"/>
      <c r="G49" s="31"/>
      <c r="H49" s="31"/>
      <c r="I49" s="31"/>
      <c r="J49" s="31"/>
      <c r="K49" s="31"/>
      <c r="L49" s="31"/>
      <c r="M49" s="31"/>
      <c r="N49" s="31"/>
      <c r="O49" s="30"/>
      <c r="P49" s="18"/>
    </row>
    <row r="50" spans="1:16" ht="16.5">
      <c r="A50" s="18"/>
      <c r="B50" s="18"/>
      <c r="C50" s="18"/>
      <c r="D50" s="18"/>
      <c r="E50" s="31"/>
      <c r="F50" s="31"/>
      <c r="G50" s="31"/>
      <c r="H50" s="31"/>
      <c r="I50" s="31"/>
      <c r="J50" s="31"/>
      <c r="K50" s="31"/>
      <c r="L50" s="31"/>
      <c r="M50" s="31"/>
      <c r="N50" s="31"/>
      <c r="O50" s="30"/>
      <c r="P50" s="18"/>
    </row>
    <row r="51" spans="1:16" ht="16.5">
      <c r="A51" s="18"/>
      <c r="B51" s="18"/>
      <c r="C51" s="18"/>
      <c r="D51" s="18"/>
      <c r="E51" s="31"/>
      <c r="F51" s="31"/>
      <c r="G51" s="31"/>
      <c r="H51" s="31"/>
      <c r="I51" s="31"/>
      <c r="J51" s="31"/>
      <c r="K51" s="31"/>
      <c r="L51" s="31"/>
      <c r="M51" s="31"/>
      <c r="N51" s="31"/>
      <c r="O51" s="30"/>
      <c r="P51" s="18"/>
    </row>
    <row r="52" spans="1:16">
      <c r="E52" s="31"/>
      <c r="F52" s="31"/>
      <c r="G52" s="31"/>
      <c r="H52" s="31"/>
      <c r="I52" s="31"/>
      <c r="J52" s="31"/>
      <c r="K52" s="31"/>
      <c r="L52" s="31"/>
      <c r="M52" s="31"/>
      <c r="N52" s="31"/>
      <c r="O52" s="30"/>
    </row>
    <row r="53" spans="1:16">
      <c r="E53" s="30"/>
      <c r="F53" s="30"/>
      <c r="G53" s="30"/>
      <c r="H53" s="30"/>
      <c r="I53" s="30"/>
      <c r="J53" s="30"/>
      <c r="K53" s="30"/>
      <c r="L53" s="30"/>
      <c r="M53" s="30"/>
      <c r="N53" s="30"/>
      <c r="O53" s="30"/>
    </row>
  </sheetData>
  <mergeCells count="20">
    <mergeCell ref="B5:C5"/>
    <mergeCell ref="D5:E5"/>
    <mergeCell ref="F5:G5"/>
    <mergeCell ref="H5:I5"/>
    <mergeCell ref="J5:K5"/>
    <mergeCell ref="L5:M5"/>
    <mergeCell ref="B1:P2"/>
    <mergeCell ref="B6:C6"/>
    <mergeCell ref="D6:E6"/>
    <mergeCell ref="F6:G6"/>
    <mergeCell ref="H6:I6"/>
    <mergeCell ref="J6:K6"/>
    <mergeCell ref="L6:M6"/>
    <mergeCell ref="L7:M7"/>
    <mergeCell ref="B7:C7"/>
    <mergeCell ref="D7:E7"/>
    <mergeCell ref="F7:G7"/>
    <mergeCell ref="H7:I7"/>
    <mergeCell ref="J7:K7"/>
    <mergeCell ref="E44:N52"/>
  </mergeCells>
  <pageMargins left="0.7" right="0.7" top="0.75" bottom="0.75" header="0.3" footer="0.3"/>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20131-5755-4E96-9E54-7C3693EF1C96}">
  <dimension ref="A1:K6395"/>
  <sheetViews>
    <sheetView topLeftCell="A245" workbookViewId="0">
      <selection activeCell="D5" sqref="D5"/>
    </sheetView>
  </sheetViews>
  <sheetFormatPr defaultRowHeight="13.5"/>
  <cols>
    <col min="1" max="1" width="11" bestFit="1" customWidth="1"/>
    <col min="2" max="2" width="12.375" bestFit="1" customWidth="1"/>
    <col min="3" max="3" width="26.875" bestFit="1" customWidth="1"/>
    <col min="4" max="4" width="12.25" bestFit="1" customWidth="1"/>
    <col min="5" max="5" width="13.125" bestFit="1" customWidth="1"/>
    <col min="6" max="6" width="14.125" bestFit="1" customWidth="1"/>
    <col min="7" max="7" width="13" bestFit="1" customWidth="1"/>
    <col min="9" max="9" width="10" bestFit="1" customWidth="1"/>
    <col min="10" max="11" width="19.25" bestFit="1" customWidth="1"/>
  </cols>
  <sheetData>
    <row r="1" spans="1:11">
      <c r="A1" t="s">
        <v>10</v>
      </c>
      <c r="B1" t="s">
        <v>11</v>
      </c>
      <c r="C1" t="s">
        <v>12</v>
      </c>
      <c r="D1" t="s">
        <v>13</v>
      </c>
      <c r="E1" t="s">
        <v>14</v>
      </c>
      <c r="F1" t="s">
        <v>15</v>
      </c>
      <c r="G1" t="s">
        <v>16</v>
      </c>
      <c r="H1" t="s">
        <v>17</v>
      </c>
      <c r="I1" t="s">
        <v>18</v>
      </c>
      <c r="J1" t="s">
        <v>19</v>
      </c>
      <c r="K1" t="s">
        <v>20</v>
      </c>
    </row>
    <row r="2" spans="1:11">
      <c r="A2" s="1">
        <v>45442</v>
      </c>
      <c r="B2" t="s">
        <v>21</v>
      </c>
      <c r="C2" t="s">
        <v>22</v>
      </c>
      <c r="D2">
        <v>1</v>
      </c>
      <c r="E2">
        <v>0</v>
      </c>
      <c r="F2">
        <v>0</v>
      </c>
      <c r="G2">
        <v>0</v>
      </c>
      <c r="H2">
        <v>1</v>
      </c>
      <c r="I2" s="1">
        <v>45413</v>
      </c>
      <c r="J2">
        <v>0</v>
      </c>
      <c r="K2" t="s">
        <v>23</v>
      </c>
    </row>
    <row r="3" spans="1:11">
      <c r="A3" s="1">
        <v>45470</v>
      </c>
      <c r="B3" t="s">
        <v>21</v>
      </c>
      <c r="C3" t="s">
        <v>22</v>
      </c>
      <c r="D3">
        <v>1</v>
      </c>
      <c r="E3">
        <v>0</v>
      </c>
      <c r="F3">
        <v>0</v>
      </c>
      <c r="G3">
        <v>0</v>
      </c>
      <c r="H3">
        <v>1</v>
      </c>
      <c r="I3" s="1">
        <v>45444</v>
      </c>
      <c r="J3">
        <v>0</v>
      </c>
      <c r="K3" t="s">
        <v>23</v>
      </c>
    </row>
    <row r="4" spans="1:11">
      <c r="A4" s="1">
        <v>45470</v>
      </c>
      <c r="B4" t="s">
        <v>21</v>
      </c>
      <c r="C4" t="s">
        <v>24</v>
      </c>
      <c r="D4">
        <v>1</v>
      </c>
      <c r="E4">
        <v>0</v>
      </c>
      <c r="F4">
        <v>0</v>
      </c>
      <c r="G4">
        <v>0</v>
      </c>
      <c r="H4">
        <v>1</v>
      </c>
      <c r="I4" s="1">
        <v>45444</v>
      </c>
      <c r="J4">
        <v>0</v>
      </c>
      <c r="K4" t="s">
        <v>23</v>
      </c>
    </row>
    <row r="5" spans="1:11">
      <c r="A5" s="1">
        <v>45533</v>
      </c>
      <c r="B5" t="s">
        <v>21</v>
      </c>
      <c r="C5" t="s">
        <v>25</v>
      </c>
      <c r="D5">
        <v>1</v>
      </c>
      <c r="E5">
        <v>0</v>
      </c>
      <c r="F5">
        <v>0</v>
      </c>
      <c r="G5">
        <v>0</v>
      </c>
      <c r="H5">
        <v>1</v>
      </c>
      <c r="I5" s="1">
        <v>45505</v>
      </c>
      <c r="J5">
        <v>0</v>
      </c>
      <c r="K5" t="s">
        <v>23</v>
      </c>
    </row>
    <row r="6" spans="1:11">
      <c r="A6" s="1">
        <v>45624</v>
      </c>
      <c r="B6" t="s">
        <v>21</v>
      </c>
      <c r="C6" t="s">
        <v>25</v>
      </c>
      <c r="D6">
        <v>1</v>
      </c>
      <c r="E6">
        <v>0</v>
      </c>
      <c r="F6">
        <v>0</v>
      </c>
      <c r="G6">
        <v>0</v>
      </c>
      <c r="H6">
        <v>1</v>
      </c>
      <c r="I6" s="1">
        <v>45597</v>
      </c>
      <c r="J6">
        <v>0</v>
      </c>
      <c r="K6" t="s">
        <v>23</v>
      </c>
    </row>
    <row r="7" spans="1:11">
      <c r="A7" s="1">
        <v>45645</v>
      </c>
      <c r="B7" t="s">
        <v>21</v>
      </c>
      <c r="C7" t="s">
        <v>25</v>
      </c>
      <c r="D7">
        <v>1</v>
      </c>
      <c r="E7">
        <v>0</v>
      </c>
      <c r="F7">
        <v>0</v>
      </c>
      <c r="G7">
        <v>0</v>
      </c>
      <c r="H7">
        <v>1</v>
      </c>
      <c r="I7" s="1">
        <v>45627</v>
      </c>
      <c r="J7">
        <v>0</v>
      </c>
      <c r="K7" t="s">
        <v>23</v>
      </c>
    </row>
    <row r="8" spans="1:11">
      <c r="A8" s="1">
        <v>45771</v>
      </c>
      <c r="B8" t="s">
        <v>21</v>
      </c>
      <c r="C8" t="s">
        <v>25</v>
      </c>
      <c r="D8">
        <v>1</v>
      </c>
      <c r="E8">
        <v>0</v>
      </c>
      <c r="F8">
        <v>0</v>
      </c>
      <c r="G8">
        <v>0</v>
      </c>
      <c r="H8">
        <v>1</v>
      </c>
      <c r="I8" s="1">
        <v>45748</v>
      </c>
      <c r="J8">
        <v>0</v>
      </c>
      <c r="K8" t="s">
        <v>23</v>
      </c>
    </row>
    <row r="9" spans="1:11">
      <c r="A9" s="1">
        <v>46051</v>
      </c>
      <c r="B9" t="s">
        <v>21</v>
      </c>
      <c r="C9" t="s">
        <v>24</v>
      </c>
      <c r="D9">
        <v>1</v>
      </c>
      <c r="E9">
        <v>0</v>
      </c>
      <c r="F9">
        <v>0</v>
      </c>
      <c r="G9">
        <v>0</v>
      </c>
      <c r="H9">
        <v>1</v>
      </c>
      <c r="I9" s="1">
        <v>46023</v>
      </c>
      <c r="J9">
        <v>0</v>
      </c>
      <c r="K9" t="s">
        <v>23</v>
      </c>
    </row>
    <row r="10" spans="1:11">
      <c r="A10" s="1">
        <v>46079</v>
      </c>
      <c r="B10" t="s">
        <v>21</v>
      </c>
      <c r="C10" t="s">
        <v>24</v>
      </c>
      <c r="D10">
        <v>1</v>
      </c>
      <c r="E10">
        <v>0</v>
      </c>
      <c r="F10">
        <v>0</v>
      </c>
      <c r="G10">
        <v>0</v>
      </c>
      <c r="H10">
        <v>1</v>
      </c>
      <c r="I10" s="1">
        <v>46054</v>
      </c>
      <c r="J10">
        <v>0</v>
      </c>
      <c r="K10" t="s">
        <v>23</v>
      </c>
    </row>
    <row r="11" spans="1:11">
      <c r="A11" s="1">
        <v>46170</v>
      </c>
      <c r="B11" t="s">
        <v>21</v>
      </c>
      <c r="C11" t="s">
        <v>24</v>
      </c>
      <c r="D11">
        <v>1</v>
      </c>
      <c r="E11">
        <v>0</v>
      </c>
      <c r="F11">
        <v>0</v>
      </c>
      <c r="G11">
        <v>0</v>
      </c>
      <c r="H11">
        <v>1</v>
      </c>
      <c r="I11" s="1">
        <v>46143</v>
      </c>
      <c r="J11">
        <v>0</v>
      </c>
      <c r="K11" t="s">
        <v>23</v>
      </c>
    </row>
    <row r="12" spans="1:11">
      <c r="A12" s="1">
        <v>46198</v>
      </c>
      <c r="B12" t="s">
        <v>21</v>
      </c>
      <c r="C12" t="s">
        <v>22</v>
      </c>
      <c r="D12">
        <v>1</v>
      </c>
      <c r="E12">
        <v>0</v>
      </c>
      <c r="F12">
        <v>0</v>
      </c>
      <c r="G12">
        <v>0</v>
      </c>
      <c r="H12">
        <v>1</v>
      </c>
      <c r="I12" s="1">
        <v>46174</v>
      </c>
      <c r="J12">
        <v>0</v>
      </c>
      <c r="K12" t="s">
        <v>23</v>
      </c>
    </row>
    <row r="13" spans="1:11">
      <c r="A13" s="1">
        <v>46198</v>
      </c>
      <c r="B13" t="s">
        <v>21</v>
      </c>
      <c r="C13" t="s">
        <v>24</v>
      </c>
      <c r="D13">
        <v>1</v>
      </c>
      <c r="E13">
        <v>0</v>
      </c>
      <c r="F13">
        <v>0</v>
      </c>
      <c r="G13">
        <v>0</v>
      </c>
      <c r="H13">
        <v>1</v>
      </c>
      <c r="I13" s="1">
        <v>46174</v>
      </c>
      <c r="J13">
        <v>0</v>
      </c>
      <c r="K13" t="s">
        <v>23</v>
      </c>
    </row>
    <row r="14" spans="1:11">
      <c r="A14" s="1">
        <v>46233</v>
      </c>
      <c r="B14" t="s">
        <v>21</v>
      </c>
      <c r="C14" t="s">
        <v>25</v>
      </c>
      <c r="D14">
        <v>1</v>
      </c>
      <c r="E14">
        <v>0</v>
      </c>
      <c r="F14">
        <v>0</v>
      </c>
      <c r="G14">
        <v>0</v>
      </c>
      <c r="H14">
        <v>1</v>
      </c>
      <c r="I14" s="1">
        <v>46204</v>
      </c>
      <c r="J14">
        <v>0</v>
      </c>
      <c r="K14" t="s">
        <v>23</v>
      </c>
    </row>
    <row r="15" spans="1:11">
      <c r="A15" s="1">
        <v>46233</v>
      </c>
      <c r="B15" t="s">
        <v>21</v>
      </c>
      <c r="C15" t="s">
        <v>24</v>
      </c>
      <c r="D15">
        <v>1</v>
      </c>
      <c r="E15">
        <v>0</v>
      </c>
      <c r="F15">
        <v>0</v>
      </c>
      <c r="G15">
        <v>0</v>
      </c>
      <c r="H15">
        <v>1</v>
      </c>
      <c r="I15" s="1">
        <v>46204</v>
      </c>
      <c r="J15">
        <v>0</v>
      </c>
      <c r="K15" t="s">
        <v>23</v>
      </c>
    </row>
    <row r="16" spans="1:11">
      <c r="A16" s="1">
        <v>46261</v>
      </c>
      <c r="B16" t="s">
        <v>21</v>
      </c>
      <c r="C16" t="s">
        <v>25</v>
      </c>
      <c r="D16">
        <v>1</v>
      </c>
      <c r="E16">
        <v>0</v>
      </c>
      <c r="F16">
        <v>0</v>
      </c>
      <c r="G16">
        <v>0</v>
      </c>
      <c r="H16">
        <v>1</v>
      </c>
      <c r="I16" s="1">
        <v>46235</v>
      </c>
      <c r="J16">
        <v>0</v>
      </c>
      <c r="K16" t="s">
        <v>23</v>
      </c>
    </row>
    <row r="17" spans="1:11">
      <c r="A17" s="1">
        <v>46261</v>
      </c>
      <c r="B17" t="s">
        <v>21</v>
      </c>
      <c r="C17" t="s">
        <v>22</v>
      </c>
      <c r="D17">
        <v>1</v>
      </c>
      <c r="E17">
        <v>0</v>
      </c>
      <c r="F17">
        <v>0</v>
      </c>
      <c r="G17">
        <v>0</v>
      </c>
      <c r="H17">
        <v>1</v>
      </c>
      <c r="I17" s="1">
        <v>46235</v>
      </c>
      <c r="J17">
        <v>0</v>
      </c>
      <c r="K17" t="s">
        <v>23</v>
      </c>
    </row>
    <row r="18" spans="1:11">
      <c r="A18" s="1">
        <v>45316</v>
      </c>
      <c r="B18" t="s">
        <v>21</v>
      </c>
      <c r="C18" t="s">
        <v>24</v>
      </c>
      <c r="D18">
        <v>1</v>
      </c>
      <c r="E18">
        <v>0</v>
      </c>
      <c r="F18">
        <v>0</v>
      </c>
      <c r="G18">
        <v>0</v>
      </c>
      <c r="H18">
        <v>1</v>
      </c>
      <c r="I18" s="1">
        <v>45292</v>
      </c>
      <c r="J18">
        <v>0</v>
      </c>
      <c r="K18" t="s">
        <v>26</v>
      </c>
    </row>
    <row r="19" spans="1:11">
      <c r="A19" s="1">
        <v>45351</v>
      </c>
      <c r="B19" t="s">
        <v>21</v>
      </c>
      <c r="C19" t="s">
        <v>27</v>
      </c>
      <c r="D19">
        <v>1</v>
      </c>
      <c r="E19">
        <v>0</v>
      </c>
      <c r="F19">
        <v>0</v>
      </c>
      <c r="G19">
        <v>0</v>
      </c>
      <c r="H19">
        <v>1</v>
      </c>
      <c r="I19" s="1">
        <v>45323</v>
      </c>
      <c r="J19">
        <v>0</v>
      </c>
      <c r="K19" t="s">
        <v>26</v>
      </c>
    </row>
    <row r="20" spans="1:11">
      <c r="A20" s="1">
        <v>45351</v>
      </c>
      <c r="B20" t="s">
        <v>21</v>
      </c>
      <c r="C20" t="s">
        <v>24</v>
      </c>
      <c r="D20">
        <v>1</v>
      </c>
      <c r="E20">
        <v>0</v>
      </c>
      <c r="F20">
        <v>0</v>
      </c>
      <c r="G20">
        <v>0</v>
      </c>
      <c r="H20">
        <v>1</v>
      </c>
      <c r="I20" s="1">
        <v>45323</v>
      </c>
      <c r="J20">
        <v>0</v>
      </c>
      <c r="K20" t="s">
        <v>26</v>
      </c>
    </row>
    <row r="21" spans="1:11">
      <c r="A21" s="1">
        <v>45379</v>
      </c>
      <c r="B21" t="s">
        <v>21</v>
      </c>
      <c r="C21" t="s">
        <v>28</v>
      </c>
      <c r="D21">
        <v>1</v>
      </c>
      <c r="E21">
        <v>0</v>
      </c>
      <c r="F21">
        <v>0</v>
      </c>
      <c r="G21">
        <v>0</v>
      </c>
      <c r="H21">
        <v>1</v>
      </c>
      <c r="I21" s="1">
        <v>45352</v>
      </c>
      <c r="J21">
        <v>0</v>
      </c>
      <c r="K21" t="s">
        <v>26</v>
      </c>
    </row>
    <row r="22" spans="1:11">
      <c r="A22" s="1">
        <v>45379</v>
      </c>
      <c r="B22" t="s">
        <v>21</v>
      </c>
      <c r="C22" t="s">
        <v>24</v>
      </c>
      <c r="D22">
        <v>1</v>
      </c>
      <c r="E22">
        <v>0</v>
      </c>
      <c r="F22">
        <v>0</v>
      </c>
      <c r="G22">
        <v>0</v>
      </c>
      <c r="H22">
        <v>1</v>
      </c>
      <c r="I22" s="1">
        <v>45352</v>
      </c>
      <c r="J22">
        <v>0</v>
      </c>
      <c r="K22" t="s">
        <v>26</v>
      </c>
    </row>
    <row r="23" spans="1:11">
      <c r="A23" s="1">
        <v>45407</v>
      </c>
      <c r="B23" t="s">
        <v>21</v>
      </c>
      <c r="C23" t="s">
        <v>28</v>
      </c>
      <c r="D23">
        <v>1</v>
      </c>
      <c r="E23">
        <v>0</v>
      </c>
      <c r="F23">
        <v>0</v>
      </c>
      <c r="G23">
        <v>0</v>
      </c>
      <c r="H23">
        <v>1</v>
      </c>
      <c r="I23" s="1">
        <v>45383</v>
      </c>
      <c r="J23">
        <v>0</v>
      </c>
      <c r="K23" t="s">
        <v>26</v>
      </c>
    </row>
    <row r="24" spans="1:11">
      <c r="A24" s="1">
        <v>45407</v>
      </c>
      <c r="B24" t="s">
        <v>21</v>
      </c>
      <c r="C24" t="s">
        <v>24</v>
      </c>
      <c r="D24">
        <v>1</v>
      </c>
      <c r="E24">
        <v>0</v>
      </c>
      <c r="F24">
        <v>0</v>
      </c>
      <c r="G24">
        <v>0</v>
      </c>
      <c r="H24">
        <v>1</v>
      </c>
      <c r="I24" s="1">
        <v>45383</v>
      </c>
      <c r="J24">
        <v>0</v>
      </c>
      <c r="K24" t="s">
        <v>26</v>
      </c>
    </row>
    <row r="25" spans="1:11">
      <c r="A25" s="1">
        <v>45407</v>
      </c>
      <c r="B25" t="s">
        <v>21</v>
      </c>
      <c r="C25" t="s">
        <v>29</v>
      </c>
      <c r="D25">
        <v>1</v>
      </c>
      <c r="E25">
        <v>0</v>
      </c>
      <c r="F25">
        <v>0</v>
      </c>
      <c r="G25">
        <v>0</v>
      </c>
      <c r="H25">
        <v>1</v>
      </c>
      <c r="I25" s="1">
        <v>45383</v>
      </c>
      <c r="J25">
        <v>0</v>
      </c>
      <c r="K25" t="s">
        <v>26</v>
      </c>
    </row>
    <row r="26" spans="1:11">
      <c r="A26" s="1">
        <v>45442</v>
      </c>
      <c r="B26" t="s">
        <v>21</v>
      </c>
      <c r="C26" t="s">
        <v>30</v>
      </c>
      <c r="D26">
        <v>1</v>
      </c>
      <c r="E26">
        <v>0</v>
      </c>
      <c r="F26">
        <v>0</v>
      </c>
      <c r="G26">
        <v>0</v>
      </c>
      <c r="H26">
        <v>1</v>
      </c>
      <c r="I26" s="1">
        <v>45413</v>
      </c>
      <c r="J26">
        <v>0</v>
      </c>
      <c r="K26" t="s">
        <v>26</v>
      </c>
    </row>
    <row r="27" spans="1:11">
      <c r="A27" s="1">
        <v>45442</v>
      </c>
      <c r="B27" t="s">
        <v>21</v>
      </c>
      <c r="C27" t="s">
        <v>27</v>
      </c>
      <c r="D27">
        <v>1</v>
      </c>
      <c r="E27">
        <v>0</v>
      </c>
      <c r="F27">
        <v>0</v>
      </c>
      <c r="G27">
        <v>0</v>
      </c>
      <c r="H27">
        <v>1</v>
      </c>
      <c r="I27" s="1">
        <v>45413</v>
      </c>
      <c r="J27">
        <v>0</v>
      </c>
      <c r="K27" t="s">
        <v>26</v>
      </c>
    </row>
    <row r="28" spans="1:11">
      <c r="A28" s="1">
        <v>45442</v>
      </c>
      <c r="B28" t="s">
        <v>21</v>
      </c>
      <c r="C28" t="s">
        <v>28</v>
      </c>
      <c r="D28">
        <v>1</v>
      </c>
      <c r="E28">
        <v>0</v>
      </c>
      <c r="F28">
        <v>0</v>
      </c>
      <c r="G28">
        <v>0</v>
      </c>
      <c r="H28">
        <v>1</v>
      </c>
      <c r="I28" s="1">
        <v>45413</v>
      </c>
      <c r="J28">
        <v>0</v>
      </c>
      <c r="K28" t="s">
        <v>26</v>
      </c>
    </row>
    <row r="29" spans="1:11">
      <c r="A29" s="1">
        <v>45442</v>
      </c>
      <c r="B29" t="s">
        <v>21</v>
      </c>
      <c r="C29" t="s">
        <v>29</v>
      </c>
      <c r="D29">
        <v>1</v>
      </c>
      <c r="E29">
        <v>0</v>
      </c>
      <c r="F29">
        <v>0</v>
      </c>
      <c r="G29">
        <v>0</v>
      </c>
      <c r="H29">
        <v>1</v>
      </c>
      <c r="I29" s="1">
        <v>45413</v>
      </c>
      <c r="J29">
        <v>0</v>
      </c>
      <c r="K29" t="s">
        <v>26</v>
      </c>
    </row>
    <row r="30" spans="1:11">
      <c r="A30" s="1">
        <v>45498</v>
      </c>
      <c r="B30" t="s">
        <v>21</v>
      </c>
      <c r="C30" t="s">
        <v>31</v>
      </c>
      <c r="D30">
        <v>1</v>
      </c>
      <c r="E30">
        <v>0</v>
      </c>
      <c r="F30">
        <v>0</v>
      </c>
      <c r="G30">
        <v>0</v>
      </c>
      <c r="H30">
        <v>1</v>
      </c>
      <c r="I30" s="1">
        <v>45474</v>
      </c>
      <c r="J30">
        <v>0</v>
      </c>
      <c r="K30" t="s">
        <v>26</v>
      </c>
    </row>
    <row r="31" spans="1:11">
      <c r="A31" s="1">
        <v>45533</v>
      </c>
      <c r="B31" t="s">
        <v>21</v>
      </c>
      <c r="C31" t="s">
        <v>28</v>
      </c>
      <c r="D31">
        <v>1</v>
      </c>
      <c r="E31">
        <v>0</v>
      </c>
      <c r="F31">
        <v>0</v>
      </c>
      <c r="G31">
        <v>0</v>
      </c>
      <c r="H31">
        <v>1</v>
      </c>
      <c r="I31" s="1">
        <v>45505</v>
      </c>
      <c r="J31">
        <v>0</v>
      </c>
      <c r="K31" t="s">
        <v>26</v>
      </c>
    </row>
    <row r="32" spans="1:11">
      <c r="A32" s="1">
        <v>45533</v>
      </c>
      <c r="B32" t="s">
        <v>21</v>
      </c>
      <c r="C32" t="s">
        <v>32</v>
      </c>
      <c r="D32">
        <v>1</v>
      </c>
      <c r="E32">
        <v>0</v>
      </c>
      <c r="F32">
        <v>0</v>
      </c>
      <c r="G32">
        <v>0</v>
      </c>
      <c r="H32">
        <v>1</v>
      </c>
      <c r="I32" s="1">
        <v>45505</v>
      </c>
      <c r="J32">
        <v>0</v>
      </c>
      <c r="K32" t="s">
        <v>26</v>
      </c>
    </row>
    <row r="33" spans="1:11">
      <c r="A33" s="1">
        <v>45561</v>
      </c>
      <c r="B33" t="s">
        <v>21</v>
      </c>
      <c r="C33" t="s">
        <v>27</v>
      </c>
      <c r="D33">
        <v>1</v>
      </c>
      <c r="E33">
        <v>0</v>
      </c>
      <c r="F33">
        <v>0</v>
      </c>
      <c r="G33">
        <v>0</v>
      </c>
      <c r="H33">
        <v>1</v>
      </c>
      <c r="I33" s="1">
        <v>45536</v>
      </c>
      <c r="J33">
        <v>0</v>
      </c>
      <c r="K33" t="s">
        <v>26</v>
      </c>
    </row>
    <row r="34" spans="1:11">
      <c r="A34" s="1">
        <v>45561</v>
      </c>
      <c r="B34" t="s">
        <v>21</v>
      </c>
      <c r="C34" t="s">
        <v>28</v>
      </c>
      <c r="D34">
        <v>1</v>
      </c>
      <c r="E34">
        <v>0</v>
      </c>
      <c r="F34">
        <v>0</v>
      </c>
      <c r="G34">
        <v>0</v>
      </c>
      <c r="H34">
        <v>1</v>
      </c>
      <c r="I34" s="1">
        <v>45536</v>
      </c>
      <c r="J34">
        <v>0</v>
      </c>
      <c r="K34" t="s">
        <v>26</v>
      </c>
    </row>
    <row r="35" spans="1:11">
      <c r="A35" s="1">
        <v>45561</v>
      </c>
      <c r="B35" t="s">
        <v>21</v>
      </c>
      <c r="C35" t="s">
        <v>29</v>
      </c>
      <c r="D35">
        <v>1</v>
      </c>
      <c r="E35">
        <v>0</v>
      </c>
      <c r="F35">
        <v>0</v>
      </c>
      <c r="G35">
        <v>0</v>
      </c>
      <c r="H35">
        <v>1</v>
      </c>
      <c r="I35" s="1">
        <v>45536</v>
      </c>
      <c r="J35">
        <v>0</v>
      </c>
      <c r="K35" t="s">
        <v>26</v>
      </c>
    </row>
    <row r="36" spans="1:11">
      <c r="A36" s="1">
        <v>45687</v>
      </c>
      <c r="B36" t="s">
        <v>21</v>
      </c>
      <c r="C36" t="s">
        <v>27</v>
      </c>
      <c r="D36">
        <v>1</v>
      </c>
      <c r="E36">
        <v>0</v>
      </c>
      <c r="F36">
        <v>0</v>
      </c>
      <c r="G36">
        <v>0</v>
      </c>
      <c r="H36">
        <v>1</v>
      </c>
      <c r="I36" s="1">
        <v>45658</v>
      </c>
      <c r="J36">
        <v>0</v>
      </c>
      <c r="K36" t="s">
        <v>26</v>
      </c>
    </row>
    <row r="37" spans="1:11">
      <c r="A37" s="1">
        <v>45743</v>
      </c>
      <c r="B37" t="s">
        <v>21</v>
      </c>
      <c r="C37" t="s">
        <v>30</v>
      </c>
      <c r="D37">
        <v>1</v>
      </c>
      <c r="E37">
        <v>0</v>
      </c>
      <c r="F37">
        <v>0</v>
      </c>
      <c r="G37">
        <v>0</v>
      </c>
      <c r="H37">
        <v>1</v>
      </c>
      <c r="I37" s="1">
        <v>45717</v>
      </c>
      <c r="J37">
        <v>0</v>
      </c>
      <c r="K37" t="s">
        <v>26</v>
      </c>
    </row>
    <row r="38" spans="1:11">
      <c r="A38" s="1">
        <v>45771</v>
      </c>
      <c r="B38" t="s">
        <v>21</v>
      </c>
      <c r="C38" t="s">
        <v>33</v>
      </c>
      <c r="D38">
        <v>1</v>
      </c>
      <c r="E38">
        <v>0</v>
      </c>
      <c r="F38">
        <v>0</v>
      </c>
      <c r="G38">
        <v>0</v>
      </c>
      <c r="H38">
        <v>1</v>
      </c>
      <c r="I38" s="1">
        <v>45748</v>
      </c>
      <c r="J38">
        <v>0</v>
      </c>
      <c r="K38" t="s">
        <v>26</v>
      </c>
    </row>
    <row r="39" spans="1:11">
      <c r="A39" s="1">
        <v>45771</v>
      </c>
      <c r="B39" t="s">
        <v>21</v>
      </c>
      <c r="C39" t="s">
        <v>34</v>
      </c>
      <c r="D39">
        <v>1</v>
      </c>
      <c r="E39">
        <v>0</v>
      </c>
      <c r="F39">
        <v>0</v>
      </c>
      <c r="G39">
        <v>0</v>
      </c>
      <c r="H39">
        <v>1</v>
      </c>
      <c r="I39" s="1">
        <v>45748</v>
      </c>
      <c r="J39">
        <v>0</v>
      </c>
      <c r="K39" t="s">
        <v>26</v>
      </c>
    </row>
    <row r="40" spans="1:11">
      <c r="A40" s="1">
        <v>45806</v>
      </c>
      <c r="B40" t="s">
        <v>21</v>
      </c>
      <c r="C40" t="s">
        <v>31</v>
      </c>
      <c r="D40">
        <v>1</v>
      </c>
      <c r="E40">
        <v>0</v>
      </c>
      <c r="F40">
        <v>0</v>
      </c>
      <c r="G40">
        <v>0</v>
      </c>
      <c r="H40">
        <v>1</v>
      </c>
      <c r="I40" s="1">
        <v>45778</v>
      </c>
      <c r="J40">
        <v>0</v>
      </c>
      <c r="K40" t="s">
        <v>26</v>
      </c>
    </row>
    <row r="41" spans="1:11">
      <c r="A41" s="1">
        <v>45834</v>
      </c>
      <c r="B41" t="s">
        <v>21</v>
      </c>
      <c r="C41" t="s">
        <v>31</v>
      </c>
      <c r="D41">
        <v>1</v>
      </c>
      <c r="E41">
        <v>0</v>
      </c>
      <c r="F41">
        <v>0</v>
      </c>
      <c r="G41">
        <v>0</v>
      </c>
      <c r="H41">
        <v>1</v>
      </c>
      <c r="I41" s="1">
        <v>45809</v>
      </c>
      <c r="J41">
        <v>0</v>
      </c>
      <c r="K41" t="s">
        <v>26</v>
      </c>
    </row>
    <row r="42" spans="1:11">
      <c r="A42" s="1">
        <v>45869</v>
      </c>
      <c r="B42" t="s">
        <v>21</v>
      </c>
      <c r="C42" t="s">
        <v>28</v>
      </c>
      <c r="D42">
        <v>1</v>
      </c>
      <c r="E42">
        <v>0</v>
      </c>
      <c r="F42">
        <v>0</v>
      </c>
      <c r="G42">
        <v>0</v>
      </c>
      <c r="H42">
        <v>1</v>
      </c>
      <c r="I42" s="1">
        <v>45839</v>
      </c>
      <c r="J42">
        <v>0</v>
      </c>
      <c r="K42" t="s">
        <v>26</v>
      </c>
    </row>
    <row r="43" spans="1:11">
      <c r="A43" s="1">
        <v>45897</v>
      </c>
      <c r="B43" t="s">
        <v>21</v>
      </c>
      <c r="C43" t="s">
        <v>33</v>
      </c>
      <c r="D43">
        <v>1</v>
      </c>
      <c r="E43">
        <v>0</v>
      </c>
      <c r="F43">
        <v>0</v>
      </c>
      <c r="G43">
        <v>0</v>
      </c>
      <c r="H43">
        <v>1</v>
      </c>
      <c r="I43" s="1">
        <v>45870</v>
      </c>
      <c r="J43">
        <v>0</v>
      </c>
      <c r="K43" t="s">
        <v>26</v>
      </c>
    </row>
    <row r="44" spans="1:11">
      <c r="A44" s="1">
        <v>45897</v>
      </c>
      <c r="B44" t="s">
        <v>21</v>
      </c>
      <c r="C44" t="s">
        <v>28</v>
      </c>
      <c r="D44">
        <v>1</v>
      </c>
      <c r="E44">
        <v>0</v>
      </c>
      <c r="F44">
        <v>0</v>
      </c>
      <c r="G44">
        <v>0</v>
      </c>
      <c r="H44">
        <v>1</v>
      </c>
      <c r="I44" s="1">
        <v>45870</v>
      </c>
      <c r="J44">
        <v>0</v>
      </c>
      <c r="K44" t="s">
        <v>26</v>
      </c>
    </row>
    <row r="45" spans="1:11">
      <c r="A45" s="1">
        <v>45897</v>
      </c>
      <c r="B45" t="s">
        <v>21</v>
      </c>
      <c r="C45" t="s">
        <v>35</v>
      </c>
      <c r="D45">
        <v>1</v>
      </c>
      <c r="E45">
        <v>0</v>
      </c>
      <c r="F45">
        <v>0</v>
      </c>
      <c r="G45">
        <v>0</v>
      </c>
      <c r="H45">
        <v>1</v>
      </c>
      <c r="I45" s="1">
        <v>45870</v>
      </c>
      <c r="J45">
        <v>0</v>
      </c>
      <c r="K45" t="s">
        <v>26</v>
      </c>
    </row>
    <row r="46" spans="1:11">
      <c r="A46" s="1">
        <v>45897</v>
      </c>
      <c r="B46" t="s">
        <v>21</v>
      </c>
      <c r="C46" t="s">
        <v>22</v>
      </c>
      <c r="D46">
        <v>1</v>
      </c>
      <c r="E46">
        <v>0</v>
      </c>
      <c r="F46">
        <v>0</v>
      </c>
      <c r="G46">
        <v>0</v>
      </c>
      <c r="H46">
        <v>1</v>
      </c>
      <c r="I46" s="1">
        <v>45870</v>
      </c>
      <c r="J46">
        <v>0</v>
      </c>
      <c r="K46" t="s">
        <v>26</v>
      </c>
    </row>
    <row r="47" spans="1:11">
      <c r="A47" s="1">
        <v>45925</v>
      </c>
      <c r="B47" t="s">
        <v>21</v>
      </c>
      <c r="C47" t="s">
        <v>33</v>
      </c>
      <c r="D47">
        <v>1</v>
      </c>
      <c r="E47">
        <v>0</v>
      </c>
      <c r="F47">
        <v>0</v>
      </c>
      <c r="G47">
        <v>0</v>
      </c>
      <c r="H47">
        <v>1</v>
      </c>
      <c r="I47" s="1">
        <v>45901</v>
      </c>
      <c r="J47">
        <v>0</v>
      </c>
      <c r="K47" t="s">
        <v>26</v>
      </c>
    </row>
    <row r="48" spans="1:11">
      <c r="A48" s="1">
        <v>45925</v>
      </c>
      <c r="B48" t="s">
        <v>21</v>
      </c>
      <c r="C48" t="s">
        <v>30</v>
      </c>
      <c r="D48">
        <v>1</v>
      </c>
      <c r="E48">
        <v>0</v>
      </c>
      <c r="F48">
        <v>0</v>
      </c>
      <c r="G48">
        <v>0</v>
      </c>
      <c r="H48">
        <v>1</v>
      </c>
      <c r="I48" s="1">
        <v>45901</v>
      </c>
      <c r="J48">
        <v>0</v>
      </c>
      <c r="K48" t="s">
        <v>26</v>
      </c>
    </row>
    <row r="49" spans="1:11">
      <c r="A49" s="1">
        <v>45925</v>
      </c>
      <c r="B49" t="s">
        <v>21</v>
      </c>
      <c r="C49" t="s">
        <v>27</v>
      </c>
      <c r="D49">
        <v>1</v>
      </c>
      <c r="E49">
        <v>0</v>
      </c>
      <c r="F49">
        <v>0</v>
      </c>
      <c r="G49">
        <v>0</v>
      </c>
      <c r="H49">
        <v>1</v>
      </c>
      <c r="I49" s="1">
        <v>45901</v>
      </c>
      <c r="J49">
        <v>0</v>
      </c>
      <c r="K49" t="s">
        <v>26</v>
      </c>
    </row>
    <row r="50" spans="1:11">
      <c r="A50" s="1">
        <v>45925</v>
      </c>
      <c r="B50" t="s">
        <v>21</v>
      </c>
      <c r="C50" t="s">
        <v>22</v>
      </c>
      <c r="D50">
        <v>1</v>
      </c>
      <c r="E50">
        <v>0</v>
      </c>
      <c r="F50">
        <v>0</v>
      </c>
      <c r="G50">
        <v>0</v>
      </c>
      <c r="H50">
        <v>1</v>
      </c>
      <c r="I50" s="1">
        <v>45901</v>
      </c>
      <c r="J50">
        <v>0</v>
      </c>
      <c r="K50" t="s">
        <v>26</v>
      </c>
    </row>
    <row r="51" spans="1:11">
      <c r="A51" s="1">
        <v>45960</v>
      </c>
      <c r="B51" t="s">
        <v>21</v>
      </c>
      <c r="C51" t="s">
        <v>33</v>
      </c>
      <c r="D51">
        <v>1</v>
      </c>
      <c r="E51">
        <v>0</v>
      </c>
      <c r="F51">
        <v>0</v>
      </c>
      <c r="G51">
        <v>0</v>
      </c>
      <c r="H51">
        <v>1</v>
      </c>
      <c r="I51" s="1">
        <v>45931</v>
      </c>
      <c r="J51">
        <v>0</v>
      </c>
      <c r="K51" t="s">
        <v>26</v>
      </c>
    </row>
    <row r="52" spans="1:11">
      <c r="A52" s="1">
        <v>45960</v>
      </c>
      <c r="B52" t="s">
        <v>21</v>
      </c>
      <c r="C52" t="s">
        <v>28</v>
      </c>
      <c r="D52">
        <v>1</v>
      </c>
      <c r="E52">
        <v>0</v>
      </c>
      <c r="F52">
        <v>0</v>
      </c>
      <c r="G52">
        <v>0</v>
      </c>
      <c r="H52">
        <v>1</v>
      </c>
      <c r="I52" s="1">
        <v>45931</v>
      </c>
      <c r="J52">
        <v>0</v>
      </c>
      <c r="K52" t="s">
        <v>26</v>
      </c>
    </row>
    <row r="53" spans="1:11">
      <c r="A53" s="1">
        <v>45960</v>
      </c>
      <c r="B53" t="s">
        <v>21</v>
      </c>
      <c r="C53" t="s">
        <v>34</v>
      </c>
      <c r="D53">
        <v>1</v>
      </c>
      <c r="E53">
        <v>0</v>
      </c>
      <c r="F53">
        <v>0</v>
      </c>
      <c r="G53">
        <v>0</v>
      </c>
      <c r="H53">
        <v>1</v>
      </c>
      <c r="I53" s="1">
        <v>45931</v>
      </c>
      <c r="J53">
        <v>0</v>
      </c>
      <c r="K53" t="s">
        <v>26</v>
      </c>
    </row>
    <row r="54" spans="1:11">
      <c r="A54" s="1">
        <v>45960</v>
      </c>
      <c r="B54" t="s">
        <v>21</v>
      </c>
      <c r="C54" t="s">
        <v>36</v>
      </c>
      <c r="D54">
        <v>1</v>
      </c>
      <c r="E54">
        <v>0</v>
      </c>
      <c r="F54">
        <v>0</v>
      </c>
      <c r="G54">
        <v>0</v>
      </c>
      <c r="H54">
        <v>1</v>
      </c>
      <c r="I54" s="1">
        <v>45931</v>
      </c>
      <c r="J54">
        <v>0</v>
      </c>
      <c r="K54" t="s">
        <v>26</v>
      </c>
    </row>
    <row r="55" spans="1:11">
      <c r="A55" s="1">
        <v>45988</v>
      </c>
      <c r="B55" t="s">
        <v>21</v>
      </c>
      <c r="C55" t="s">
        <v>33</v>
      </c>
      <c r="D55">
        <v>1</v>
      </c>
      <c r="E55">
        <v>0</v>
      </c>
      <c r="F55">
        <v>0</v>
      </c>
      <c r="G55">
        <v>0</v>
      </c>
      <c r="H55">
        <v>1</v>
      </c>
      <c r="I55" s="1">
        <v>45962</v>
      </c>
      <c r="J55">
        <v>0</v>
      </c>
      <c r="K55" t="s">
        <v>26</v>
      </c>
    </row>
    <row r="56" spans="1:11">
      <c r="A56" s="1">
        <v>45988</v>
      </c>
      <c r="B56" t="s">
        <v>21</v>
      </c>
      <c r="C56" t="s">
        <v>28</v>
      </c>
      <c r="D56">
        <v>1</v>
      </c>
      <c r="E56">
        <v>0</v>
      </c>
      <c r="F56">
        <v>0</v>
      </c>
      <c r="G56">
        <v>0</v>
      </c>
      <c r="H56">
        <v>1</v>
      </c>
      <c r="I56" s="1">
        <v>45962</v>
      </c>
      <c r="J56">
        <v>0</v>
      </c>
      <c r="K56" t="s">
        <v>26</v>
      </c>
    </row>
    <row r="57" spans="1:11">
      <c r="A57" s="1">
        <v>45988</v>
      </c>
      <c r="B57" t="s">
        <v>21</v>
      </c>
      <c r="C57" t="s">
        <v>36</v>
      </c>
      <c r="D57">
        <v>1</v>
      </c>
      <c r="E57">
        <v>0</v>
      </c>
      <c r="F57">
        <v>0</v>
      </c>
      <c r="G57">
        <v>0</v>
      </c>
      <c r="H57">
        <v>1</v>
      </c>
      <c r="I57" s="1">
        <v>45962</v>
      </c>
      <c r="J57">
        <v>0</v>
      </c>
      <c r="K57" t="s">
        <v>26</v>
      </c>
    </row>
    <row r="58" spans="1:11">
      <c r="A58" s="1">
        <v>46009</v>
      </c>
      <c r="B58" t="s">
        <v>21</v>
      </c>
      <c r="C58" t="s">
        <v>33</v>
      </c>
      <c r="D58">
        <v>1</v>
      </c>
      <c r="E58">
        <v>0</v>
      </c>
      <c r="F58">
        <v>0</v>
      </c>
      <c r="G58">
        <v>0</v>
      </c>
      <c r="H58">
        <v>1</v>
      </c>
      <c r="I58" s="1">
        <v>45992</v>
      </c>
      <c r="J58">
        <v>0</v>
      </c>
      <c r="K58" t="s">
        <v>26</v>
      </c>
    </row>
    <row r="59" spans="1:11">
      <c r="A59" s="1">
        <v>46009</v>
      </c>
      <c r="B59" t="s">
        <v>21</v>
      </c>
      <c r="C59" t="s">
        <v>30</v>
      </c>
      <c r="D59">
        <v>1</v>
      </c>
      <c r="E59">
        <v>0</v>
      </c>
      <c r="F59">
        <v>0</v>
      </c>
      <c r="G59">
        <v>0</v>
      </c>
      <c r="H59">
        <v>1</v>
      </c>
      <c r="I59" s="1">
        <v>45992</v>
      </c>
      <c r="J59">
        <v>0</v>
      </c>
      <c r="K59" t="s">
        <v>26</v>
      </c>
    </row>
    <row r="60" spans="1:11">
      <c r="A60" s="1">
        <v>46009</v>
      </c>
      <c r="B60" t="s">
        <v>21</v>
      </c>
      <c r="C60" t="s">
        <v>28</v>
      </c>
      <c r="D60">
        <v>1</v>
      </c>
      <c r="E60">
        <v>0</v>
      </c>
      <c r="F60">
        <v>0</v>
      </c>
      <c r="G60">
        <v>0</v>
      </c>
      <c r="H60">
        <v>1</v>
      </c>
      <c r="I60" s="1">
        <v>45992</v>
      </c>
      <c r="J60">
        <v>0</v>
      </c>
      <c r="K60" t="s">
        <v>26</v>
      </c>
    </row>
    <row r="61" spans="1:11">
      <c r="A61" s="1">
        <v>46009</v>
      </c>
      <c r="B61" t="s">
        <v>21</v>
      </c>
      <c r="C61" t="s">
        <v>36</v>
      </c>
      <c r="D61">
        <v>1</v>
      </c>
      <c r="E61">
        <v>0</v>
      </c>
      <c r="F61">
        <v>0</v>
      </c>
      <c r="G61">
        <v>0</v>
      </c>
      <c r="H61">
        <v>1</v>
      </c>
      <c r="I61" s="1">
        <v>45992</v>
      </c>
      <c r="J61">
        <v>0</v>
      </c>
      <c r="K61" t="s">
        <v>26</v>
      </c>
    </row>
    <row r="62" spans="1:11">
      <c r="A62" s="1">
        <v>46051</v>
      </c>
      <c r="B62" t="s">
        <v>21</v>
      </c>
      <c r="C62" t="s">
        <v>30</v>
      </c>
      <c r="D62">
        <v>1</v>
      </c>
      <c r="E62">
        <v>0</v>
      </c>
      <c r="F62">
        <v>0</v>
      </c>
      <c r="G62">
        <v>0</v>
      </c>
      <c r="H62">
        <v>1</v>
      </c>
      <c r="I62" s="1">
        <v>46023</v>
      </c>
      <c r="J62">
        <v>0</v>
      </c>
      <c r="K62" t="s">
        <v>26</v>
      </c>
    </row>
    <row r="63" spans="1:11">
      <c r="A63" s="1">
        <v>46051</v>
      </c>
      <c r="B63" t="s">
        <v>21</v>
      </c>
      <c r="C63" t="s">
        <v>37</v>
      </c>
      <c r="D63">
        <v>1</v>
      </c>
      <c r="E63">
        <v>0</v>
      </c>
      <c r="F63">
        <v>0</v>
      </c>
      <c r="G63">
        <v>0</v>
      </c>
      <c r="H63">
        <v>1</v>
      </c>
      <c r="I63" s="1">
        <v>46023</v>
      </c>
      <c r="J63">
        <v>0</v>
      </c>
      <c r="K63" t="s">
        <v>26</v>
      </c>
    </row>
    <row r="64" spans="1:11">
      <c r="A64" s="1">
        <v>46079</v>
      </c>
      <c r="B64" t="s">
        <v>21</v>
      </c>
      <c r="C64" t="s">
        <v>38</v>
      </c>
      <c r="D64">
        <v>1</v>
      </c>
      <c r="E64">
        <v>0</v>
      </c>
      <c r="F64">
        <v>0</v>
      </c>
      <c r="G64">
        <v>0</v>
      </c>
      <c r="H64">
        <v>1</v>
      </c>
      <c r="I64" s="1">
        <v>46054</v>
      </c>
      <c r="J64">
        <v>0</v>
      </c>
      <c r="K64" t="s">
        <v>26</v>
      </c>
    </row>
    <row r="65" spans="1:11">
      <c r="A65" s="1">
        <v>46107</v>
      </c>
      <c r="B65" t="s">
        <v>21</v>
      </c>
      <c r="C65" t="s">
        <v>30</v>
      </c>
      <c r="D65">
        <v>1</v>
      </c>
      <c r="E65">
        <v>0</v>
      </c>
      <c r="F65">
        <v>0</v>
      </c>
      <c r="G65">
        <v>0</v>
      </c>
      <c r="H65">
        <v>1</v>
      </c>
      <c r="I65" s="1">
        <v>46082</v>
      </c>
      <c r="J65">
        <v>0</v>
      </c>
      <c r="K65" t="s">
        <v>26</v>
      </c>
    </row>
    <row r="66" spans="1:11">
      <c r="A66" s="1">
        <v>46107</v>
      </c>
      <c r="B66" t="s">
        <v>21</v>
      </c>
      <c r="C66" t="s">
        <v>38</v>
      </c>
      <c r="D66">
        <v>1</v>
      </c>
      <c r="E66">
        <v>0</v>
      </c>
      <c r="F66">
        <v>0</v>
      </c>
      <c r="G66">
        <v>0</v>
      </c>
      <c r="H66">
        <v>1</v>
      </c>
      <c r="I66" s="1">
        <v>46082</v>
      </c>
      <c r="J66">
        <v>0</v>
      </c>
      <c r="K66" t="s">
        <v>26</v>
      </c>
    </row>
    <row r="67" spans="1:11">
      <c r="A67" s="1">
        <v>46142</v>
      </c>
      <c r="B67" t="s">
        <v>21</v>
      </c>
      <c r="C67" t="s">
        <v>38</v>
      </c>
      <c r="D67">
        <v>1</v>
      </c>
      <c r="E67">
        <v>0</v>
      </c>
      <c r="F67">
        <v>0</v>
      </c>
      <c r="G67">
        <v>0</v>
      </c>
      <c r="H67">
        <v>1</v>
      </c>
      <c r="I67" s="1">
        <v>46113</v>
      </c>
      <c r="J67">
        <v>0</v>
      </c>
      <c r="K67" t="s">
        <v>26</v>
      </c>
    </row>
    <row r="68" spans="1:11">
      <c r="A68" s="1">
        <v>46170</v>
      </c>
      <c r="B68" t="s">
        <v>21</v>
      </c>
      <c r="C68" t="s">
        <v>36</v>
      </c>
      <c r="D68">
        <v>1</v>
      </c>
      <c r="E68">
        <v>0</v>
      </c>
      <c r="F68">
        <v>0</v>
      </c>
      <c r="G68">
        <v>0</v>
      </c>
      <c r="H68">
        <v>1</v>
      </c>
      <c r="I68" s="1">
        <v>46143</v>
      </c>
      <c r="J68">
        <v>0</v>
      </c>
      <c r="K68" t="s">
        <v>26</v>
      </c>
    </row>
    <row r="69" spans="1:11">
      <c r="A69" s="1">
        <v>46198</v>
      </c>
      <c r="B69" t="s">
        <v>21</v>
      </c>
      <c r="C69" t="s">
        <v>37</v>
      </c>
      <c r="D69">
        <v>1</v>
      </c>
      <c r="E69">
        <v>0</v>
      </c>
      <c r="F69">
        <v>0</v>
      </c>
      <c r="G69">
        <v>0</v>
      </c>
      <c r="H69">
        <v>1</v>
      </c>
      <c r="I69" s="1">
        <v>46174</v>
      </c>
      <c r="J69">
        <v>0</v>
      </c>
      <c r="K69" t="s">
        <v>26</v>
      </c>
    </row>
    <row r="70" spans="1:11">
      <c r="A70" s="1">
        <v>46198</v>
      </c>
      <c r="B70" t="s">
        <v>21</v>
      </c>
      <c r="C70" t="s">
        <v>36</v>
      </c>
      <c r="D70">
        <v>1</v>
      </c>
      <c r="E70">
        <v>0</v>
      </c>
      <c r="F70">
        <v>0</v>
      </c>
      <c r="G70">
        <v>0</v>
      </c>
      <c r="H70">
        <v>1</v>
      </c>
      <c r="I70" s="1">
        <v>46174</v>
      </c>
      <c r="J70">
        <v>0</v>
      </c>
      <c r="K70" t="s">
        <v>26</v>
      </c>
    </row>
    <row r="71" spans="1:11">
      <c r="A71" s="1">
        <v>46233</v>
      </c>
      <c r="B71" t="s">
        <v>21</v>
      </c>
      <c r="C71" t="s">
        <v>36</v>
      </c>
      <c r="D71">
        <v>1</v>
      </c>
      <c r="E71">
        <v>0</v>
      </c>
      <c r="F71">
        <v>0</v>
      </c>
      <c r="G71">
        <v>0</v>
      </c>
      <c r="H71">
        <v>1</v>
      </c>
      <c r="I71" s="1">
        <v>46204</v>
      </c>
      <c r="J71">
        <v>0</v>
      </c>
      <c r="K71" t="s">
        <v>26</v>
      </c>
    </row>
    <row r="72" spans="1:11">
      <c r="A72" s="1">
        <v>46261</v>
      </c>
      <c r="B72" t="s">
        <v>21</v>
      </c>
      <c r="C72" t="s">
        <v>27</v>
      </c>
      <c r="D72">
        <v>1</v>
      </c>
      <c r="E72">
        <v>0</v>
      </c>
      <c r="F72">
        <v>0</v>
      </c>
      <c r="G72">
        <v>0</v>
      </c>
      <c r="H72">
        <v>1</v>
      </c>
      <c r="I72" s="1">
        <v>46235</v>
      </c>
      <c r="J72">
        <v>0</v>
      </c>
      <c r="K72" t="s">
        <v>26</v>
      </c>
    </row>
    <row r="73" spans="1:11">
      <c r="A73" s="1">
        <v>46261</v>
      </c>
      <c r="B73" t="s">
        <v>21</v>
      </c>
      <c r="C73" t="s">
        <v>37</v>
      </c>
      <c r="D73">
        <v>1</v>
      </c>
      <c r="E73">
        <v>0</v>
      </c>
      <c r="F73">
        <v>0</v>
      </c>
      <c r="G73">
        <v>0</v>
      </c>
      <c r="H73">
        <v>1</v>
      </c>
      <c r="I73" s="1">
        <v>46235</v>
      </c>
      <c r="J73">
        <v>0</v>
      </c>
      <c r="K73" t="s">
        <v>26</v>
      </c>
    </row>
    <row r="74" spans="1:11">
      <c r="A74" s="1">
        <v>45106</v>
      </c>
      <c r="B74" t="s">
        <v>21</v>
      </c>
      <c r="C74" t="s">
        <v>30</v>
      </c>
      <c r="D74">
        <v>47</v>
      </c>
      <c r="E74">
        <v>0</v>
      </c>
      <c r="F74">
        <v>0</v>
      </c>
      <c r="G74">
        <v>0</v>
      </c>
      <c r="H74">
        <v>47</v>
      </c>
      <c r="I74" s="1">
        <v>45078</v>
      </c>
      <c r="J74">
        <v>0</v>
      </c>
      <c r="K74" t="s">
        <v>23</v>
      </c>
    </row>
    <row r="75" spans="1:11">
      <c r="A75" s="1">
        <v>45134</v>
      </c>
      <c r="B75" t="s">
        <v>21</v>
      </c>
      <c r="C75" t="s">
        <v>30</v>
      </c>
      <c r="D75">
        <v>43</v>
      </c>
      <c r="E75">
        <v>0</v>
      </c>
      <c r="F75">
        <v>0</v>
      </c>
      <c r="G75">
        <v>0</v>
      </c>
      <c r="H75">
        <v>43</v>
      </c>
      <c r="I75" s="1">
        <v>45108</v>
      </c>
      <c r="J75">
        <v>0</v>
      </c>
      <c r="K75" t="s">
        <v>23</v>
      </c>
    </row>
    <row r="76" spans="1:11">
      <c r="A76" s="1">
        <v>45169</v>
      </c>
      <c r="B76" t="s">
        <v>21</v>
      </c>
      <c r="C76" t="s">
        <v>30</v>
      </c>
      <c r="D76">
        <v>43</v>
      </c>
      <c r="E76">
        <v>0</v>
      </c>
      <c r="F76">
        <v>0</v>
      </c>
      <c r="G76">
        <v>0</v>
      </c>
      <c r="H76">
        <v>43</v>
      </c>
      <c r="I76" s="1">
        <v>45139</v>
      </c>
      <c r="J76">
        <v>0</v>
      </c>
      <c r="K76" t="s">
        <v>23</v>
      </c>
    </row>
    <row r="77" spans="1:11">
      <c r="A77" s="1">
        <v>45197</v>
      </c>
      <c r="B77" t="s">
        <v>21</v>
      </c>
      <c r="C77" t="s">
        <v>30</v>
      </c>
      <c r="D77">
        <v>46</v>
      </c>
      <c r="E77">
        <v>0</v>
      </c>
      <c r="F77">
        <v>0</v>
      </c>
      <c r="G77">
        <v>0</v>
      </c>
      <c r="H77">
        <v>46</v>
      </c>
      <c r="I77" s="1">
        <v>45170</v>
      </c>
      <c r="J77">
        <v>0</v>
      </c>
      <c r="K77" t="s">
        <v>23</v>
      </c>
    </row>
    <row r="78" spans="1:11">
      <c r="A78" s="1">
        <v>45316</v>
      </c>
      <c r="B78" t="s">
        <v>21</v>
      </c>
      <c r="C78" t="s">
        <v>39</v>
      </c>
      <c r="D78">
        <v>2</v>
      </c>
      <c r="E78">
        <v>0</v>
      </c>
      <c r="F78">
        <v>0</v>
      </c>
      <c r="G78">
        <v>0</v>
      </c>
      <c r="H78">
        <v>2</v>
      </c>
      <c r="I78" s="1">
        <v>45292</v>
      </c>
      <c r="J78">
        <v>0</v>
      </c>
      <c r="K78" t="s">
        <v>23</v>
      </c>
    </row>
    <row r="79" spans="1:11">
      <c r="A79" s="1">
        <v>45351</v>
      </c>
      <c r="B79" t="s">
        <v>21</v>
      </c>
      <c r="C79" t="s">
        <v>30</v>
      </c>
      <c r="D79">
        <v>46</v>
      </c>
      <c r="E79">
        <v>0</v>
      </c>
      <c r="F79">
        <v>0</v>
      </c>
      <c r="G79">
        <v>0</v>
      </c>
      <c r="H79">
        <v>46</v>
      </c>
      <c r="I79" s="1">
        <v>45323</v>
      </c>
      <c r="J79">
        <v>0</v>
      </c>
      <c r="K79" t="s">
        <v>23</v>
      </c>
    </row>
    <row r="80" spans="1:11">
      <c r="A80" s="1">
        <v>45351</v>
      </c>
      <c r="B80" t="s">
        <v>21</v>
      </c>
      <c r="C80" t="s">
        <v>39</v>
      </c>
      <c r="D80">
        <v>3</v>
      </c>
      <c r="E80">
        <v>0</v>
      </c>
      <c r="F80">
        <v>0</v>
      </c>
      <c r="G80">
        <v>0</v>
      </c>
      <c r="H80">
        <v>3</v>
      </c>
      <c r="I80" s="1">
        <v>45323</v>
      </c>
      <c r="J80">
        <v>0</v>
      </c>
      <c r="K80" t="s">
        <v>23</v>
      </c>
    </row>
    <row r="81" spans="1:11">
      <c r="A81" s="1">
        <v>45351</v>
      </c>
      <c r="B81" t="s">
        <v>21</v>
      </c>
      <c r="C81" t="s">
        <v>34</v>
      </c>
      <c r="D81">
        <v>23</v>
      </c>
      <c r="E81">
        <v>0</v>
      </c>
      <c r="F81">
        <v>0</v>
      </c>
      <c r="G81">
        <v>0</v>
      </c>
      <c r="H81">
        <v>23</v>
      </c>
      <c r="I81" s="1">
        <v>45323</v>
      </c>
      <c r="J81">
        <v>0</v>
      </c>
      <c r="K81" t="s">
        <v>23</v>
      </c>
    </row>
    <row r="82" spans="1:11">
      <c r="A82" s="1">
        <v>45351</v>
      </c>
      <c r="B82" t="s">
        <v>21</v>
      </c>
      <c r="C82" t="s">
        <v>24</v>
      </c>
      <c r="D82">
        <v>4</v>
      </c>
      <c r="E82">
        <v>0</v>
      </c>
      <c r="F82">
        <v>0</v>
      </c>
      <c r="G82">
        <v>0</v>
      </c>
      <c r="H82">
        <v>4</v>
      </c>
      <c r="I82" s="1">
        <v>45323</v>
      </c>
      <c r="J82">
        <v>0</v>
      </c>
      <c r="K82" t="s">
        <v>23</v>
      </c>
    </row>
    <row r="83" spans="1:11">
      <c r="A83" s="1">
        <v>45379</v>
      </c>
      <c r="B83" t="s">
        <v>21</v>
      </c>
      <c r="C83" t="s">
        <v>30</v>
      </c>
      <c r="D83">
        <v>38</v>
      </c>
      <c r="E83">
        <v>0</v>
      </c>
      <c r="F83">
        <v>0</v>
      </c>
      <c r="G83">
        <v>0</v>
      </c>
      <c r="H83">
        <v>38</v>
      </c>
      <c r="I83" s="1">
        <v>45352</v>
      </c>
      <c r="J83">
        <v>0</v>
      </c>
      <c r="K83" t="s">
        <v>23</v>
      </c>
    </row>
    <row r="84" spans="1:11">
      <c r="A84" s="1">
        <v>45379</v>
      </c>
      <c r="B84" t="s">
        <v>21</v>
      </c>
      <c r="C84" t="s">
        <v>39</v>
      </c>
      <c r="D84">
        <v>2</v>
      </c>
      <c r="E84">
        <v>0</v>
      </c>
      <c r="F84">
        <v>0</v>
      </c>
      <c r="G84">
        <v>0</v>
      </c>
      <c r="H84">
        <v>2</v>
      </c>
      <c r="I84" s="1">
        <v>45352</v>
      </c>
      <c r="J84">
        <v>0</v>
      </c>
      <c r="K84" t="s">
        <v>23</v>
      </c>
    </row>
    <row r="85" spans="1:11">
      <c r="A85" s="1">
        <v>45379</v>
      </c>
      <c r="B85" t="s">
        <v>21</v>
      </c>
      <c r="C85" t="s">
        <v>34</v>
      </c>
      <c r="D85">
        <v>25</v>
      </c>
      <c r="E85">
        <v>0</v>
      </c>
      <c r="F85">
        <v>0</v>
      </c>
      <c r="G85">
        <v>0</v>
      </c>
      <c r="H85">
        <v>25</v>
      </c>
      <c r="I85" s="1">
        <v>45352</v>
      </c>
      <c r="J85">
        <v>0</v>
      </c>
      <c r="K85" t="s">
        <v>23</v>
      </c>
    </row>
    <row r="86" spans="1:11">
      <c r="A86" s="1">
        <v>45379</v>
      </c>
      <c r="B86" t="s">
        <v>21</v>
      </c>
      <c r="C86" t="s">
        <v>24</v>
      </c>
      <c r="D86">
        <v>3</v>
      </c>
      <c r="E86">
        <v>0</v>
      </c>
      <c r="F86">
        <v>0</v>
      </c>
      <c r="G86">
        <v>0</v>
      </c>
      <c r="H86">
        <v>3</v>
      </c>
      <c r="I86" s="1">
        <v>45352</v>
      </c>
      <c r="J86">
        <v>0</v>
      </c>
      <c r="K86" t="s">
        <v>23</v>
      </c>
    </row>
    <row r="87" spans="1:11">
      <c r="A87" s="1">
        <v>45407</v>
      </c>
      <c r="B87" t="s">
        <v>21</v>
      </c>
      <c r="C87" t="s">
        <v>39</v>
      </c>
      <c r="D87">
        <v>2</v>
      </c>
      <c r="E87">
        <v>0</v>
      </c>
      <c r="F87">
        <v>0</v>
      </c>
      <c r="G87">
        <v>0</v>
      </c>
      <c r="H87">
        <v>2</v>
      </c>
      <c r="I87" s="1">
        <v>45383</v>
      </c>
      <c r="J87">
        <v>0</v>
      </c>
      <c r="K87" t="s">
        <v>23</v>
      </c>
    </row>
    <row r="88" spans="1:11">
      <c r="A88" s="1">
        <v>45407</v>
      </c>
      <c r="B88" t="s">
        <v>21</v>
      </c>
      <c r="C88" t="s">
        <v>34</v>
      </c>
      <c r="D88">
        <v>22</v>
      </c>
      <c r="E88">
        <v>0</v>
      </c>
      <c r="F88">
        <v>0</v>
      </c>
      <c r="G88">
        <v>0</v>
      </c>
      <c r="H88">
        <v>22</v>
      </c>
      <c r="I88" s="1">
        <v>45383</v>
      </c>
      <c r="J88">
        <v>0</v>
      </c>
      <c r="K88" t="s">
        <v>23</v>
      </c>
    </row>
    <row r="89" spans="1:11">
      <c r="A89" s="1">
        <v>45407</v>
      </c>
      <c r="B89" t="s">
        <v>21</v>
      </c>
      <c r="C89" t="s">
        <v>24</v>
      </c>
      <c r="D89">
        <v>4</v>
      </c>
      <c r="E89">
        <v>0</v>
      </c>
      <c r="F89">
        <v>0</v>
      </c>
      <c r="G89">
        <v>0</v>
      </c>
      <c r="H89">
        <v>4</v>
      </c>
      <c r="I89" s="1">
        <v>45383</v>
      </c>
      <c r="J89">
        <v>0</v>
      </c>
      <c r="K89" t="s">
        <v>23</v>
      </c>
    </row>
    <row r="90" spans="1:11">
      <c r="A90" s="1">
        <v>45442</v>
      </c>
      <c r="B90" t="s">
        <v>21</v>
      </c>
      <c r="C90" t="s">
        <v>30</v>
      </c>
      <c r="D90">
        <v>54</v>
      </c>
      <c r="E90">
        <v>0</v>
      </c>
      <c r="F90">
        <v>0</v>
      </c>
      <c r="G90">
        <v>0</v>
      </c>
      <c r="H90">
        <v>54</v>
      </c>
      <c r="I90" s="1">
        <v>45413</v>
      </c>
      <c r="J90">
        <v>0</v>
      </c>
      <c r="K90" t="s">
        <v>23</v>
      </c>
    </row>
    <row r="91" spans="1:11">
      <c r="A91" s="1">
        <v>45442</v>
      </c>
      <c r="B91" t="s">
        <v>21</v>
      </c>
      <c r="C91" t="s">
        <v>39</v>
      </c>
      <c r="D91">
        <v>5</v>
      </c>
      <c r="E91">
        <v>0</v>
      </c>
      <c r="F91">
        <v>0</v>
      </c>
      <c r="G91">
        <v>0</v>
      </c>
      <c r="H91">
        <v>5</v>
      </c>
      <c r="I91" s="1">
        <v>45413</v>
      </c>
      <c r="J91">
        <v>0</v>
      </c>
      <c r="K91" t="s">
        <v>23</v>
      </c>
    </row>
    <row r="92" spans="1:11">
      <c r="A92" s="1">
        <v>45442</v>
      </c>
      <c r="B92" t="s">
        <v>21</v>
      </c>
      <c r="C92" t="s">
        <v>34</v>
      </c>
      <c r="D92">
        <v>11</v>
      </c>
      <c r="E92">
        <v>0</v>
      </c>
      <c r="F92">
        <v>0</v>
      </c>
      <c r="G92">
        <v>0</v>
      </c>
      <c r="H92">
        <v>11</v>
      </c>
      <c r="I92" s="1">
        <v>45413</v>
      </c>
      <c r="J92">
        <v>0</v>
      </c>
      <c r="K92" t="s">
        <v>23</v>
      </c>
    </row>
    <row r="93" spans="1:11">
      <c r="A93" s="1">
        <v>45442</v>
      </c>
      <c r="B93" t="s">
        <v>21</v>
      </c>
      <c r="C93" t="s">
        <v>24</v>
      </c>
      <c r="D93">
        <v>5</v>
      </c>
      <c r="E93">
        <v>0</v>
      </c>
      <c r="F93">
        <v>0</v>
      </c>
      <c r="G93">
        <v>0</v>
      </c>
      <c r="H93">
        <v>5</v>
      </c>
      <c r="I93" s="1">
        <v>45413</v>
      </c>
      <c r="J93">
        <v>0</v>
      </c>
      <c r="K93" t="s">
        <v>23</v>
      </c>
    </row>
    <row r="94" spans="1:11">
      <c r="A94" s="1">
        <v>45470</v>
      </c>
      <c r="B94" t="s">
        <v>21</v>
      </c>
      <c r="C94" t="s">
        <v>30</v>
      </c>
      <c r="D94">
        <v>57</v>
      </c>
      <c r="E94">
        <v>0</v>
      </c>
      <c r="F94">
        <v>0</v>
      </c>
      <c r="G94">
        <v>0</v>
      </c>
      <c r="H94">
        <v>57</v>
      </c>
      <c r="I94" s="1">
        <v>45444</v>
      </c>
      <c r="J94">
        <v>0</v>
      </c>
      <c r="K94" t="s">
        <v>23</v>
      </c>
    </row>
    <row r="95" spans="1:11">
      <c r="A95" s="1">
        <v>45470</v>
      </c>
      <c r="B95" t="s">
        <v>21</v>
      </c>
      <c r="C95" t="s">
        <v>34</v>
      </c>
      <c r="D95">
        <v>10</v>
      </c>
      <c r="E95">
        <v>0</v>
      </c>
      <c r="F95">
        <v>0</v>
      </c>
      <c r="G95">
        <v>0</v>
      </c>
      <c r="H95">
        <v>10</v>
      </c>
      <c r="I95" s="1">
        <v>45444</v>
      </c>
      <c r="J95">
        <v>0</v>
      </c>
      <c r="K95" t="s">
        <v>23</v>
      </c>
    </row>
    <row r="96" spans="1:11">
      <c r="A96" s="1">
        <v>45498</v>
      </c>
      <c r="B96" t="s">
        <v>21</v>
      </c>
      <c r="C96" t="s">
        <v>30</v>
      </c>
      <c r="D96">
        <v>60</v>
      </c>
      <c r="E96">
        <v>0</v>
      </c>
      <c r="F96">
        <v>0</v>
      </c>
      <c r="G96">
        <v>0</v>
      </c>
      <c r="H96">
        <v>60</v>
      </c>
      <c r="I96" s="1">
        <v>45474</v>
      </c>
      <c r="J96">
        <v>0</v>
      </c>
      <c r="K96" t="s">
        <v>23</v>
      </c>
    </row>
    <row r="97" spans="1:11">
      <c r="A97" s="1">
        <v>45498</v>
      </c>
      <c r="B97" t="s">
        <v>21</v>
      </c>
      <c r="C97" t="s">
        <v>22</v>
      </c>
      <c r="D97">
        <v>2</v>
      </c>
      <c r="E97">
        <v>0</v>
      </c>
      <c r="F97">
        <v>0</v>
      </c>
      <c r="G97">
        <v>0</v>
      </c>
      <c r="H97">
        <v>2</v>
      </c>
      <c r="I97" s="1">
        <v>45474</v>
      </c>
      <c r="J97">
        <v>0</v>
      </c>
      <c r="K97" t="s">
        <v>23</v>
      </c>
    </row>
    <row r="98" spans="1:11">
      <c r="A98" s="1">
        <v>45533</v>
      </c>
      <c r="B98" t="s">
        <v>21</v>
      </c>
      <c r="C98" t="s">
        <v>30</v>
      </c>
      <c r="D98">
        <v>50</v>
      </c>
      <c r="E98">
        <v>0</v>
      </c>
      <c r="F98">
        <v>0</v>
      </c>
      <c r="G98">
        <v>0</v>
      </c>
      <c r="H98">
        <v>50</v>
      </c>
      <c r="I98" s="1">
        <v>45505</v>
      </c>
      <c r="J98">
        <v>0</v>
      </c>
      <c r="K98" t="s">
        <v>23</v>
      </c>
    </row>
    <row r="99" spans="1:11">
      <c r="A99" s="1">
        <v>45533</v>
      </c>
      <c r="B99" t="s">
        <v>21</v>
      </c>
      <c r="C99" t="s">
        <v>22</v>
      </c>
      <c r="D99">
        <v>2</v>
      </c>
      <c r="E99">
        <v>0</v>
      </c>
      <c r="F99">
        <v>0</v>
      </c>
      <c r="G99">
        <v>0</v>
      </c>
      <c r="H99">
        <v>2</v>
      </c>
      <c r="I99" s="1">
        <v>45505</v>
      </c>
      <c r="J99">
        <v>0</v>
      </c>
      <c r="K99" t="s">
        <v>23</v>
      </c>
    </row>
    <row r="100" spans="1:11">
      <c r="A100" s="1">
        <v>45561</v>
      </c>
      <c r="B100" t="s">
        <v>21</v>
      </c>
      <c r="C100" t="s">
        <v>30</v>
      </c>
      <c r="D100">
        <v>62</v>
      </c>
      <c r="E100">
        <v>0</v>
      </c>
      <c r="F100">
        <v>0</v>
      </c>
      <c r="G100">
        <v>0</v>
      </c>
      <c r="H100">
        <v>62</v>
      </c>
      <c r="I100" s="1">
        <v>45536</v>
      </c>
      <c r="J100">
        <v>0</v>
      </c>
      <c r="K100" t="s">
        <v>23</v>
      </c>
    </row>
    <row r="101" spans="1:11">
      <c r="A101" s="1">
        <v>45561</v>
      </c>
      <c r="B101" t="s">
        <v>21</v>
      </c>
      <c r="C101" t="s">
        <v>22</v>
      </c>
      <c r="D101">
        <v>3</v>
      </c>
      <c r="E101">
        <v>0</v>
      </c>
      <c r="F101">
        <v>0</v>
      </c>
      <c r="G101">
        <v>0</v>
      </c>
      <c r="H101">
        <v>3</v>
      </c>
      <c r="I101" s="1">
        <v>45536</v>
      </c>
      <c r="J101">
        <v>0</v>
      </c>
      <c r="K101" t="s">
        <v>23</v>
      </c>
    </row>
    <row r="102" spans="1:11">
      <c r="A102" s="1">
        <v>45561</v>
      </c>
      <c r="B102" t="s">
        <v>21</v>
      </c>
      <c r="C102" t="s">
        <v>34</v>
      </c>
      <c r="D102">
        <v>21</v>
      </c>
      <c r="E102">
        <v>0</v>
      </c>
      <c r="F102">
        <v>0</v>
      </c>
      <c r="G102">
        <v>0</v>
      </c>
      <c r="H102">
        <v>21</v>
      </c>
      <c r="I102" s="1">
        <v>45536</v>
      </c>
      <c r="J102">
        <v>0</v>
      </c>
      <c r="K102" t="s">
        <v>23</v>
      </c>
    </row>
    <row r="103" spans="1:11">
      <c r="A103" s="1">
        <v>45596</v>
      </c>
      <c r="B103" t="s">
        <v>21</v>
      </c>
      <c r="C103" t="s">
        <v>30</v>
      </c>
      <c r="D103">
        <v>70</v>
      </c>
      <c r="E103">
        <v>0</v>
      </c>
      <c r="F103">
        <v>0</v>
      </c>
      <c r="G103">
        <v>0</v>
      </c>
      <c r="H103">
        <v>70</v>
      </c>
      <c r="I103" s="1">
        <v>45566</v>
      </c>
      <c r="J103">
        <v>0</v>
      </c>
      <c r="K103" t="s">
        <v>23</v>
      </c>
    </row>
    <row r="104" spans="1:11">
      <c r="A104" s="1">
        <v>45596</v>
      </c>
      <c r="B104" t="s">
        <v>21</v>
      </c>
      <c r="C104" t="s">
        <v>39</v>
      </c>
      <c r="D104">
        <v>3</v>
      </c>
      <c r="E104">
        <v>0</v>
      </c>
      <c r="F104">
        <v>0</v>
      </c>
      <c r="G104">
        <v>0</v>
      </c>
      <c r="H104">
        <v>3</v>
      </c>
      <c r="I104" s="1">
        <v>45566</v>
      </c>
      <c r="J104">
        <v>0</v>
      </c>
      <c r="K104" t="s">
        <v>23</v>
      </c>
    </row>
    <row r="105" spans="1:11">
      <c r="A105" s="1">
        <v>45596</v>
      </c>
      <c r="B105" t="s">
        <v>21</v>
      </c>
      <c r="C105" t="s">
        <v>34</v>
      </c>
      <c r="D105">
        <v>21</v>
      </c>
      <c r="E105">
        <v>0</v>
      </c>
      <c r="F105">
        <v>0</v>
      </c>
      <c r="G105">
        <v>0</v>
      </c>
      <c r="H105">
        <v>21</v>
      </c>
      <c r="I105" s="1">
        <v>45566</v>
      </c>
      <c r="J105">
        <v>0</v>
      </c>
      <c r="K105" t="s">
        <v>23</v>
      </c>
    </row>
    <row r="106" spans="1:11">
      <c r="A106" s="1">
        <v>45624</v>
      </c>
      <c r="B106" t="s">
        <v>21</v>
      </c>
      <c r="C106" t="s">
        <v>30</v>
      </c>
      <c r="D106">
        <v>69</v>
      </c>
      <c r="E106">
        <v>0</v>
      </c>
      <c r="F106">
        <v>0</v>
      </c>
      <c r="G106">
        <v>0</v>
      </c>
      <c r="H106">
        <v>69</v>
      </c>
      <c r="I106" s="1">
        <v>45597</v>
      </c>
      <c r="J106">
        <v>0</v>
      </c>
      <c r="K106" t="s">
        <v>23</v>
      </c>
    </row>
    <row r="107" spans="1:11">
      <c r="A107" s="1">
        <v>45624</v>
      </c>
      <c r="B107" t="s">
        <v>21</v>
      </c>
      <c r="C107" t="s">
        <v>39</v>
      </c>
      <c r="D107">
        <v>3</v>
      </c>
      <c r="E107">
        <v>0</v>
      </c>
      <c r="F107">
        <v>0</v>
      </c>
      <c r="G107">
        <v>0</v>
      </c>
      <c r="H107">
        <v>3</v>
      </c>
      <c r="I107" s="1">
        <v>45597</v>
      </c>
      <c r="J107">
        <v>0</v>
      </c>
      <c r="K107" t="s">
        <v>23</v>
      </c>
    </row>
    <row r="108" spans="1:11">
      <c r="A108" s="1">
        <v>45624</v>
      </c>
      <c r="B108" t="s">
        <v>21</v>
      </c>
      <c r="C108" t="s">
        <v>22</v>
      </c>
      <c r="D108">
        <v>4</v>
      </c>
      <c r="E108">
        <v>0</v>
      </c>
      <c r="F108">
        <v>0</v>
      </c>
      <c r="G108">
        <v>0</v>
      </c>
      <c r="H108">
        <v>4</v>
      </c>
      <c r="I108" s="1">
        <v>45597</v>
      </c>
      <c r="J108">
        <v>0</v>
      </c>
      <c r="K108" t="s">
        <v>23</v>
      </c>
    </row>
    <row r="109" spans="1:11">
      <c r="A109" s="1">
        <v>45624</v>
      </c>
      <c r="B109" t="s">
        <v>21</v>
      </c>
      <c r="C109" t="s">
        <v>34</v>
      </c>
      <c r="D109">
        <v>15</v>
      </c>
      <c r="E109">
        <v>0</v>
      </c>
      <c r="F109">
        <v>0</v>
      </c>
      <c r="G109">
        <v>0</v>
      </c>
      <c r="H109">
        <v>15</v>
      </c>
      <c r="I109" s="1">
        <v>45597</v>
      </c>
      <c r="J109">
        <v>0</v>
      </c>
      <c r="K109" t="s">
        <v>23</v>
      </c>
    </row>
    <row r="110" spans="1:11">
      <c r="A110" s="1">
        <v>45645</v>
      </c>
      <c r="B110" t="s">
        <v>21</v>
      </c>
      <c r="C110" t="s">
        <v>30</v>
      </c>
      <c r="D110">
        <v>56</v>
      </c>
      <c r="E110">
        <v>0</v>
      </c>
      <c r="F110">
        <v>0</v>
      </c>
      <c r="G110">
        <v>0</v>
      </c>
      <c r="H110">
        <v>56</v>
      </c>
      <c r="I110" s="1">
        <v>45627</v>
      </c>
      <c r="J110">
        <v>0</v>
      </c>
      <c r="K110" t="s">
        <v>23</v>
      </c>
    </row>
    <row r="111" spans="1:11">
      <c r="A111" s="1">
        <v>45645</v>
      </c>
      <c r="B111" t="s">
        <v>21</v>
      </c>
      <c r="C111" t="s">
        <v>39</v>
      </c>
      <c r="D111">
        <v>3</v>
      </c>
      <c r="E111">
        <v>0</v>
      </c>
      <c r="F111">
        <v>0</v>
      </c>
      <c r="G111">
        <v>0</v>
      </c>
      <c r="H111">
        <v>3</v>
      </c>
      <c r="I111" s="1">
        <v>45627</v>
      </c>
      <c r="J111">
        <v>0</v>
      </c>
      <c r="K111" t="s">
        <v>23</v>
      </c>
    </row>
    <row r="112" spans="1:11">
      <c r="A112" s="1">
        <v>45645</v>
      </c>
      <c r="B112" t="s">
        <v>21</v>
      </c>
      <c r="C112" t="s">
        <v>22</v>
      </c>
      <c r="D112">
        <v>4</v>
      </c>
      <c r="E112">
        <v>0</v>
      </c>
      <c r="F112">
        <v>0</v>
      </c>
      <c r="G112">
        <v>0</v>
      </c>
      <c r="H112">
        <v>4</v>
      </c>
      <c r="I112" s="1">
        <v>45627</v>
      </c>
      <c r="J112">
        <v>0</v>
      </c>
      <c r="K112" t="s">
        <v>23</v>
      </c>
    </row>
    <row r="113" spans="1:11">
      <c r="A113" s="1">
        <v>45645</v>
      </c>
      <c r="B113" t="s">
        <v>21</v>
      </c>
      <c r="C113" t="s">
        <v>34</v>
      </c>
      <c r="D113">
        <v>16</v>
      </c>
      <c r="E113">
        <v>0</v>
      </c>
      <c r="F113">
        <v>0</v>
      </c>
      <c r="G113">
        <v>0</v>
      </c>
      <c r="H113">
        <v>16</v>
      </c>
      <c r="I113" s="1">
        <v>45627</v>
      </c>
      <c r="J113">
        <v>0</v>
      </c>
      <c r="K113" t="s">
        <v>23</v>
      </c>
    </row>
    <row r="114" spans="1:11">
      <c r="A114" s="1">
        <v>45687</v>
      </c>
      <c r="B114" t="s">
        <v>21</v>
      </c>
      <c r="C114" t="s">
        <v>30</v>
      </c>
      <c r="D114">
        <v>47</v>
      </c>
      <c r="E114">
        <v>0</v>
      </c>
      <c r="F114">
        <v>0</v>
      </c>
      <c r="G114">
        <v>0</v>
      </c>
      <c r="H114">
        <v>47</v>
      </c>
      <c r="I114" s="1">
        <v>45658</v>
      </c>
      <c r="J114">
        <v>0</v>
      </c>
      <c r="K114" t="s">
        <v>23</v>
      </c>
    </row>
    <row r="115" spans="1:11">
      <c r="A115" s="1">
        <v>45687</v>
      </c>
      <c r="B115" t="s">
        <v>21</v>
      </c>
      <c r="C115" t="s">
        <v>25</v>
      </c>
      <c r="D115">
        <v>2</v>
      </c>
      <c r="E115">
        <v>0</v>
      </c>
      <c r="F115">
        <v>0</v>
      </c>
      <c r="G115">
        <v>0</v>
      </c>
      <c r="H115">
        <v>2</v>
      </c>
      <c r="I115" s="1">
        <v>45658</v>
      </c>
      <c r="J115">
        <v>0</v>
      </c>
      <c r="K115" t="s">
        <v>23</v>
      </c>
    </row>
    <row r="116" spans="1:11">
      <c r="A116" s="1">
        <v>45687</v>
      </c>
      <c r="B116" t="s">
        <v>21</v>
      </c>
      <c r="C116" t="s">
        <v>39</v>
      </c>
      <c r="D116">
        <v>4</v>
      </c>
      <c r="E116">
        <v>0</v>
      </c>
      <c r="F116">
        <v>0</v>
      </c>
      <c r="G116">
        <v>0</v>
      </c>
      <c r="H116">
        <v>4</v>
      </c>
      <c r="I116" s="1">
        <v>45658</v>
      </c>
      <c r="J116">
        <v>0</v>
      </c>
      <c r="K116" t="s">
        <v>23</v>
      </c>
    </row>
    <row r="117" spans="1:11">
      <c r="A117" s="1">
        <v>45687</v>
      </c>
      <c r="B117" t="s">
        <v>21</v>
      </c>
      <c r="C117" t="s">
        <v>22</v>
      </c>
      <c r="D117">
        <v>4</v>
      </c>
      <c r="E117">
        <v>0</v>
      </c>
      <c r="F117">
        <v>0</v>
      </c>
      <c r="G117">
        <v>0</v>
      </c>
      <c r="H117">
        <v>4</v>
      </c>
      <c r="I117" s="1">
        <v>45658</v>
      </c>
      <c r="J117">
        <v>0</v>
      </c>
      <c r="K117" t="s">
        <v>23</v>
      </c>
    </row>
    <row r="118" spans="1:11">
      <c r="A118" s="1">
        <v>45715</v>
      </c>
      <c r="B118" t="s">
        <v>21</v>
      </c>
      <c r="C118" t="s">
        <v>30</v>
      </c>
      <c r="D118">
        <v>45</v>
      </c>
      <c r="E118">
        <v>0</v>
      </c>
      <c r="F118">
        <v>0</v>
      </c>
      <c r="G118">
        <v>0</v>
      </c>
      <c r="H118">
        <v>45</v>
      </c>
      <c r="I118" s="1">
        <v>45689</v>
      </c>
      <c r="J118">
        <v>0</v>
      </c>
      <c r="K118" t="s">
        <v>23</v>
      </c>
    </row>
    <row r="119" spans="1:11">
      <c r="A119" s="1">
        <v>45715</v>
      </c>
      <c r="B119" t="s">
        <v>21</v>
      </c>
      <c r="C119" t="s">
        <v>25</v>
      </c>
      <c r="D119">
        <v>2</v>
      </c>
      <c r="E119">
        <v>0</v>
      </c>
      <c r="F119">
        <v>0</v>
      </c>
      <c r="G119">
        <v>0</v>
      </c>
      <c r="H119">
        <v>2</v>
      </c>
      <c r="I119" s="1">
        <v>45689</v>
      </c>
      <c r="J119">
        <v>0</v>
      </c>
      <c r="K119" t="s">
        <v>23</v>
      </c>
    </row>
    <row r="120" spans="1:11">
      <c r="A120" s="1">
        <v>45715</v>
      </c>
      <c r="B120" t="s">
        <v>21</v>
      </c>
      <c r="C120" t="s">
        <v>39</v>
      </c>
      <c r="D120">
        <v>5</v>
      </c>
      <c r="E120">
        <v>0</v>
      </c>
      <c r="F120">
        <v>0</v>
      </c>
      <c r="G120">
        <v>0</v>
      </c>
      <c r="H120">
        <v>5</v>
      </c>
      <c r="I120" s="1">
        <v>45689</v>
      </c>
      <c r="J120">
        <v>0</v>
      </c>
      <c r="K120" t="s">
        <v>23</v>
      </c>
    </row>
    <row r="121" spans="1:11">
      <c r="A121" s="1">
        <v>45715</v>
      </c>
      <c r="B121" t="s">
        <v>21</v>
      </c>
      <c r="C121" t="s">
        <v>38</v>
      </c>
      <c r="D121">
        <v>33</v>
      </c>
      <c r="E121">
        <v>0</v>
      </c>
      <c r="F121">
        <v>0</v>
      </c>
      <c r="G121">
        <v>0</v>
      </c>
      <c r="H121">
        <v>33</v>
      </c>
      <c r="I121" s="1">
        <v>45689</v>
      </c>
      <c r="J121">
        <v>0</v>
      </c>
      <c r="K121" t="s">
        <v>23</v>
      </c>
    </row>
    <row r="122" spans="1:11">
      <c r="A122" s="1">
        <v>45715</v>
      </c>
      <c r="B122" t="s">
        <v>21</v>
      </c>
      <c r="C122" t="s">
        <v>22</v>
      </c>
      <c r="D122">
        <v>2</v>
      </c>
      <c r="E122">
        <v>0</v>
      </c>
      <c r="F122">
        <v>0</v>
      </c>
      <c r="G122">
        <v>0</v>
      </c>
      <c r="H122">
        <v>2</v>
      </c>
      <c r="I122" s="1">
        <v>45689</v>
      </c>
      <c r="J122">
        <v>0</v>
      </c>
      <c r="K122" t="s">
        <v>23</v>
      </c>
    </row>
    <row r="123" spans="1:11">
      <c r="A123" s="1">
        <v>45715</v>
      </c>
      <c r="B123" t="s">
        <v>21</v>
      </c>
      <c r="C123" t="s">
        <v>34</v>
      </c>
      <c r="D123">
        <v>17</v>
      </c>
      <c r="E123">
        <v>0</v>
      </c>
      <c r="F123">
        <v>0</v>
      </c>
      <c r="G123">
        <v>0</v>
      </c>
      <c r="H123">
        <v>17</v>
      </c>
      <c r="I123" s="1">
        <v>45689</v>
      </c>
      <c r="J123">
        <v>0</v>
      </c>
      <c r="K123" t="s">
        <v>23</v>
      </c>
    </row>
    <row r="124" spans="1:11">
      <c r="A124" s="1">
        <v>45743</v>
      </c>
      <c r="B124" t="s">
        <v>21</v>
      </c>
      <c r="C124" t="s">
        <v>30</v>
      </c>
      <c r="D124">
        <v>36</v>
      </c>
      <c r="E124">
        <v>0</v>
      </c>
      <c r="F124">
        <v>0</v>
      </c>
      <c r="G124">
        <v>0</v>
      </c>
      <c r="H124">
        <v>36</v>
      </c>
      <c r="I124" s="1">
        <v>45717</v>
      </c>
      <c r="J124">
        <v>0</v>
      </c>
      <c r="K124" t="s">
        <v>23</v>
      </c>
    </row>
    <row r="125" spans="1:11">
      <c r="A125" s="1">
        <v>45743</v>
      </c>
      <c r="B125" t="s">
        <v>21</v>
      </c>
      <c r="C125" t="s">
        <v>25</v>
      </c>
      <c r="D125">
        <v>3</v>
      </c>
      <c r="E125">
        <v>0</v>
      </c>
      <c r="F125">
        <v>0</v>
      </c>
      <c r="G125">
        <v>0</v>
      </c>
      <c r="H125">
        <v>3</v>
      </c>
      <c r="I125" s="1">
        <v>45717</v>
      </c>
      <c r="J125">
        <v>0</v>
      </c>
      <c r="K125" t="s">
        <v>23</v>
      </c>
    </row>
    <row r="126" spans="1:11">
      <c r="A126" s="1">
        <v>45743</v>
      </c>
      <c r="B126" t="s">
        <v>21</v>
      </c>
      <c r="C126" t="s">
        <v>39</v>
      </c>
      <c r="D126">
        <v>7</v>
      </c>
      <c r="E126">
        <v>0</v>
      </c>
      <c r="F126">
        <v>0</v>
      </c>
      <c r="G126">
        <v>0</v>
      </c>
      <c r="H126">
        <v>7</v>
      </c>
      <c r="I126" s="1">
        <v>45717</v>
      </c>
      <c r="J126">
        <v>0</v>
      </c>
      <c r="K126" t="s">
        <v>23</v>
      </c>
    </row>
    <row r="127" spans="1:11">
      <c r="A127" s="1">
        <v>45743</v>
      </c>
      <c r="B127" t="s">
        <v>21</v>
      </c>
      <c r="C127" t="s">
        <v>38</v>
      </c>
      <c r="D127">
        <v>25</v>
      </c>
      <c r="E127">
        <v>0</v>
      </c>
      <c r="F127">
        <v>0</v>
      </c>
      <c r="G127">
        <v>0</v>
      </c>
      <c r="H127">
        <v>25</v>
      </c>
      <c r="I127" s="1">
        <v>45717</v>
      </c>
      <c r="J127">
        <v>0</v>
      </c>
      <c r="K127" t="s">
        <v>23</v>
      </c>
    </row>
    <row r="128" spans="1:11">
      <c r="A128" s="1">
        <v>45743</v>
      </c>
      <c r="B128" t="s">
        <v>21</v>
      </c>
      <c r="C128" t="s">
        <v>34</v>
      </c>
      <c r="D128">
        <v>14</v>
      </c>
      <c r="E128">
        <v>0</v>
      </c>
      <c r="F128">
        <v>0</v>
      </c>
      <c r="G128">
        <v>0</v>
      </c>
      <c r="H128">
        <v>14</v>
      </c>
      <c r="I128" s="1">
        <v>45717</v>
      </c>
      <c r="J128">
        <v>0</v>
      </c>
      <c r="K128" t="s">
        <v>23</v>
      </c>
    </row>
    <row r="129" spans="1:11">
      <c r="A129" s="1">
        <v>45771</v>
      </c>
      <c r="B129" t="s">
        <v>21</v>
      </c>
      <c r="C129" t="s">
        <v>33</v>
      </c>
      <c r="D129">
        <v>28</v>
      </c>
      <c r="E129">
        <v>0</v>
      </c>
      <c r="F129">
        <v>0</v>
      </c>
      <c r="G129">
        <v>0</v>
      </c>
      <c r="H129">
        <v>28</v>
      </c>
      <c r="I129" s="1">
        <v>45748</v>
      </c>
      <c r="J129">
        <v>0</v>
      </c>
      <c r="K129" t="s">
        <v>23</v>
      </c>
    </row>
    <row r="130" spans="1:11">
      <c r="A130" s="1">
        <v>45771</v>
      </c>
      <c r="B130" t="s">
        <v>21</v>
      </c>
      <c r="C130" t="s">
        <v>30</v>
      </c>
      <c r="D130">
        <v>28</v>
      </c>
      <c r="E130">
        <v>0</v>
      </c>
      <c r="F130">
        <v>0</v>
      </c>
      <c r="G130">
        <v>0</v>
      </c>
      <c r="H130">
        <v>28</v>
      </c>
      <c r="I130" s="1">
        <v>45748</v>
      </c>
      <c r="J130">
        <v>0</v>
      </c>
      <c r="K130" t="s">
        <v>23</v>
      </c>
    </row>
    <row r="131" spans="1:11">
      <c r="A131" s="1">
        <v>45771</v>
      </c>
      <c r="B131" t="s">
        <v>21</v>
      </c>
      <c r="C131" t="s">
        <v>39</v>
      </c>
      <c r="D131">
        <v>8</v>
      </c>
      <c r="E131">
        <v>0</v>
      </c>
      <c r="F131">
        <v>0</v>
      </c>
      <c r="G131">
        <v>0</v>
      </c>
      <c r="H131">
        <v>8</v>
      </c>
      <c r="I131" s="1">
        <v>45748</v>
      </c>
      <c r="J131">
        <v>0</v>
      </c>
      <c r="K131" t="s">
        <v>23</v>
      </c>
    </row>
    <row r="132" spans="1:11">
      <c r="A132" s="1">
        <v>45771</v>
      </c>
      <c r="B132" t="s">
        <v>21</v>
      </c>
      <c r="C132" t="s">
        <v>38</v>
      </c>
      <c r="D132">
        <v>31</v>
      </c>
      <c r="E132">
        <v>0</v>
      </c>
      <c r="F132">
        <v>0</v>
      </c>
      <c r="G132">
        <v>0</v>
      </c>
      <c r="H132">
        <v>31</v>
      </c>
      <c r="I132" s="1">
        <v>45748</v>
      </c>
      <c r="J132">
        <v>0</v>
      </c>
      <c r="K132" t="s">
        <v>23</v>
      </c>
    </row>
    <row r="133" spans="1:11">
      <c r="A133" s="1">
        <v>45771</v>
      </c>
      <c r="B133" t="s">
        <v>21</v>
      </c>
      <c r="C133" t="s">
        <v>34</v>
      </c>
      <c r="D133">
        <v>13</v>
      </c>
      <c r="E133">
        <v>0</v>
      </c>
      <c r="F133">
        <v>0</v>
      </c>
      <c r="G133">
        <v>0</v>
      </c>
      <c r="H133">
        <v>13</v>
      </c>
      <c r="I133" s="1">
        <v>45748</v>
      </c>
      <c r="J133">
        <v>0</v>
      </c>
      <c r="K133" t="s">
        <v>23</v>
      </c>
    </row>
    <row r="134" spans="1:11">
      <c r="A134" s="1">
        <v>45806</v>
      </c>
      <c r="B134" t="s">
        <v>21</v>
      </c>
      <c r="C134" t="s">
        <v>30</v>
      </c>
      <c r="D134">
        <v>42</v>
      </c>
      <c r="E134">
        <v>0</v>
      </c>
      <c r="F134">
        <v>0</v>
      </c>
      <c r="G134">
        <v>0</v>
      </c>
      <c r="H134">
        <v>42</v>
      </c>
      <c r="I134" s="1">
        <v>45778</v>
      </c>
      <c r="J134">
        <v>0</v>
      </c>
      <c r="K134" t="s">
        <v>23</v>
      </c>
    </row>
    <row r="135" spans="1:11">
      <c r="A135" s="1">
        <v>45806</v>
      </c>
      <c r="B135" t="s">
        <v>21</v>
      </c>
      <c r="C135" t="s">
        <v>25</v>
      </c>
      <c r="D135">
        <v>6</v>
      </c>
      <c r="E135">
        <v>0</v>
      </c>
      <c r="F135">
        <v>0</v>
      </c>
      <c r="G135">
        <v>0</v>
      </c>
      <c r="H135">
        <v>6</v>
      </c>
      <c r="I135" s="1">
        <v>45778</v>
      </c>
      <c r="J135">
        <v>0</v>
      </c>
      <c r="K135" t="s">
        <v>23</v>
      </c>
    </row>
    <row r="136" spans="1:11">
      <c r="A136" s="1">
        <v>45806</v>
      </c>
      <c r="B136" t="s">
        <v>21</v>
      </c>
      <c r="C136" t="s">
        <v>39</v>
      </c>
      <c r="D136">
        <v>12</v>
      </c>
      <c r="E136">
        <v>0</v>
      </c>
      <c r="F136">
        <v>0</v>
      </c>
      <c r="G136">
        <v>0</v>
      </c>
      <c r="H136">
        <v>12</v>
      </c>
      <c r="I136" s="1">
        <v>45778</v>
      </c>
      <c r="J136">
        <v>0</v>
      </c>
      <c r="K136" t="s">
        <v>23</v>
      </c>
    </row>
    <row r="137" spans="1:11">
      <c r="A137" s="1">
        <v>45806</v>
      </c>
      <c r="B137" t="s">
        <v>21</v>
      </c>
      <c r="C137" t="s">
        <v>38</v>
      </c>
      <c r="D137">
        <v>29</v>
      </c>
      <c r="E137">
        <v>0</v>
      </c>
      <c r="F137">
        <v>0</v>
      </c>
      <c r="G137">
        <v>0</v>
      </c>
      <c r="H137">
        <v>29</v>
      </c>
      <c r="I137" s="1">
        <v>45778</v>
      </c>
      <c r="J137">
        <v>0</v>
      </c>
      <c r="K137" t="s">
        <v>23</v>
      </c>
    </row>
    <row r="138" spans="1:11">
      <c r="A138" s="1">
        <v>45806</v>
      </c>
      <c r="B138" t="s">
        <v>21</v>
      </c>
      <c r="C138" t="s">
        <v>34</v>
      </c>
      <c r="D138">
        <v>18</v>
      </c>
      <c r="E138">
        <v>0</v>
      </c>
      <c r="F138">
        <v>0</v>
      </c>
      <c r="G138">
        <v>0</v>
      </c>
      <c r="H138">
        <v>18</v>
      </c>
      <c r="I138" s="1">
        <v>45778</v>
      </c>
      <c r="J138">
        <v>0</v>
      </c>
      <c r="K138" t="s">
        <v>23</v>
      </c>
    </row>
    <row r="139" spans="1:11">
      <c r="A139" s="1">
        <v>45834</v>
      </c>
      <c r="B139" t="s">
        <v>21</v>
      </c>
      <c r="C139" t="s">
        <v>25</v>
      </c>
      <c r="D139">
        <v>7</v>
      </c>
      <c r="E139">
        <v>0</v>
      </c>
      <c r="F139">
        <v>0</v>
      </c>
      <c r="G139">
        <v>0</v>
      </c>
      <c r="H139">
        <v>7</v>
      </c>
      <c r="I139" s="1">
        <v>45809</v>
      </c>
      <c r="J139">
        <v>0</v>
      </c>
      <c r="K139" t="s">
        <v>23</v>
      </c>
    </row>
    <row r="140" spans="1:11">
      <c r="A140" s="1">
        <v>45834</v>
      </c>
      <c r="B140" t="s">
        <v>21</v>
      </c>
      <c r="C140" t="s">
        <v>39</v>
      </c>
      <c r="D140">
        <v>11</v>
      </c>
      <c r="E140">
        <v>0</v>
      </c>
      <c r="F140">
        <v>0</v>
      </c>
      <c r="G140">
        <v>0</v>
      </c>
      <c r="H140">
        <v>11</v>
      </c>
      <c r="I140" s="1">
        <v>45809</v>
      </c>
      <c r="J140">
        <v>0</v>
      </c>
      <c r="K140" t="s">
        <v>23</v>
      </c>
    </row>
    <row r="141" spans="1:11">
      <c r="A141" s="1">
        <v>45834</v>
      </c>
      <c r="B141" t="s">
        <v>21</v>
      </c>
      <c r="C141" t="s">
        <v>38</v>
      </c>
      <c r="D141">
        <v>31</v>
      </c>
      <c r="E141">
        <v>0</v>
      </c>
      <c r="F141">
        <v>0</v>
      </c>
      <c r="G141">
        <v>0</v>
      </c>
      <c r="H141">
        <v>31</v>
      </c>
      <c r="I141" s="1">
        <v>45809</v>
      </c>
      <c r="J141">
        <v>0</v>
      </c>
      <c r="K141" t="s">
        <v>23</v>
      </c>
    </row>
    <row r="142" spans="1:11">
      <c r="A142" s="1">
        <v>45834</v>
      </c>
      <c r="B142" t="s">
        <v>21</v>
      </c>
      <c r="C142" t="s">
        <v>22</v>
      </c>
      <c r="D142">
        <v>2</v>
      </c>
      <c r="E142">
        <v>0</v>
      </c>
      <c r="F142">
        <v>0</v>
      </c>
      <c r="G142">
        <v>0</v>
      </c>
      <c r="H142">
        <v>2</v>
      </c>
      <c r="I142" s="1">
        <v>45809</v>
      </c>
      <c r="J142">
        <v>0</v>
      </c>
      <c r="K142" t="s">
        <v>23</v>
      </c>
    </row>
    <row r="143" spans="1:11">
      <c r="A143" s="1">
        <v>45834</v>
      </c>
      <c r="B143" t="s">
        <v>21</v>
      </c>
      <c r="C143" t="s">
        <v>34</v>
      </c>
      <c r="D143">
        <v>15</v>
      </c>
      <c r="E143">
        <v>0</v>
      </c>
      <c r="F143">
        <v>0</v>
      </c>
      <c r="G143">
        <v>0</v>
      </c>
      <c r="H143">
        <v>15</v>
      </c>
      <c r="I143" s="1">
        <v>45809</v>
      </c>
      <c r="J143">
        <v>0</v>
      </c>
      <c r="K143" t="s">
        <v>23</v>
      </c>
    </row>
    <row r="144" spans="1:11">
      <c r="A144" s="1">
        <v>45869</v>
      </c>
      <c r="B144" t="s">
        <v>21</v>
      </c>
      <c r="C144" t="s">
        <v>38</v>
      </c>
      <c r="D144">
        <v>27</v>
      </c>
      <c r="E144">
        <v>0</v>
      </c>
      <c r="F144">
        <v>0</v>
      </c>
      <c r="G144">
        <v>0</v>
      </c>
      <c r="H144">
        <v>27</v>
      </c>
      <c r="I144" s="1">
        <v>45839</v>
      </c>
      <c r="J144">
        <v>0</v>
      </c>
      <c r="K144" t="s">
        <v>23</v>
      </c>
    </row>
    <row r="145" spans="1:11">
      <c r="A145" s="1">
        <v>45869</v>
      </c>
      <c r="B145" t="s">
        <v>21</v>
      </c>
      <c r="C145" t="s">
        <v>22</v>
      </c>
      <c r="D145">
        <v>3</v>
      </c>
      <c r="E145">
        <v>0</v>
      </c>
      <c r="F145">
        <v>0</v>
      </c>
      <c r="G145">
        <v>0</v>
      </c>
      <c r="H145">
        <v>3</v>
      </c>
      <c r="I145" s="1">
        <v>45839</v>
      </c>
      <c r="J145">
        <v>0</v>
      </c>
      <c r="K145" t="s">
        <v>23</v>
      </c>
    </row>
    <row r="146" spans="1:11">
      <c r="A146" s="1">
        <v>45869</v>
      </c>
      <c r="B146" t="s">
        <v>21</v>
      </c>
      <c r="C146" t="s">
        <v>34</v>
      </c>
      <c r="D146">
        <v>19</v>
      </c>
      <c r="E146">
        <v>0</v>
      </c>
      <c r="F146">
        <v>0</v>
      </c>
      <c r="G146">
        <v>0</v>
      </c>
      <c r="H146">
        <v>19</v>
      </c>
      <c r="I146" s="1">
        <v>45839</v>
      </c>
      <c r="J146">
        <v>0</v>
      </c>
      <c r="K146" t="s">
        <v>23</v>
      </c>
    </row>
    <row r="147" spans="1:11">
      <c r="A147" s="1">
        <v>45897</v>
      </c>
      <c r="B147" t="s">
        <v>21</v>
      </c>
      <c r="C147" t="s">
        <v>38</v>
      </c>
      <c r="D147">
        <v>29</v>
      </c>
      <c r="E147">
        <v>0</v>
      </c>
      <c r="F147">
        <v>0</v>
      </c>
      <c r="G147">
        <v>0</v>
      </c>
      <c r="H147">
        <v>29</v>
      </c>
      <c r="I147" s="1">
        <v>45870</v>
      </c>
      <c r="J147">
        <v>0</v>
      </c>
      <c r="K147" t="s">
        <v>23</v>
      </c>
    </row>
    <row r="148" spans="1:11">
      <c r="A148" s="1">
        <v>45897</v>
      </c>
      <c r="B148" t="s">
        <v>21</v>
      </c>
      <c r="C148" t="s">
        <v>22</v>
      </c>
      <c r="D148">
        <v>3</v>
      </c>
      <c r="E148">
        <v>0</v>
      </c>
      <c r="F148">
        <v>0</v>
      </c>
      <c r="G148">
        <v>0</v>
      </c>
      <c r="H148">
        <v>3</v>
      </c>
      <c r="I148" s="1">
        <v>45870</v>
      </c>
      <c r="J148">
        <v>0</v>
      </c>
      <c r="K148" t="s">
        <v>23</v>
      </c>
    </row>
    <row r="149" spans="1:11">
      <c r="A149" s="1">
        <v>45925</v>
      </c>
      <c r="B149" t="s">
        <v>21</v>
      </c>
      <c r="C149" t="s">
        <v>38</v>
      </c>
      <c r="D149">
        <v>35</v>
      </c>
      <c r="E149">
        <v>0</v>
      </c>
      <c r="F149">
        <v>0</v>
      </c>
      <c r="G149">
        <v>0</v>
      </c>
      <c r="H149">
        <v>35</v>
      </c>
      <c r="I149" s="1">
        <v>45901</v>
      </c>
      <c r="J149">
        <v>0</v>
      </c>
      <c r="K149" t="s">
        <v>23</v>
      </c>
    </row>
    <row r="150" spans="1:11">
      <c r="A150" s="1">
        <v>45925</v>
      </c>
      <c r="B150" t="s">
        <v>21</v>
      </c>
      <c r="C150" t="s">
        <v>22</v>
      </c>
      <c r="D150">
        <v>2</v>
      </c>
      <c r="E150">
        <v>0</v>
      </c>
      <c r="F150">
        <v>0</v>
      </c>
      <c r="G150">
        <v>0</v>
      </c>
      <c r="H150">
        <v>2</v>
      </c>
      <c r="I150" s="1">
        <v>45901</v>
      </c>
      <c r="J150">
        <v>0</v>
      </c>
      <c r="K150" t="s">
        <v>23</v>
      </c>
    </row>
    <row r="151" spans="1:11">
      <c r="A151" s="1">
        <v>45960</v>
      </c>
      <c r="B151" t="s">
        <v>21</v>
      </c>
      <c r="C151" t="s">
        <v>30</v>
      </c>
      <c r="D151">
        <v>43</v>
      </c>
      <c r="E151">
        <v>0</v>
      </c>
      <c r="F151">
        <v>0</v>
      </c>
      <c r="G151">
        <v>0</v>
      </c>
      <c r="H151">
        <v>43</v>
      </c>
      <c r="I151" s="1">
        <v>45931</v>
      </c>
      <c r="J151">
        <v>0</v>
      </c>
      <c r="K151" t="s">
        <v>23</v>
      </c>
    </row>
    <row r="152" spans="1:11">
      <c r="A152" s="1">
        <v>45960</v>
      </c>
      <c r="B152" t="s">
        <v>21</v>
      </c>
      <c r="C152" t="s">
        <v>38</v>
      </c>
      <c r="D152">
        <v>38</v>
      </c>
      <c r="E152">
        <v>0</v>
      </c>
      <c r="F152">
        <v>0</v>
      </c>
      <c r="G152">
        <v>0</v>
      </c>
      <c r="H152">
        <v>38</v>
      </c>
      <c r="I152" s="1">
        <v>45931</v>
      </c>
      <c r="J152">
        <v>0</v>
      </c>
      <c r="K152" t="s">
        <v>23</v>
      </c>
    </row>
    <row r="153" spans="1:11">
      <c r="A153" s="1">
        <v>45960</v>
      </c>
      <c r="B153" t="s">
        <v>21</v>
      </c>
      <c r="C153" t="s">
        <v>22</v>
      </c>
      <c r="D153">
        <v>2</v>
      </c>
      <c r="E153">
        <v>0</v>
      </c>
      <c r="F153">
        <v>0</v>
      </c>
      <c r="G153">
        <v>0</v>
      </c>
      <c r="H153">
        <v>2</v>
      </c>
      <c r="I153" s="1">
        <v>45931</v>
      </c>
      <c r="J153">
        <v>0</v>
      </c>
      <c r="K153" t="s">
        <v>23</v>
      </c>
    </row>
    <row r="154" spans="1:11">
      <c r="A154" s="1">
        <v>45960</v>
      </c>
      <c r="B154" t="s">
        <v>21</v>
      </c>
      <c r="C154" t="s">
        <v>34</v>
      </c>
      <c r="D154">
        <v>31</v>
      </c>
      <c r="E154">
        <v>0</v>
      </c>
      <c r="F154">
        <v>0</v>
      </c>
      <c r="G154">
        <v>0</v>
      </c>
      <c r="H154">
        <v>31</v>
      </c>
      <c r="I154" s="1">
        <v>45931</v>
      </c>
      <c r="J154">
        <v>0</v>
      </c>
      <c r="K154" t="s">
        <v>23</v>
      </c>
    </row>
    <row r="155" spans="1:11">
      <c r="A155" s="1">
        <v>45988</v>
      </c>
      <c r="B155" t="s">
        <v>21</v>
      </c>
      <c r="C155" t="s">
        <v>30</v>
      </c>
      <c r="D155">
        <v>40</v>
      </c>
      <c r="E155">
        <v>0</v>
      </c>
      <c r="F155">
        <v>0</v>
      </c>
      <c r="G155">
        <v>0</v>
      </c>
      <c r="H155">
        <v>40</v>
      </c>
      <c r="I155" s="1">
        <v>45962</v>
      </c>
      <c r="J155">
        <v>0</v>
      </c>
      <c r="K155" t="s">
        <v>23</v>
      </c>
    </row>
    <row r="156" spans="1:11">
      <c r="A156" s="1">
        <v>45988</v>
      </c>
      <c r="B156" t="s">
        <v>21</v>
      </c>
      <c r="C156" t="s">
        <v>38</v>
      </c>
      <c r="D156">
        <v>44</v>
      </c>
      <c r="E156">
        <v>0</v>
      </c>
      <c r="F156">
        <v>0</v>
      </c>
      <c r="G156">
        <v>0</v>
      </c>
      <c r="H156">
        <v>44</v>
      </c>
      <c r="I156" s="1">
        <v>45962</v>
      </c>
      <c r="J156">
        <v>0</v>
      </c>
      <c r="K156" t="s">
        <v>23</v>
      </c>
    </row>
    <row r="157" spans="1:11">
      <c r="A157" s="1">
        <v>45988</v>
      </c>
      <c r="B157" t="s">
        <v>21</v>
      </c>
      <c r="C157" t="s">
        <v>22</v>
      </c>
      <c r="D157">
        <v>2</v>
      </c>
      <c r="E157">
        <v>0</v>
      </c>
      <c r="F157">
        <v>0</v>
      </c>
      <c r="G157">
        <v>0</v>
      </c>
      <c r="H157">
        <v>2</v>
      </c>
      <c r="I157" s="1">
        <v>45962</v>
      </c>
      <c r="J157">
        <v>0</v>
      </c>
      <c r="K157" t="s">
        <v>23</v>
      </c>
    </row>
    <row r="158" spans="1:11">
      <c r="A158" s="1">
        <v>45988</v>
      </c>
      <c r="B158" t="s">
        <v>21</v>
      </c>
      <c r="C158" t="s">
        <v>34</v>
      </c>
      <c r="D158">
        <v>37</v>
      </c>
      <c r="E158">
        <v>0</v>
      </c>
      <c r="F158">
        <v>0</v>
      </c>
      <c r="G158">
        <v>0</v>
      </c>
      <c r="H158">
        <v>37</v>
      </c>
      <c r="I158" s="1">
        <v>45962</v>
      </c>
      <c r="J158">
        <v>0</v>
      </c>
      <c r="K158" t="s">
        <v>23</v>
      </c>
    </row>
    <row r="159" spans="1:11">
      <c r="A159" s="1">
        <v>46009</v>
      </c>
      <c r="B159" t="s">
        <v>40</v>
      </c>
      <c r="C159" t="s">
        <v>41</v>
      </c>
      <c r="D159">
        <v>4274</v>
      </c>
      <c r="E159">
        <v>0</v>
      </c>
      <c r="F159">
        <v>0</v>
      </c>
      <c r="G159">
        <v>0</v>
      </c>
      <c r="H159">
        <v>4274</v>
      </c>
      <c r="I159" s="1">
        <v>45992</v>
      </c>
      <c r="J159">
        <v>0</v>
      </c>
      <c r="K159" t="s">
        <v>23</v>
      </c>
    </row>
    <row r="160" spans="1:11">
      <c r="A160" s="1">
        <v>46009</v>
      </c>
      <c r="B160" t="s">
        <v>21</v>
      </c>
      <c r="C160" t="s">
        <v>41</v>
      </c>
      <c r="D160">
        <v>411</v>
      </c>
      <c r="E160">
        <v>0</v>
      </c>
      <c r="F160">
        <v>0</v>
      </c>
      <c r="G160">
        <v>0</v>
      </c>
      <c r="H160">
        <v>411</v>
      </c>
      <c r="I160" s="1">
        <v>45992</v>
      </c>
      <c r="J160">
        <v>0</v>
      </c>
      <c r="K160" t="s">
        <v>23</v>
      </c>
    </row>
    <row r="161" spans="1:11">
      <c r="A161" s="1">
        <v>46009</v>
      </c>
      <c r="B161" t="s">
        <v>21</v>
      </c>
      <c r="C161" t="s">
        <v>33</v>
      </c>
      <c r="D161">
        <v>30</v>
      </c>
      <c r="E161">
        <v>0</v>
      </c>
      <c r="F161">
        <v>0</v>
      </c>
      <c r="G161">
        <v>0</v>
      </c>
      <c r="H161">
        <v>30</v>
      </c>
      <c r="I161" s="1">
        <v>45992</v>
      </c>
      <c r="J161">
        <v>0</v>
      </c>
      <c r="K161" t="s">
        <v>23</v>
      </c>
    </row>
    <row r="162" spans="1:11">
      <c r="A162" s="1">
        <v>46009</v>
      </c>
      <c r="B162" t="s">
        <v>21</v>
      </c>
      <c r="C162" t="s">
        <v>30</v>
      </c>
      <c r="D162">
        <v>56</v>
      </c>
      <c r="E162">
        <v>0</v>
      </c>
      <c r="F162">
        <v>0</v>
      </c>
      <c r="G162">
        <v>0</v>
      </c>
      <c r="H162">
        <v>56</v>
      </c>
      <c r="I162" s="1">
        <v>45992</v>
      </c>
      <c r="J162">
        <v>0</v>
      </c>
      <c r="K162" t="s">
        <v>23</v>
      </c>
    </row>
    <row r="163" spans="1:11">
      <c r="A163" s="1">
        <v>46009</v>
      </c>
      <c r="B163" t="s">
        <v>21</v>
      </c>
      <c r="C163" t="s">
        <v>38</v>
      </c>
      <c r="D163">
        <v>53</v>
      </c>
      <c r="E163">
        <v>0</v>
      </c>
      <c r="F163">
        <v>0</v>
      </c>
      <c r="G163">
        <v>0</v>
      </c>
      <c r="H163">
        <v>53</v>
      </c>
      <c r="I163" s="1">
        <v>45992</v>
      </c>
      <c r="J163">
        <v>0</v>
      </c>
      <c r="K163" t="s">
        <v>23</v>
      </c>
    </row>
    <row r="164" spans="1:11">
      <c r="A164" s="1">
        <v>46009</v>
      </c>
      <c r="B164" t="s">
        <v>21</v>
      </c>
      <c r="C164" t="s">
        <v>34</v>
      </c>
      <c r="D164">
        <v>42</v>
      </c>
      <c r="E164">
        <v>0</v>
      </c>
      <c r="F164">
        <v>0</v>
      </c>
      <c r="G164">
        <v>0</v>
      </c>
      <c r="H164">
        <v>42</v>
      </c>
      <c r="I164" s="1">
        <v>45992</v>
      </c>
      <c r="J164">
        <v>0</v>
      </c>
      <c r="K164" t="s">
        <v>23</v>
      </c>
    </row>
    <row r="165" spans="1:11">
      <c r="A165" s="1">
        <v>46051</v>
      </c>
      <c r="B165" t="s">
        <v>21</v>
      </c>
      <c r="C165" t="s">
        <v>33</v>
      </c>
      <c r="D165">
        <v>27</v>
      </c>
      <c r="E165">
        <v>0</v>
      </c>
      <c r="F165">
        <v>0</v>
      </c>
      <c r="G165">
        <v>0</v>
      </c>
      <c r="H165">
        <v>27</v>
      </c>
      <c r="I165" s="1">
        <v>46023</v>
      </c>
      <c r="J165">
        <v>0</v>
      </c>
      <c r="K165" t="s">
        <v>23</v>
      </c>
    </row>
    <row r="166" spans="1:11">
      <c r="A166" s="1">
        <v>46051</v>
      </c>
      <c r="B166" t="s">
        <v>21</v>
      </c>
      <c r="C166" t="s">
        <v>30</v>
      </c>
      <c r="D166">
        <v>52</v>
      </c>
      <c r="E166">
        <v>0</v>
      </c>
      <c r="F166">
        <v>0</v>
      </c>
      <c r="G166">
        <v>0</v>
      </c>
      <c r="H166">
        <v>52</v>
      </c>
      <c r="I166" s="1">
        <v>46023</v>
      </c>
      <c r="J166">
        <v>0</v>
      </c>
      <c r="K166" t="s">
        <v>23</v>
      </c>
    </row>
    <row r="167" spans="1:11">
      <c r="A167" s="1">
        <v>46051</v>
      </c>
      <c r="B167" t="s">
        <v>21</v>
      </c>
      <c r="C167" t="s">
        <v>22</v>
      </c>
      <c r="D167">
        <v>3</v>
      </c>
      <c r="E167">
        <v>0</v>
      </c>
      <c r="F167">
        <v>0</v>
      </c>
      <c r="G167">
        <v>0</v>
      </c>
      <c r="H167">
        <v>3</v>
      </c>
      <c r="I167" s="1">
        <v>46023</v>
      </c>
      <c r="J167">
        <v>0</v>
      </c>
      <c r="K167" t="s">
        <v>23</v>
      </c>
    </row>
    <row r="168" spans="1:11">
      <c r="A168" s="1">
        <v>46079</v>
      </c>
      <c r="B168" t="s">
        <v>21</v>
      </c>
      <c r="C168" t="s">
        <v>33</v>
      </c>
      <c r="D168">
        <v>29</v>
      </c>
      <c r="E168">
        <v>0</v>
      </c>
      <c r="F168">
        <v>0</v>
      </c>
      <c r="G168">
        <v>0</v>
      </c>
      <c r="H168">
        <v>29</v>
      </c>
      <c r="I168" s="1">
        <v>46054</v>
      </c>
      <c r="J168">
        <v>0</v>
      </c>
      <c r="K168" t="s">
        <v>23</v>
      </c>
    </row>
    <row r="169" spans="1:11">
      <c r="A169" s="1">
        <v>46079</v>
      </c>
      <c r="B169" t="s">
        <v>21</v>
      </c>
      <c r="C169" t="s">
        <v>30</v>
      </c>
      <c r="D169">
        <v>58</v>
      </c>
      <c r="E169">
        <v>0</v>
      </c>
      <c r="F169">
        <v>0</v>
      </c>
      <c r="G169">
        <v>0</v>
      </c>
      <c r="H169">
        <v>58</v>
      </c>
      <c r="I169" s="1">
        <v>46054</v>
      </c>
      <c r="J169">
        <v>0</v>
      </c>
      <c r="K169" t="s">
        <v>23</v>
      </c>
    </row>
    <row r="170" spans="1:11">
      <c r="A170" s="1">
        <v>46079</v>
      </c>
      <c r="B170" t="s">
        <v>21</v>
      </c>
      <c r="C170" t="s">
        <v>22</v>
      </c>
      <c r="D170">
        <v>4</v>
      </c>
      <c r="E170">
        <v>0</v>
      </c>
      <c r="F170">
        <v>0</v>
      </c>
      <c r="G170">
        <v>0</v>
      </c>
      <c r="H170">
        <v>4</v>
      </c>
      <c r="I170" s="1">
        <v>46054</v>
      </c>
      <c r="J170">
        <v>0</v>
      </c>
      <c r="K170" t="s">
        <v>23</v>
      </c>
    </row>
    <row r="171" spans="1:11">
      <c r="A171" s="1">
        <v>46107</v>
      </c>
      <c r="B171" t="s">
        <v>21</v>
      </c>
      <c r="C171" t="s">
        <v>33</v>
      </c>
      <c r="D171">
        <v>26</v>
      </c>
      <c r="E171">
        <v>0</v>
      </c>
      <c r="F171">
        <v>0</v>
      </c>
      <c r="G171">
        <v>0</v>
      </c>
      <c r="H171">
        <v>26</v>
      </c>
      <c r="I171" s="1">
        <v>46082</v>
      </c>
      <c r="J171">
        <v>0</v>
      </c>
      <c r="K171" t="s">
        <v>23</v>
      </c>
    </row>
    <row r="172" spans="1:11">
      <c r="A172" s="1">
        <v>46107</v>
      </c>
      <c r="B172" t="s">
        <v>21</v>
      </c>
      <c r="C172" t="s">
        <v>30</v>
      </c>
      <c r="D172">
        <v>60</v>
      </c>
      <c r="E172">
        <v>0</v>
      </c>
      <c r="F172">
        <v>0</v>
      </c>
      <c r="G172">
        <v>0</v>
      </c>
      <c r="H172">
        <v>60</v>
      </c>
      <c r="I172" s="1">
        <v>46082</v>
      </c>
      <c r="J172">
        <v>0</v>
      </c>
      <c r="K172" t="s">
        <v>23</v>
      </c>
    </row>
    <row r="173" spans="1:11">
      <c r="A173" s="1">
        <v>46107</v>
      </c>
      <c r="B173" t="s">
        <v>21</v>
      </c>
      <c r="C173" t="s">
        <v>25</v>
      </c>
      <c r="D173">
        <v>5</v>
      </c>
      <c r="E173">
        <v>0</v>
      </c>
      <c r="F173">
        <v>0</v>
      </c>
      <c r="G173">
        <v>0</v>
      </c>
      <c r="H173">
        <v>5</v>
      </c>
      <c r="I173" s="1">
        <v>46082</v>
      </c>
      <c r="J173">
        <v>0</v>
      </c>
      <c r="K173" t="s">
        <v>23</v>
      </c>
    </row>
    <row r="174" spans="1:11">
      <c r="A174" s="1">
        <v>46107</v>
      </c>
      <c r="B174" t="s">
        <v>21</v>
      </c>
      <c r="C174" t="s">
        <v>22</v>
      </c>
      <c r="D174">
        <v>3</v>
      </c>
      <c r="E174">
        <v>0</v>
      </c>
      <c r="F174">
        <v>0</v>
      </c>
      <c r="G174">
        <v>0</v>
      </c>
      <c r="H174">
        <v>3</v>
      </c>
      <c r="I174" s="1">
        <v>46082</v>
      </c>
      <c r="J174">
        <v>0</v>
      </c>
      <c r="K174" t="s">
        <v>23</v>
      </c>
    </row>
    <row r="175" spans="1:11">
      <c r="A175" s="1">
        <v>46142</v>
      </c>
      <c r="B175" t="s">
        <v>21</v>
      </c>
      <c r="C175" t="s">
        <v>33</v>
      </c>
      <c r="D175">
        <v>27</v>
      </c>
      <c r="E175">
        <v>0</v>
      </c>
      <c r="F175">
        <v>0</v>
      </c>
      <c r="G175">
        <v>0</v>
      </c>
      <c r="H175">
        <v>27</v>
      </c>
      <c r="I175" s="1">
        <v>46113</v>
      </c>
      <c r="J175">
        <v>0</v>
      </c>
      <c r="K175" t="s">
        <v>23</v>
      </c>
    </row>
    <row r="176" spans="1:11">
      <c r="A176" s="1">
        <v>46142</v>
      </c>
      <c r="B176" t="s">
        <v>21</v>
      </c>
      <c r="C176" t="s">
        <v>30</v>
      </c>
      <c r="D176">
        <v>54</v>
      </c>
      <c r="E176">
        <v>0</v>
      </c>
      <c r="F176">
        <v>0</v>
      </c>
      <c r="G176">
        <v>0</v>
      </c>
      <c r="H176">
        <v>54</v>
      </c>
      <c r="I176" s="1">
        <v>46113</v>
      </c>
      <c r="J176">
        <v>0</v>
      </c>
      <c r="K176" t="s">
        <v>23</v>
      </c>
    </row>
    <row r="177" spans="1:11">
      <c r="A177" s="1">
        <v>46142</v>
      </c>
      <c r="B177" t="s">
        <v>21</v>
      </c>
      <c r="C177" t="s">
        <v>25</v>
      </c>
      <c r="D177">
        <v>4</v>
      </c>
      <c r="E177">
        <v>0</v>
      </c>
      <c r="F177">
        <v>0</v>
      </c>
      <c r="G177">
        <v>0</v>
      </c>
      <c r="H177">
        <v>4</v>
      </c>
      <c r="I177" s="1">
        <v>46113</v>
      </c>
      <c r="J177">
        <v>0</v>
      </c>
      <c r="K177" t="s">
        <v>23</v>
      </c>
    </row>
    <row r="178" spans="1:11">
      <c r="A178" s="1">
        <v>46142</v>
      </c>
      <c r="B178" t="s">
        <v>21</v>
      </c>
      <c r="C178" t="s">
        <v>22</v>
      </c>
      <c r="D178">
        <v>3</v>
      </c>
      <c r="E178">
        <v>0</v>
      </c>
      <c r="F178">
        <v>0</v>
      </c>
      <c r="G178">
        <v>0</v>
      </c>
      <c r="H178">
        <v>3</v>
      </c>
      <c r="I178" s="1">
        <v>46113</v>
      </c>
      <c r="J178">
        <v>0</v>
      </c>
      <c r="K178" t="s">
        <v>23</v>
      </c>
    </row>
    <row r="179" spans="1:11">
      <c r="A179" s="1">
        <v>46170</v>
      </c>
      <c r="B179" t="s">
        <v>21</v>
      </c>
      <c r="C179" t="s">
        <v>33</v>
      </c>
      <c r="D179">
        <v>16</v>
      </c>
      <c r="E179">
        <v>0</v>
      </c>
      <c r="F179">
        <v>0</v>
      </c>
      <c r="G179">
        <v>0</v>
      </c>
      <c r="H179">
        <v>16</v>
      </c>
      <c r="I179" s="1">
        <v>46143</v>
      </c>
      <c r="J179">
        <v>0</v>
      </c>
      <c r="K179" t="s">
        <v>23</v>
      </c>
    </row>
    <row r="180" spans="1:11">
      <c r="A180" s="1">
        <v>46170</v>
      </c>
      <c r="B180" t="s">
        <v>21</v>
      </c>
      <c r="C180" t="s">
        <v>30</v>
      </c>
      <c r="D180">
        <v>57</v>
      </c>
      <c r="E180">
        <v>0</v>
      </c>
      <c r="F180">
        <v>0</v>
      </c>
      <c r="G180">
        <v>0</v>
      </c>
      <c r="H180">
        <v>57</v>
      </c>
      <c r="I180" s="1">
        <v>46143</v>
      </c>
      <c r="J180">
        <v>0</v>
      </c>
      <c r="K180" t="s">
        <v>23</v>
      </c>
    </row>
    <row r="181" spans="1:11">
      <c r="A181" s="1">
        <v>46170</v>
      </c>
      <c r="B181" t="s">
        <v>21</v>
      </c>
      <c r="C181" t="s">
        <v>25</v>
      </c>
      <c r="D181">
        <v>4</v>
      </c>
      <c r="E181">
        <v>0</v>
      </c>
      <c r="F181">
        <v>0</v>
      </c>
      <c r="G181">
        <v>0</v>
      </c>
      <c r="H181">
        <v>4</v>
      </c>
      <c r="I181" s="1">
        <v>46143</v>
      </c>
      <c r="J181">
        <v>0</v>
      </c>
      <c r="K181" t="s">
        <v>23</v>
      </c>
    </row>
    <row r="182" spans="1:11">
      <c r="A182" s="1">
        <v>46170</v>
      </c>
      <c r="B182" t="s">
        <v>21</v>
      </c>
      <c r="C182" t="s">
        <v>22</v>
      </c>
      <c r="D182">
        <v>2</v>
      </c>
      <c r="E182">
        <v>0</v>
      </c>
      <c r="F182">
        <v>0</v>
      </c>
      <c r="G182">
        <v>0</v>
      </c>
      <c r="H182">
        <v>2</v>
      </c>
      <c r="I182" s="1">
        <v>46143</v>
      </c>
      <c r="J182">
        <v>0</v>
      </c>
      <c r="K182" t="s">
        <v>23</v>
      </c>
    </row>
    <row r="183" spans="1:11">
      <c r="A183" s="1">
        <v>46198</v>
      </c>
      <c r="B183" t="s">
        <v>21</v>
      </c>
      <c r="C183" t="s">
        <v>30</v>
      </c>
      <c r="D183">
        <v>57</v>
      </c>
      <c r="E183">
        <v>0</v>
      </c>
      <c r="F183">
        <v>0</v>
      </c>
      <c r="G183">
        <v>0</v>
      </c>
      <c r="H183">
        <v>57</v>
      </c>
      <c r="I183" s="1">
        <v>46174</v>
      </c>
      <c r="J183">
        <v>0</v>
      </c>
      <c r="K183" t="s">
        <v>23</v>
      </c>
    </row>
    <row r="184" spans="1:11">
      <c r="A184" s="1">
        <v>46198</v>
      </c>
      <c r="B184" t="s">
        <v>21</v>
      </c>
      <c r="C184" t="s">
        <v>37</v>
      </c>
      <c r="D184">
        <v>8</v>
      </c>
      <c r="E184">
        <v>0</v>
      </c>
      <c r="F184">
        <v>0</v>
      </c>
      <c r="G184">
        <v>0</v>
      </c>
      <c r="H184">
        <v>8</v>
      </c>
      <c r="I184" s="1">
        <v>46174</v>
      </c>
      <c r="J184">
        <v>0</v>
      </c>
      <c r="K184" t="s">
        <v>23</v>
      </c>
    </row>
    <row r="185" spans="1:11">
      <c r="A185" s="1">
        <v>46233</v>
      </c>
      <c r="B185" t="s">
        <v>21</v>
      </c>
      <c r="C185" t="s">
        <v>30</v>
      </c>
      <c r="D185">
        <v>60</v>
      </c>
      <c r="E185">
        <v>0</v>
      </c>
      <c r="F185">
        <v>0</v>
      </c>
      <c r="G185">
        <v>0</v>
      </c>
      <c r="H185">
        <v>60</v>
      </c>
      <c r="I185" s="1">
        <v>46204</v>
      </c>
      <c r="J185">
        <v>0</v>
      </c>
      <c r="K185" t="s">
        <v>23</v>
      </c>
    </row>
    <row r="186" spans="1:11">
      <c r="A186" s="1">
        <v>46233</v>
      </c>
      <c r="B186" t="s">
        <v>21</v>
      </c>
      <c r="C186" t="s">
        <v>22</v>
      </c>
      <c r="D186">
        <v>2</v>
      </c>
      <c r="E186">
        <v>0</v>
      </c>
      <c r="F186">
        <v>0</v>
      </c>
      <c r="G186">
        <v>0</v>
      </c>
      <c r="H186">
        <v>2</v>
      </c>
      <c r="I186" s="1">
        <v>46204</v>
      </c>
      <c r="J186">
        <v>0</v>
      </c>
      <c r="K186" t="s">
        <v>23</v>
      </c>
    </row>
    <row r="187" spans="1:11">
      <c r="A187" s="1">
        <v>46261</v>
      </c>
      <c r="B187" t="s">
        <v>21</v>
      </c>
      <c r="C187" t="s">
        <v>30</v>
      </c>
      <c r="D187">
        <v>63</v>
      </c>
      <c r="E187">
        <v>0</v>
      </c>
      <c r="F187">
        <v>0</v>
      </c>
      <c r="G187">
        <v>0</v>
      </c>
      <c r="H187">
        <v>63</v>
      </c>
      <c r="I187" s="1">
        <v>46235</v>
      </c>
      <c r="J187">
        <v>0</v>
      </c>
      <c r="K187" t="s">
        <v>23</v>
      </c>
    </row>
    <row r="188" spans="1:11">
      <c r="A188" s="1">
        <v>46261</v>
      </c>
      <c r="B188" t="s">
        <v>21</v>
      </c>
      <c r="C188" t="s">
        <v>24</v>
      </c>
      <c r="D188">
        <v>2</v>
      </c>
      <c r="E188">
        <v>0</v>
      </c>
      <c r="F188">
        <v>0</v>
      </c>
      <c r="G188">
        <v>0</v>
      </c>
      <c r="H188">
        <v>2</v>
      </c>
      <c r="I188" s="1">
        <v>46235</v>
      </c>
      <c r="J188">
        <v>0</v>
      </c>
      <c r="K188" t="s">
        <v>23</v>
      </c>
    </row>
    <row r="189" spans="1:11">
      <c r="A189" s="1">
        <v>44952</v>
      </c>
      <c r="B189" t="s">
        <v>21</v>
      </c>
      <c r="C189" t="s">
        <v>37</v>
      </c>
      <c r="D189">
        <v>28</v>
      </c>
      <c r="E189">
        <v>0</v>
      </c>
      <c r="F189">
        <v>0</v>
      </c>
      <c r="G189">
        <v>0</v>
      </c>
      <c r="H189">
        <v>28</v>
      </c>
      <c r="I189" s="1">
        <v>44927</v>
      </c>
      <c r="J189">
        <v>0</v>
      </c>
      <c r="K189" t="s">
        <v>26</v>
      </c>
    </row>
    <row r="190" spans="1:11">
      <c r="A190" s="1">
        <v>44980</v>
      </c>
      <c r="B190" t="s">
        <v>40</v>
      </c>
      <c r="C190" t="s">
        <v>27</v>
      </c>
      <c r="D190">
        <v>306</v>
      </c>
      <c r="E190">
        <v>0</v>
      </c>
      <c r="F190">
        <v>0</v>
      </c>
      <c r="G190">
        <v>0</v>
      </c>
      <c r="H190">
        <v>306</v>
      </c>
      <c r="I190" s="1">
        <v>44958</v>
      </c>
      <c r="J190">
        <v>0</v>
      </c>
      <c r="K190" t="s">
        <v>26</v>
      </c>
    </row>
    <row r="191" spans="1:11">
      <c r="A191" s="1">
        <v>45015</v>
      </c>
      <c r="B191" t="s">
        <v>21</v>
      </c>
      <c r="C191" t="s">
        <v>35</v>
      </c>
      <c r="D191">
        <v>21</v>
      </c>
      <c r="E191">
        <v>0</v>
      </c>
      <c r="F191">
        <v>0</v>
      </c>
      <c r="G191">
        <v>0</v>
      </c>
      <c r="H191">
        <v>21</v>
      </c>
      <c r="I191" s="1">
        <v>44986</v>
      </c>
      <c r="J191">
        <v>0</v>
      </c>
      <c r="K191" t="s">
        <v>26</v>
      </c>
    </row>
    <row r="192" spans="1:11">
      <c r="A192" s="1">
        <v>45043</v>
      </c>
      <c r="B192" t="s">
        <v>40</v>
      </c>
      <c r="C192" t="s">
        <v>27</v>
      </c>
      <c r="D192">
        <v>274</v>
      </c>
      <c r="E192">
        <v>0</v>
      </c>
      <c r="F192">
        <v>0</v>
      </c>
      <c r="G192">
        <v>0</v>
      </c>
      <c r="H192">
        <v>274</v>
      </c>
      <c r="I192" s="1">
        <v>45017</v>
      </c>
      <c r="J192">
        <v>0</v>
      </c>
      <c r="K192" t="s">
        <v>26</v>
      </c>
    </row>
    <row r="193" spans="1:11">
      <c r="A193" s="1">
        <v>45043</v>
      </c>
      <c r="B193" t="s">
        <v>40</v>
      </c>
      <c r="C193" t="s">
        <v>42</v>
      </c>
      <c r="D193">
        <v>433</v>
      </c>
      <c r="E193">
        <v>0</v>
      </c>
      <c r="F193">
        <v>0</v>
      </c>
      <c r="G193">
        <v>0</v>
      </c>
      <c r="H193">
        <v>433</v>
      </c>
      <c r="I193" s="1">
        <v>45017</v>
      </c>
      <c r="J193">
        <v>0</v>
      </c>
      <c r="K193" t="s">
        <v>26</v>
      </c>
    </row>
    <row r="194" spans="1:11">
      <c r="A194" s="1">
        <v>45043</v>
      </c>
      <c r="B194" t="s">
        <v>21</v>
      </c>
      <c r="C194" t="s">
        <v>37</v>
      </c>
      <c r="D194">
        <v>26</v>
      </c>
      <c r="E194">
        <v>0</v>
      </c>
      <c r="F194">
        <v>0</v>
      </c>
      <c r="G194">
        <v>0</v>
      </c>
      <c r="H194">
        <v>26</v>
      </c>
      <c r="I194" s="1">
        <v>45017</v>
      </c>
      <c r="J194">
        <v>0</v>
      </c>
      <c r="K194" t="s">
        <v>26</v>
      </c>
    </row>
    <row r="195" spans="1:11">
      <c r="A195" s="1">
        <v>45071</v>
      </c>
      <c r="B195" t="s">
        <v>40</v>
      </c>
      <c r="C195" t="s">
        <v>27</v>
      </c>
      <c r="D195">
        <v>244</v>
      </c>
      <c r="E195">
        <v>0</v>
      </c>
      <c r="F195">
        <v>0</v>
      </c>
      <c r="G195">
        <v>0</v>
      </c>
      <c r="H195">
        <v>244</v>
      </c>
      <c r="I195" s="1">
        <v>45047</v>
      </c>
      <c r="J195">
        <v>0</v>
      </c>
      <c r="K195" t="s">
        <v>26</v>
      </c>
    </row>
    <row r="196" spans="1:11">
      <c r="A196" s="1">
        <v>45071</v>
      </c>
      <c r="B196" t="s">
        <v>21</v>
      </c>
      <c r="C196" t="s">
        <v>37</v>
      </c>
      <c r="D196">
        <v>20</v>
      </c>
      <c r="E196">
        <v>0</v>
      </c>
      <c r="F196">
        <v>0</v>
      </c>
      <c r="G196">
        <v>0</v>
      </c>
      <c r="H196">
        <v>20</v>
      </c>
      <c r="I196" s="1">
        <v>45047</v>
      </c>
      <c r="J196">
        <v>0</v>
      </c>
      <c r="K196" t="s">
        <v>26</v>
      </c>
    </row>
    <row r="197" spans="1:11">
      <c r="A197" s="1">
        <v>45106</v>
      </c>
      <c r="B197" t="s">
        <v>40</v>
      </c>
      <c r="C197" t="s">
        <v>41</v>
      </c>
      <c r="D197">
        <v>349</v>
      </c>
      <c r="E197">
        <v>0</v>
      </c>
      <c r="F197">
        <v>0</v>
      </c>
      <c r="G197">
        <v>0</v>
      </c>
      <c r="H197">
        <v>349</v>
      </c>
      <c r="I197" s="1">
        <v>45078</v>
      </c>
      <c r="J197">
        <v>0</v>
      </c>
      <c r="K197" t="s">
        <v>26</v>
      </c>
    </row>
    <row r="198" spans="1:11">
      <c r="A198" s="1">
        <v>45106</v>
      </c>
      <c r="B198" t="s">
        <v>21</v>
      </c>
      <c r="C198" t="s">
        <v>35</v>
      </c>
      <c r="D198">
        <v>29</v>
      </c>
      <c r="E198">
        <v>0</v>
      </c>
      <c r="F198">
        <v>0</v>
      </c>
      <c r="G198">
        <v>0</v>
      </c>
      <c r="H198">
        <v>29</v>
      </c>
      <c r="I198" s="1">
        <v>45078</v>
      </c>
      <c r="J198">
        <v>0</v>
      </c>
      <c r="K198" t="s">
        <v>26</v>
      </c>
    </row>
    <row r="199" spans="1:11">
      <c r="A199" s="1">
        <v>45134</v>
      </c>
      <c r="B199" t="s">
        <v>40</v>
      </c>
      <c r="C199" t="s">
        <v>41</v>
      </c>
      <c r="D199">
        <v>353</v>
      </c>
      <c r="E199">
        <v>0</v>
      </c>
      <c r="F199">
        <v>0</v>
      </c>
      <c r="G199">
        <v>0</v>
      </c>
      <c r="H199">
        <v>353</v>
      </c>
      <c r="I199" s="1">
        <v>45108</v>
      </c>
      <c r="J199">
        <v>0</v>
      </c>
      <c r="K199" t="s">
        <v>26</v>
      </c>
    </row>
    <row r="200" spans="1:11">
      <c r="A200" s="1">
        <v>45134</v>
      </c>
      <c r="B200" t="s">
        <v>40</v>
      </c>
      <c r="C200" t="s">
        <v>42</v>
      </c>
      <c r="D200">
        <v>389</v>
      </c>
      <c r="E200">
        <v>0</v>
      </c>
      <c r="F200">
        <v>0</v>
      </c>
      <c r="G200">
        <v>0</v>
      </c>
      <c r="H200">
        <v>389</v>
      </c>
      <c r="I200" s="1">
        <v>45108</v>
      </c>
      <c r="J200">
        <v>0</v>
      </c>
      <c r="K200" t="s">
        <v>26</v>
      </c>
    </row>
    <row r="201" spans="1:11">
      <c r="A201" s="1">
        <v>45134</v>
      </c>
      <c r="B201" t="s">
        <v>21</v>
      </c>
      <c r="C201" t="s">
        <v>43</v>
      </c>
      <c r="D201">
        <v>141</v>
      </c>
      <c r="E201">
        <v>0</v>
      </c>
      <c r="F201">
        <v>0</v>
      </c>
      <c r="G201">
        <v>0</v>
      </c>
      <c r="H201">
        <v>141</v>
      </c>
      <c r="I201" s="1">
        <v>45108</v>
      </c>
      <c r="J201">
        <v>0</v>
      </c>
      <c r="K201" t="s">
        <v>26</v>
      </c>
    </row>
    <row r="202" spans="1:11">
      <c r="A202" s="1">
        <v>45134</v>
      </c>
      <c r="B202" t="s">
        <v>21</v>
      </c>
      <c r="C202" t="s">
        <v>35</v>
      </c>
      <c r="D202">
        <v>31</v>
      </c>
      <c r="E202">
        <v>0</v>
      </c>
      <c r="F202">
        <v>0</v>
      </c>
      <c r="G202">
        <v>0</v>
      </c>
      <c r="H202">
        <v>31</v>
      </c>
      <c r="I202" s="1">
        <v>45108</v>
      </c>
      <c r="J202">
        <v>0</v>
      </c>
      <c r="K202" t="s">
        <v>26</v>
      </c>
    </row>
    <row r="203" spans="1:11">
      <c r="A203" s="1">
        <v>45169</v>
      </c>
      <c r="B203" t="s">
        <v>21</v>
      </c>
      <c r="C203" t="s">
        <v>43</v>
      </c>
      <c r="D203">
        <v>114</v>
      </c>
      <c r="E203">
        <v>0</v>
      </c>
      <c r="F203">
        <v>0</v>
      </c>
      <c r="G203">
        <v>0</v>
      </c>
      <c r="H203">
        <v>114</v>
      </c>
      <c r="I203" s="1">
        <v>45139</v>
      </c>
      <c r="J203">
        <v>0</v>
      </c>
      <c r="K203" t="s">
        <v>26</v>
      </c>
    </row>
    <row r="204" spans="1:11">
      <c r="A204" s="1">
        <v>45197</v>
      </c>
      <c r="B204" t="s">
        <v>40</v>
      </c>
      <c r="C204" t="s">
        <v>41</v>
      </c>
      <c r="D204">
        <v>224</v>
      </c>
      <c r="E204">
        <v>0</v>
      </c>
      <c r="F204">
        <v>0</v>
      </c>
      <c r="G204">
        <v>0</v>
      </c>
      <c r="H204">
        <v>224</v>
      </c>
      <c r="I204" s="1">
        <v>45170</v>
      </c>
      <c r="J204">
        <v>0</v>
      </c>
      <c r="K204" t="s">
        <v>26</v>
      </c>
    </row>
    <row r="205" spans="1:11">
      <c r="A205" s="1">
        <v>45197</v>
      </c>
      <c r="B205" t="s">
        <v>40</v>
      </c>
      <c r="C205" t="s">
        <v>42</v>
      </c>
      <c r="D205">
        <v>297</v>
      </c>
      <c r="E205">
        <v>0</v>
      </c>
      <c r="F205">
        <v>0</v>
      </c>
      <c r="G205">
        <v>0</v>
      </c>
      <c r="H205">
        <v>297</v>
      </c>
      <c r="I205" s="1">
        <v>45170</v>
      </c>
      <c r="J205">
        <v>0</v>
      </c>
      <c r="K205" t="s">
        <v>26</v>
      </c>
    </row>
    <row r="206" spans="1:11">
      <c r="A206" s="1">
        <v>45197</v>
      </c>
      <c r="B206" t="s">
        <v>40</v>
      </c>
      <c r="C206" t="s">
        <v>44</v>
      </c>
      <c r="D206">
        <v>160</v>
      </c>
      <c r="E206">
        <v>0</v>
      </c>
      <c r="F206">
        <v>0</v>
      </c>
      <c r="G206">
        <v>0</v>
      </c>
      <c r="H206">
        <v>160</v>
      </c>
      <c r="I206" s="1">
        <v>45170</v>
      </c>
      <c r="J206">
        <v>0</v>
      </c>
      <c r="K206" t="s">
        <v>26</v>
      </c>
    </row>
    <row r="207" spans="1:11">
      <c r="A207" s="1">
        <v>45197</v>
      </c>
      <c r="B207" t="s">
        <v>21</v>
      </c>
      <c r="C207" t="s">
        <v>37</v>
      </c>
      <c r="D207">
        <v>28</v>
      </c>
      <c r="E207">
        <v>0</v>
      </c>
      <c r="F207">
        <v>0</v>
      </c>
      <c r="G207">
        <v>0</v>
      </c>
      <c r="H207">
        <v>28</v>
      </c>
      <c r="I207" s="1">
        <v>45170</v>
      </c>
      <c r="J207">
        <v>0</v>
      </c>
      <c r="K207" t="s">
        <v>26</v>
      </c>
    </row>
    <row r="208" spans="1:11">
      <c r="A208" s="1">
        <v>45197</v>
      </c>
      <c r="B208" t="s">
        <v>21</v>
      </c>
      <c r="C208" t="s">
        <v>43</v>
      </c>
      <c r="D208">
        <v>140</v>
      </c>
      <c r="E208">
        <v>0</v>
      </c>
      <c r="F208">
        <v>0</v>
      </c>
      <c r="G208">
        <v>0</v>
      </c>
      <c r="H208">
        <v>140</v>
      </c>
      <c r="I208" s="1">
        <v>45170</v>
      </c>
      <c r="J208">
        <v>0</v>
      </c>
      <c r="K208" t="s">
        <v>26</v>
      </c>
    </row>
    <row r="209" spans="1:11">
      <c r="A209" s="1">
        <v>45197</v>
      </c>
      <c r="B209" t="s">
        <v>21</v>
      </c>
      <c r="C209" t="s">
        <v>35</v>
      </c>
      <c r="D209">
        <v>41</v>
      </c>
      <c r="E209">
        <v>0</v>
      </c>
      <c r="F209">
        <v>0</v>
      </c>
      <c r="G209">
        <v>0</v>
      </c>
      <c r="H209">
        <v>41</v>
      </c>
      <c r="I209" s="1">
        <v>45170</v>
      </c>
      <c r="J209">
        <v>0</v>
      </c>
      <c r="K209" t="s">
        <v>26</v>
      </c>
    </row>
    <row r="210" spans="1:11">
      <c r="A210" s="1">
        <v>45225</v>
      </c>
      <c r="B210" t="s">
        <v>40</v>
      </c>
      <c r="C210" t="s">
        <v>27</v>
      </c>
      <c r="D210">
        <v>223</v>
      </c>
      <c r="E210">
        <v>0</v>
      </c>
      <c r="F210">
        <v>0</v>
      </c>
      <c r="G210">
        <v>0</v>
      </c>
      <c r="H210">
        <v>223</v>
      </c>
      <c r="I210" s="1">
        <v>45200</v>
      </c>
      <c r="J210">
        <v>0</v>
      </c>
      <c r="K210" t="s">
        <v>26</v>
      </c>
    </row>
    <row r="211" spans="1:11">
      <c r="A211" s="1">
        <v>45225</v>
      </c>
      <c r="B211" t="s">
        <v>21</v>
      </c>
      <c r="C211" t="s">
        <v>43</v>
      </c>
      <c r="D211">
        <v>121</v>
      </c>
      <c r="E211">
        <v>0</v>
      </c>
      <c r="F211">
        <v>0</v>
      </c>
      <c r="G211">
        <v>0</v>
      </c>
      <c r="H211">
        <v>121</v>
      </c>
      <c r="I211" s="1">
        <v>45200</v>
      </c>
      <c r="J211">
        <v>0</v>
      </c>
      <c r="K211" t="s">
        <v>26</v>
      </c>
    </row>
    <row r="212" spans="1:11">
      <c r="A212" s="1">
        <v>45260</v>
      </c>
      <c r="B212" t="s">
        <v>40</v>
      </c>
      <c r="C212" t="s">
        <v>41</v>
      </c>
      <c r="D212">
        <v>356</v>
      </c>
      <c r="E212">
        <v>0</v>
      </c>
      <c r="F212">
        <v>0</v>
      </c>
      <c r="G212">
        <v>0</v>
      </c>
      <c r="H212">
        <v>356</v>
      </c>
      <c r="I212" s="1">
        <v>45231</v>
      </c>
      <c r="J212">
        <v>0</v>
      </c>
      <c r="K212" t="s">
        <v>26</v>
      </c>
    </row>
    <row r="213" spans="1:11">
      <c r="A213" s="1">
        <v>45260</v>
      </c>
      <c r="B213" t="s">
        <v>21</v>
      </c>
      <c r="C213" t="s">
        <v>41</v>
      </c>
      <c r="D213">
        <v>22</v>
      </c>
      <c r="E213">
        <v>0</v>
      </c>
      <c r="F213">
        <v>0</v>
      </c>
      <c r="G213">
        <v>0</v>
      </c>
      <c r="H213">
        <v>22</v>
      </c>
      <c r="I213" s="1">
        <v>45231</v>
      </c>
      <c r="J213">
        <v>0</v>
      </c>
      <c r="K213" t="s">
        <v>26</v>
      </c>
    </row>
    <row r="214" spans="1:11">
      <c r="A214" s="1">
        <v>45260</v>
      </c>
      <c r="B214" t="s">
        <v>21</v>
      </c>
      <c r="C214" t="s">
        <v>43</v>
      </c>
      <c r="D214">
        <v>147</v>
      </c>
      <c r="E214">
        <v>0</v>
      </c>
      <c r="F214">
        <v>0</v>
      </c>
      <c r="G214">
        <v>0</v>
      </c>
      <c r="H214">
        <v>147</v>
      </c>
      <c r="I214" s="1">
        <v>45231</v>
      </c>
      <c r="J214">
        <v>0</v>
      </c>
      <c r="K214" t="s">
        <v>26</v>
      </c>
    </row>
    <row r="215" spans="1:11">
      <c r="A215" s="1">
        <v>45288</v>
      </c>
      <c r="B215" t="s">
        <v>40</v>
      </c>
      <c r="C215" t="s">
        <v>27</v>
      </c>
      <c r="D215">
        <v>239</v>
      </c>
      <c r="E215">
        <v>0</v>
      </c>
      <c r="F215">
        <v>0</v>
      </c>
      <c r="G215">
        <v>0</v>
      </c>
      <c r="H215">
        <v>239</v>
      </c>
      <c r="I215" s="1">
        <v>45261</v>
      </c>
      <c r="J215">
        <v>0</v>
      </c>
      <c r="K215" t="s">
        <v>26</v>
      </c>
    </row>
    <row r="216" spans="1:11">
      <c r="A216" s="1">
        <v>45288</v>
      </c>
      <c r="B216" t="s">
        <v>21</v>
      </c>
      <c r="C216" t="s">
        <v>43</v>
      </c>
      <c r="D216">
        <v>172</v>
      </c>
      <c r="E216">
        <v>0</v>
      </c>
      <c r="F216">
        <v>0</v>
      </c>
      <c r="G216">
        <v>0</v>
      </c>
      <c r="H216">
        <v>172</v>
      </c>
      <c r="I216" s="1">
        <v>45261</v>
      </c>
      <c r="J216">
        <v>0</v>
      </c>
      <c r="K216" t="s">
        <v>26</v>
      </c>
    </row>
    <row r="217" spans="1:11">
      <c r="A217" s="1">
        <v>45316</v>
      </c>
      <c r="B217" t="s">
        <v>21</v>
      </c>
      <c r="C217" t="s">
        <v>27</v>
      </c>
      <c r="D217">
        <v>5</v>
      </c>
      <c r="E217">
        <v>0</v>
      </c>
      <c r="F217">
        <v>0</v>
      </c>
      <c r="G217">
        <v>0</v>
      </c>
      <c r="H217">
        <v>5</v>
      </c>
      <c r="I217" s="1">
        <v>45292</v>
      </c>
      <c r="J217">
        <v>0</v>
      </c>
      <c r="K217" t="s">
        <v>26</v>
      </c>
    </row>
    <row r="218" spans="1:11">
      <c r="A218" s="1">
        <v>45316</v>
      </c>
      <c r="B218" t="s">
        <v>21</v>
      </c>
      <c r="C218" t="s">
        <v>37</v>
      </c>
      <c r="D218">
        <v>13</v>
      </c>
      <c r="E218">
        <v>0</v>
      </c>
      <c r="F218">
        <v>0</v>
      </c>
      <c r="G218">
        <v>0</v>
      </c>
      <c r="H218">
        <v>13</v>
      </c>
      <c r="I218" s="1">
        <v>45292</v>
      </c>
      <c r="J218">
        <v>0</v>
      </c>
      <c r="K218" t="s">
        <v>26</v>
      </c>
    </row>
    <row r="219" spans="1:11">
      <c r="A219" s="1">
        <v>45316</v>
      </c>
      <c r="B219" t="s">
        <v>21</v>
      </c>
      <c r="C219" t="s">
        <v>45</v>
      </c>
      <c r="D219">
        <v>7</v>
      </c>
      <c r="E219">
        <v>0</v>
      </c>
      <c r="F219">
        <v>0</v>
      </c>
      <c r="G219">
        <v>0</v>
      </c>
      <c r="H219">
        <v>7</v>
      </c>
      <c r="I219" s="1">
        <v>45292</v>
      </c>
      <c r="J219">
        <v>0</v>
      </c>
      <c r="K219" t="s">
        <v>26</v>
      </c>
    </row>
    <row r="220" spans="1:11">
      <c r="A220" s="1">
        <v>45316</v>
      </c>
      <c r="B220" t="s">
        <v>21</v>
      </c>
      <c r="C220" t="s">
        <v>35</v>
      </c>
      <c r="D220">
        <v>8</v>
      </c>
      <c r="E220">
        <v>0</v>
      </c>
      <c r="F220">
        <v>0</v>
      </c>
      <c r="G220">
        <v>0</v>
      </c>
      <c r="H220">
        <v>8</v>
      </c>
      <c r="I220" s="1">
        <v>45292</v>
      </c>
      <c r="J220">
        <v>0</v>
      </c>
      <c r="K220" t="s">
        <v>26</v>
      </c>
    </row>
    <row r="221" spans="1:11">
      <c r="A221" s="1">
        <v>45316</v>
      </c>
      <c r="B221" t="s">
        <v>21</v>
      </c>
      <c r="C221" t="s">
        <v>46</v>
      </c>
      <c r="D221">
        <v>46</v>
      </c>
      <c r="E221">
        <v>0</v>
      </c>
      <c r="F221">
        <v>0</v>
      </c>
      <c r="G221">
        <v>0</v>
      </c>
      <c r="H221">
        <v>46</v>
      </c>
      <c r="I221" s="1">
        <v>45292</v>
      </c>
      <c r="J221">
        <v>0</v>
      </c>
      <c r="K221" t="s">
        <v>26</v>
      </c>
    </row>
    <row r="222" spans="1:11">
      <c r="A222" s="1">
        <v>45316</v>
      </c>
      <c r="B222" t="s">
        <v>21</v>
      </c>
      <c r="C222" t="s">
        <v>29</v>
      </c>
      <c r="D222">
        <v>3</v>
      </c>
      <c r="E222">
        <v>0</v>
      </c>
      <c r="F222">
        <v>0</v>
      </c>
      <c r="G222">
        <v>0</v>
      </c>
      <c r="H222">
        <v>3</v>
      </c>
      <c r="I222" s="1">
        <v>45292</v>
      </c>
      <c r="J222">
        <v>0</v>
      </c>
      <c r="K222" t="s">
        <v>26</v>
      </c>
    </row>
    <row r="223" spans="1:11">
      <c r="A223" s="1">
        <v>45316</v>
      </c>
      <c r="B223" t="s">
        <v>21</v>
      </c>
      <c r="C223" t="s">
        <v>32</v>
      </c>
      <c r="D223">
        <v>7</v>
      </c>
      <c r="E223">
        <v>0</v>
      </c>
      <c r="F223">
        <v>0</v>
      </c>
      <c r="G223">
        <v>0</v>
      </c>
      <c r="H223">
        <v>7</v>
      </c>
      <c r="I223" s="1">
        <v>45292</v>
      </c>
      <c r="J223">
        <v>0</v>
      </c>
      <c r="K223" t="s">
        <v>26</v>
      </c>
    </row>
    <row r="224" spans="1:11">
      <c r="A224" s="1">
        <v>45316</v>
      </c>
      <c r="B224" t="s">
        <v>21</v>
      </c>
      <c r="C224" t="s">
        <v>44</v>
      </c>
      <c r="D224">
        <v>20</v>
      </c>
      <c r="E224">
        <v>0</v>
      </c>
      <c r="F224">
        <v>0</v>
      </c>
      <c r="G224">
        <v>0</v>
      </c>
      <c r="H224">
        <v>20</v>
      </c>
      <c r="I224" s="1">
        <v>45292</v>
      </c>
      <c r="J224">
        <v>0</v>
      </c>
      <c r="K224" t="s">
        <v>26</v>
      </c>
    </row>
    <row r="225" spans="1:11">
      <c r="A225" s="1">
        <v>45351</v>
      </c>
      <c r="B225" t="s">
        <v>21</v>
      </c>
      <c r="C225" t="s">
        <v>37</v>
      </c>
      <c r="D225">
        <v>10</v>
      </c>
      <c r="E225">
        <v>0</v>
      </c>
      <c r="F225">
        <v>0</v>
      </c>
      <c r="G225">
        <v>0</v>
      </c>
      <c r="H225">
        <v>10</v>
      </c>
      <c r="I225" s="1">
        <v>45323</v>
      </c>
      <c r="J225">
        <v>0</v>
      </c>
      <c r="K225" t="s">
        <v>26</v>
      </c>
    </row>
    <row r="226" spans="1:11">
      <c r="A226" s="1">
        <v>45351</v>
      </c>
      <c r="B226" t="s">
        <v>21</v>
      </c>
      <c r="C226" t="s">
        <v>45</v>
      </c>
      <c r="D226">
        <v>19</v>
      </c>
      <c r="E226">
        <v>0</v>
      </c>
      <c r="F226">
        <v>0</v>
      </c>
      <c r="G226">
        <v>0</v>
      </c>
      <c r="H226">
        <v>19</v>
      </c>
      <c r="I226" s="1">
        <v>45323</v>
      </c>
      <c r="J226">
        <v>0</v>
      </c>
      <c r="K226" t="s">
        <v>26</v>
      </c>
    </row>
    <row r="227" spans="1:11">
      <c r="A227" s="1">
        <v>45351</v>
      </c>
      <c r="B227" t="s">
        <v>21</v>
      </c>
      <c r="C227" t="s">
        <v>35</v>
      </c>
      <c r="D227">
        <v>6</v>
      </c>
      <c r="E227">
        <v>0</v>
      </c>
      <c r="F227">
        <v>0</v>
      </c>
      <c r="G227">
        <v>0</v>
      </c>
      <c r="H227">
        <v>6</v>
      </c>
      <c r="I227" s="1">
        <v>45323</v>
      </c>
      <c r="J227">
        <v>0</v>
      </c>
      <c r="K227" t="s">
        <v>26</v>
      </c>
    </row>
    <row r="228" spans="1:11">
      <c r="A228" s="1">
        <v>45351</v>
      </c>
      <c r="B228" t="s">
        <v>21</v>
      </c>
      <c r="C228" t="s">
        <v>32</v>
      </c>
      <c r="D228">
        <v>5</v>
      </c>
      <c r="E228">
        <v>0</v>
      </c>
      <c r="F228">
        <v>0</v>
      </c>
      <c r="G228">
        <v>0</v>
      </c>
      <c r="H228">
        <v>5</v>
      </c>
      <c r="I228" s="1">
        <v>45323</v>
      </c>
      <c r="J228">
        <v>0</v>
      </c>
      <c r="K228" t="s">
        <v>26</v>
      </c>
    </row>
    <row r="229" spans="1:11">
      <c r="A229" s="1">
        <v>45351</v>
      </c>
      <c r="B229" t="s">
        <v>21</v>
      </c>
      <c r="C229" t="s">
        <v>44</v>
      </c>
      <c r="D229">
        <v>21</v>
      </c>
      <c r="E229">
        <v>0</v>
      </c>
      <c r="F229">
        <v>0</v>
      </c>
      <c r="G229">
        <v>0</v>
      </c>
      <c r="H229">
        <v>21</v>
      </c>
      <c r="I229" s="1">
        <v>45323</v>
      </c>
      <c r="J229">
        <v>0</v>
      </c>
      <c r="K229" t="s">
        <v>26</v>
      </c>
    </row>
    <row r="230" spans="1:11">
      <c r="A230" s="1">
        <v>45379</v>
      </c>
      <c r="B230" t="s">
        <v>21</v>
      </c>
      <c r="C230" t="s">
        <v>41</v>
      </c>
      <c r="D230">
        <v>7</v>
      </c>
      <c r="E230">
        <v>0</v>
      </c>
      <c r="F230">
        <v>0</v>
      </c>
      <c r="G230">
        <v>0</v>
      </c>
      <c r="H230">
        <v>7</v>
      </c>
      <c r="I230" s="1">
        <v>45352</v>
      </c>
      <c r="J230">
        <v>0</v>
      </c>
      <c r="K230" t="s">
        <v>26</v>
      </c>
    </row>
    <row r="231" spans="1:11">
      <c r="A231" s="1">
        <v>45379</v>
      </c>
      <c r="B231" t="s">
        <v>21</v>
      </c>
      <c r="C231" t="s">
        <v>37</v>
      </c>
      <c r="D231">
        <v>14</v>
      </c>
      <c r="E231">
        <v>0</v>
      </c>
      <c r="F231">
        <v>0</v>
      </c>
      <c r="G231">
        <v>0</v>
      </c>
      <c r="H231">
        <v>14</v>
      </c>
      <c r="I231" s="1">
        <v>45352</v>
      </c>
      <c r="J231">
        <v>0</v>
      </c>
      <c r="K231" t="s">
        <v>26</v>
      </c>
    </row>
    <row r="232" spans="1:11">
      <c r="A232" s="1">
        <v>45379</v>
      </c>
      <c r="B232" t="s">
        <v>21</v>
      </c>
      <c r="C232" t="s">
        <v>47</v>
      </c>
      <c r="D232">
        <v>7</v>
      </c>
      <c r="E232">
        <v>0</v>
      </c>
      <c r="F232">
        <v>0</v>
      </c>
      <c r="G232">
        <v>0</v>
      </c>
      <c r="H232">
        <v>7</v>
      </c>
      <c r="I232" s="1">
        <v>45352</v>
      </c>
      <c r="J232">
        <v>0</v>
      </c>
      <c r="K232" t="s">
        <v>26</v>
      </c>
    </row>
    <row r="233" spans="1:11">
      <c r="A233" s="1">
        <v>45379</v>
      </c>
      <c r="B233" t="s">
        <v>21</v>
      </c>
      <c r="C233" t="s">
        <v>45</v>
      </c>
      <c r="D233">
        <v>5</v>
      </c>
      <c r="E233">
        <v>0</v>
      </c>
      <c r="F233">
        <v>0</v>
      </c>
      <c r="G233">
        <v>0</v>
      </c>
      <c r="H233">
        <v>5</v>
      </c>
      <c r="I233" s="1">
        <v>45352</v>
      </c>
      <c r="J233">
        <v>0</v>
      </c>
      <c r="K233" t="s">
        <v>26</v>
      </c>
    </row>
    <row r="234" spans="1:11">
      <c r="A234" s="1">
        <v>45379</v>
      </c>
      <c r="B234" t="s">
        <v>21</v>
      </c>
      <c r="C234" t="s">
        <v>35</v>
      </c>
      <c r="D234">
        <v>11</v>
      </c>
      <c r="E234">
        <v>0</v>
      </c>
      <c r="F234">
        <v>0</v>
      </c>
      <c r="G234">
        <v>0</v>
      </c>
      <c r="H234">
        <v>11</v>
      </c>
      <c r="I234" s="1">
        <v>45352</v>
      </c>
      <c r="J234">
        <v>0</v>
      </c>
      <c r="K234" t="s">
        <v>26</v>
      </c>
    </row>
    <row r="235" spans="1:11">
      <c r="A235" s="1">
        <v>45379</v>
      </c>
      <c r="B235" t="s">
        <v>21</v>
      </c>
      <c r="C235" t="s">
        <v>32</v>
      </c>
      <c r="D235">
        <v>5</v>
      </c>
      <c r="E235">
        <v>0</v>
      </c>
      <c r="F235">
        <v>0</v>
      </c>
      <c r="G235">
        <v>0</v>
      </c>
      <c r="H235">
        <v>5</v>
      </c>
      <c r="I235" s="1">
        <v>45352</v>
      </c>
      <c r="J235">
        <v>0</v>
      </c>
      <c r="K235" t="s">
        <v>26</v>
      </c>
    </row>
    <row r="236" spans="1:11">
      <c r="A236" s="1">
        <v>45407</v>
      </c>
      <c r="B236" t="s">
        <v>40</v>
      </c>
      <c r="C236" t="s">
        <v>27</v>
      </c>
      <c r="D236">
        <v>551</v>
      </c>
      <c r="E236">
        <v>0</v>
      </c>
      <c r="F236">
        <v>0</v>
      </c>
      <c r="G236">
        <v>0</v>
      </c>
      <c r="H236">
        <v>551</v>
      </c>
      <c r="I236" s="1">
        <v>45383</v>
      </c>
      <c r="J236">
        <v>0</v>
      </c>
      <c r="K236" t="s">
        <v>26</v>
      </c>
    </row>
    <row r="237" spans="1:11">
      <c r="A237" s="1">
        <v>45407</v>
      </c>
      <c r="B237" t="s">
        <v>21</v>
      </c>
      <c r="C237" t="s">
        <v>37</v>
      </c>
      <c r="D237">
        <v>5</v>
      </c>
      <c r="E237">
        <v>0</v>
      </c>
      <c r="F237">
        <v>0</v>
      </c>
      <c r="G237">
        <v>0</v>
      </c>
      <c r="H237">
        <v>5</v>
      </c>
      <c r="I237" s="1">
        <v>45383</v>
      </c>
      <c r="J237">
        <v>0</v>
      </c>
      <c r="K237" t="s">
        <v>26</v>
      </c>
    </row>
    <row r="238" spans="1:11">
      <c r="A238" s="1">
        <v>45407</v>
      </c>
      <c r="B238" t="s">
        <v>21</v>
      </c>
      <c r="C238" t="s">
        <v>47</v>
      </c>
      <c r="D238">
        <v>4</v>
      </c>
      <c r="E238">
        <v>0</v>
      </c>
      <c r="F238">
        <v>0</v>
      </c>
      <c r="G238">
        <v>0</v>
      </c>
      <c r="H238">
        <v>4</v>
      </c>
      <c r="I238" s="1">
        <v>45383</v>
      </c>
      <c r="J238">
        <v>0</v>
      </c>
      <c r="K238" t="s">
        <v>26</v>
      </c>
    </row>
    <row r="239" spans="1:11">
      <c r="A239" s="1">
        <v>45407</v>
      </c>
      <c r="B239" t="s">
        <v>21</v>
      </c>
      <c r="C239" t="s">
        <v>32</v>
      </c>
      <c r="D239">
        <v>4</v>
      </c>
      <c r="E239">
        <v>0</v>
      </c>
      <c r="F239">
        <v>0</v>
      </c>
      <c r="G239">
        <v>0</v>
      </c>
      <c r="H239">
        <v>4</v>
      </c>
      <c r="I239" s="1">
        <v>45383</v>
      </c>
      <c r="J239">
        <v>0</v>
      </c>
      <c r="K239" t="s">
        <v>26</v>
      </c>
    </row>
    <row r="240" spans="1:11">
      <c r="A240" s="1">
        <v>45442</v>
      </c>
      <c r="B240" t="s">
        <v>21</v>
      </c>
      <c r="C240" t="s">
        <v>32</v>
      </c>
      <c r="D240">
        <v>4</v>
      </c>
      <c r="E240">
        <v>0</v>
      </c>
      <c r="F240">
        <v>0</v>
      </c>
      <c r="G240">
        <v>0</v>
      </c>
      <c r="H240">
        <v>4</v>
      </c>
      <c r="I240" s="1">
        <v>45413</v>
      </c>
      <c r="J240">
        <v>0</v>
      </c>
      <c r="K240" t="s">
        <v>26</v>
      </c>
    </row>
    <row r="241" spans="1:11">
      <c r="A241" s="1">
        <v>45470</v>
      </c>
      <c r="B241" t="s">
        <v>40</v>
      </c>
      <c r="C241" t="s">
        <v>27</v>
      </c>
      <c r="D241">
        <v>420</v>
      </c>
      <c r="E241">
        <v>0</v>
      </c>
      <c r="F241">
        <v>0</v>
      </c>
      <c r="G241">
        <v>0</v>
      </c>
      <c r="H241">
        <v>420</v>
      </c>
      <c r="I241" s="1">
        <v>45444</v>
      </c>
      <c r="J241">
        <v>0</v>
      </c>
      <c r="K241" t="s">
        <v>26</v>
      </c>
    </row>
    <row r="242" spans="1:11">
      <c r="A242" s="1">
        <v>45470</v>
      </c>
      <c r="B242" t="s">
        <v>21</v>
      </c>
      <c r="C242" t="s">
        <v>28</v>
      </c>
      <c r="D242">
        <v>2</v>
      </c>
      <c r="E242">
        <v>0</v>
      </c>
      <c r="F242">
        <v>0</v>
      </c>
      <c r="G242">
        <v>0</v>
      </c>
      <c r="H242">
        <v>2</v>
      </c>
      <c r="I242" s="1">
        <v>45444</v>
      </c>
      <c r="J242">
        <v>0</v>
      </c>
      <c r="K242" t="s">
        <v>26</v>
      </c>
    </row>
    <row r="243" spans="1:11">
      <c r="A243" s="1">
        <v>45470</v>
      </c>
      <c r="B243" t="s">
        <v>21</v>
      </c>
      <c r="C243" t="s">
        <v>47</v>
      </c>
      <c r="D243">
        <v>5</v>
      </c>
      <c r="E243">
        <v>0</v>
      </c>
      <c r="F243">
        <v>0</v>
      </c>
      <c r="G243">
        <v>0</v>
      </c>
      <c r="H243">
        <v>5</v>
      </c>
      <c r="I243" s="1">
        <v>45444</v>
      </c>
      <c r="J243">
        <v>0</v>
      </c>
      <c r="K243" t="s">
        <v>26</v>
      </c>
    </row>
    <row r="244" spans="1:11">
      <c r="A244" s="1">
        <v>45470</v>
      </c>
      <c r="B244" t="s">
        <v>21</v>
      </c>
      <c r="C244" t="s">
        <v>29</v>
      </c>
      <c r="D244">
        <v>2</v>
      </c>
      <c r="E244">
        <v>0</v>
      </c>
      <c r="F244">
        <v>0</v>
      </c>
      <c r="G244">
        <v>0</v>
      </c>
      <c r="H244">
        <v>2</v>
      </c>
      <c r="I244" s="1">
        <v>45444</v>
      </c>
      <c r="J244">
        <v>0</v>
      </c>
      <c r="K244" t="s">
        <v>26</v>
      </c>
    </row>
    <row r="245" spans="1:11">
      <c r="A245" s="1">
        <v>45470</v>
      </c>
      <c r="B245" t="s">
        <v>21</v>
      </c>
      <c r="C245" t="s">
        <v>32</v>
      </c>
      <c r="D245">
        <v>2</v>
      </c>
      <c r="E245">
        <v>0</v>
      </c>
      <c r="F245">
        <v>0</v>
      </c>
      <c r="G245">
        <v>0</v>
      </c>
      <c r="H245">
        <v>2</v>
      </c>
      <c r="I245" s="1">
        <v>45444</v>
      </c>
      <c r="J245">
        <v>0</v>
      </c>
      <c r="K245" t="s">
        <v>26</v>
      </c>
    </row>
    <row r="246" spans="1:11">
      <c r="A246" s="1">
        <v>45498</v>
      </c>
      <c r="B246" t="s">
        <v>40</v>
      </c>
      <c r="C246" t="s">
        <v>41</v>
      </c>
      <c r="D246">
        <v>180</v>
      </c>
      <c r="E246">
        <v>0</v>
      </c>
      <c r="F246">
        <v>0</v>
      </c>
      <c r="G246">
        <v>0</v>
      </c>
      <c r="H246">
        <v>180</v>
      </c>
      <c r="I246" s="1">
        <v>45474</v>
      </c>
      <c r="J246">
        <v>0</v>
      </c>
      <c r="K246" t="s">
        <v>26</v>
      </c>
    </row>
    <row r="247" spans="1:11">
      <c r="A247" s="1">
        <v>45498</v>
      </c>
      <c r="B247" t="s">
        <v>40</v>
      </c>
      <c r="C247" t="s">
        <v>27</v>
      </c>
      <c r="D247">
        <v>369</v>
      </c>
      <c r="E247">
        <v>0</v>
      </c>
      <c r="F247">
        <v>0</v>
      </c>
      <c r="G247">
        <v>0</v>
      </c>
      <c r="H247">
        <v>369</v>
      </c>
      <c r="I247" s="1">
        <v>45474</v>
      </c>
      <c r="J247">
        <v>0</v>
      </c>
      <c r="K247" t="s">
        <v>26</v>
      </c>
    </row>
    <row r="248" spans="1:11">
      <c r="A248" s="1">
        <v>45498</v>
      </c>
      <c r="B248" t="s">
        <v>21</v>
      </c>
      <c r="C248" t="s">
        <v>48</v>
      </c>
      <c r="D248">
        <v>11</v>
      </c>
      <c r="E248">
        <v>0</v>
      </c>
      <c r="F248">
        <v>0</v>
      </c>
      <c r="G248">
        <v>0</v>
      </c>
      <c r="H248">
        <v>11</v>
      </c>
      <c r="I248" s="1">
        <v>45474</v>
      </c>
      <c r="J248">
        <v>0</v>
      </c>
      <c r="K248" t="s">
        <v>26</v>
      </c>
    </row>
    <row r="249" spans="1:11">
      <c r="A249" s="1">
        <v>45498</v>
      </c>
      <c r="B249" t="s">
        <v>21</v>
      </c>
      <c r="C249" t="s">
        <v>41</v>
      </c>
      <c r="D249">
        <v>4</v>
      </c>
      <c r="E249">
        <v>0</v>
      </c>
      <c r="F249">
        <v>0</v>
      </c>
      <c r="G249">
        <v>0</v>
      </c>
      <c r="H249">
        <v>4</v>
      </c>
      <c r="I249" s="1">
        <v>45474</v>
      </c>
      <c r="J249">
        <v>0</v>
      </c>
      <c r="K249" t="s">
        <v>26</v>
      </c>
    </row>
    <row r="250" spans="1:11">
      <c r="A250" s="1">
        <v>45498</v>
      </c>
      <c r="B250" t="s">
        <v>21</v>
      </c>
      <c r="C250" t="s">
        <v>27</v>
      </c>
      <c r="D250">
        <v>2</v>
      </c>
      <c r="E250">
        <v>0</v>
      </c>
      <c r="F250">
        <v>0</v>
      </c>
      <c r="G250">
        <v>0</v>
      </c>
      <c r="H250">
        <v>2</v>
      </c>
      <c r="I250" s="1">
        <v>45474</v>
      </c>
      <c r="J250">
        <v>0</v>
      </c>
      <c r="K250" t="s">
        <v>26</v>
      </c>
    </row>
    <row r="251" spans="1:11">
      <c r="A251" s="1">
        <v>45498</v>
      </c>
      <c r="B251" t="s">
        <v>21</v>
      </c>
      <c r="C251" t="s">
        <v>28</v>
      </c>
      <c r="D251">
        <v>2</v>
      </c>
      <c r="E251">
        <v>0</v>
      </c>
      <c r="F251">
        <v>0</v>
      </c>
      <c r="G251">
        <v>0</v>
      </c>
      <c r="H251">
        <v>2</v>
      </c>
      <c r="I251" s="1">
        <v>45474</v>
      </c>
      <c r="J251">
        <v>0</v>
      </c>
      <c r="K251" t="s">
        <v>26</v>
      </c>
    </row>
    <row r="252" spans="1:11">
      <c r="A252" s="1">
        <v>45498</v>
      </c>
      <c r="B252" t="s">
        <v>21</v>
      </c>
      <c r="C252" t="s">
        <v>47</v>
      </c>
      <c r="D252">
        <v>3</v>
      </c>
      <c r="E252">
        <v>0</v>
      </c>
      <c r="F252">
        <v>0</v>
      </c>
      <c r="G252">
        <v>0</v>
      </c>
      <c r="H252">
        <v>3</v>
      </c>
      <c r="I252" s="1">
        <v>45474</v>
      </c>
      <c r="J252">
        <v>0</v>
      </c>
      <c r="K252" t="s">
        <v>26</v>
      </c>
    </row>
    <row r="253" spans="1:11">
      <c r="A253" s="1">
        <v>45498</v>
      </c>
      <c r="B253" t="s">
        <v>21</v>
      </c>
      <c r="C253" t="s">
        <v>29</v>
      </c>
      <c r="D253">
        <v>2</v>
      </c>
      <c r="E253">
        <v>0</v>
      </c>
      <c r="F253">
        <v>0</v>
      </c>
      <c r="G253">
        <v>0</v>
      </c>
      <c r="H253">
        <v>2</v>
      </c>
      <c r="I253" s="1">
        <v>45474</v>
      </c>
      <c r="J253">
        <v>0</v>
      </c>
      <c r="K253" t="s">
        <v>26</v>
      </c>
    </row>
    <row r="254" spans="1:11">
      <c r="A254" s="1">
        <v>45533</v>
      </c>
      <c r="B254" t="s">
        <v>40</v>
      </c>
      <c r="C254" t="s">
        <v>42</v>
      </c>
      <c r="D254">
        <v>642</v>
      </c>
      <c r="E254">
        <v>0</v>
      </c>
      <c r="F254">
        <v>0</v>
      </c>
      <c r="G254">
        <v>0</v>
      </c>
      <c r="H254">
        <v>642</v>
      </c>
      <c r="I254" s="1">
        <v>45505</v>
      </c>
      <c r="J254">
        <v>0</v>
      </c>
      <c r="K254" t="s">
        <v>26</v>
      </c>
    </row>
    <row r="255" spans="1:11">
      <c r="A255" s="1">
        <v>45533</v>
      </c>
      <c r="B255" t="s">
        <v>21</v>
      </c>
      <c r="C255" t="s">
        <v>48</v>
      </c>
      <c r="D255">
        <v>9</v>
      </c>
      <c r="E255">
        <v>0</v>
      </c>
      <c r="F255">
        <v>0</v>
      </c>
      <c r="G255">
        <v>0</v>
      </c>
      <c r="H255">
        <v>9</v>
      </c>
      <c r="I255" s="1">
        <v>45505</v>
      </c>
      <c r="J255">
        <v>0</v>
      </c>
      <c r="K255" t="s">
        <v>26</v>
      </c>
    </row>
    <row r="256" spans="1:11">
      <c r="A256" s="1">
        <v>45533</v>
      </c>
      <c r="B256" t="s">
        <v>21</v>
      </c>
      <c r="C256" t="s">
        <v>41</v>
      </c>
      <c r="D256">
        <v>9</v>
      </c>
      <c r="E256">
        <v>0</v>
      </c>
      <c r="F256">
        <v>0</v>
      </c>
      <c r="G256">
        <v>0</v>
      </c>
      <c r="H256">
        <v>9</v>
      </c>
      <c r="I256" s="1">
        <v>45505</v>
      </c>
      <c r="J256">
        <v>0</v>
      </c>
      <c r="K256" t="s">
        <v>26</v>
      </c>
    </row>
    <row r="257" spans="1:11">
      <c r="A257" s="1">
        <v>45533</v>
      </c>
      <c r="B257" t="s">
        <v>21</v>
      </c>
      <c r="C257" t="s">
        <v>47</v>
      </c>
      <c r="D257">
        <v>6</v>
      </c>
      <c r="E257">
        <v>0</v>
      </c>
      <c r="F257">
        <v>0</v>
      </c>
      <c r="G257">
        <v>0</v>
      </c>
      <c r="H257">
        <v>6</v>
      </c>
      <c r="I257" s="1">
        <v>45505</v>
      </c>
      <c r="J257">
        <v>0</v>
      </c>
      <c r="K257" t="s">
        <v>26</v>
      </c>
    </row>
    <row r="258" spans="1:11">
      <c r="A258" s="1">
        <v>45533</v>
      </c>
      <c r="B258" t="s">
        <v>21</v>
      </c>
      <c r="C258" t="s">
        <v>45</v>
      </c>
      <c r="D258">
        <v>4</v>
      </c>
      <c r="E258">
        <v>0</v>
      </c>
      <c r="F258">
        <v>0</v>
      </c>
      <c r="G258">
        <v>0</v>
      </c>
      <c r="H258">
        <v>4</v>
      </c>
      <c r="I258" s="1">
        <v>45505</v>
      </c>
      <c r="J258">
        <v>0</v>
      </c>
      <c r="K258" t="s">
        <v>26</v>
      </c>
    </row>
    <row r="259" spans="1:11">
      <c r="A259" s="1">
        <v>45533</v>
      </c>
      <c r="B259" t="s">
        <v>21</v>
      </c>
      <c r="C259" t="s">
        <v>29</v>
      </c>
      <c r="D259">
        <v>3</v>
      </c>
      <c r="E259">
        <v>0</v>
      </c>
      <c r="F259">
        <v>0</v>
      </c>
      <c r="G259">
        <v>0</v>
      </c>
      <c r="H259">
        <v>3</v>
      </c>
      <c r="I259" s="1">
        <v>45505</v>
      </c>
      <c r="J259">
        <v>0</v>
      </c>
      <c r="K259" t="s">
        <v>26</v>
      </c>
    </row>
    <row r="260" spans="1:11">
      <c r="A260" s="1">
        <v>45533</v>
      </c>
      <c r="B260" t="s">
        <v>21</v>
      </c>
      <c r="C260" t="s">
        <v>49</v>
      </c>
      <c r="D260">
        <v>10</v>
      </c>
      <c r="E260">
        <v>0</v>
      </c>
      <c r="F260">
        <v>0</v>
      </c>
      <c r="G260">
        <v>0</v>
      </c>
      <c r="H260">
        <v>10</v>
      </c>
      <c r="I260" s="1">
        <v>45505</v>
      </c>
      <c r="J260">
        <v>0</v>
      </c>
      <c r="K260" t="s">
        <v>26</v>
      </c>
    </row>
    <row r="261" spans="1:11">
      <c r="A261" s="1">
        <v>45561</v>
      </c>
      <c r="B261" t="s">
        <v>21</v>
      </c>
      <c r="C261" t="s">
        <v>41</v>
      </c>
      <c r="D261">
        <v>10</v>
      </c>
      <c r="E261">
        <v>0</v>
      </c>
      <c r="F261">
        <v>0</v>
      </c>
      <c r="G261">
        <v>0</v>
      </c>
      <c r="H261">
        <v>10</v>
      </c>
      <c r="I261" s="1">
        <v>45536</v>
      </c>
      <c r="J261">
        <v>0</v>
      </c>
      <c r="K261" t="s">
        <v>26</v>
      </c>
    </row>
    <row r="262" spans="1:11">
      <c r="A262" s="1">
        <v>45561</v>
      </c>
      <c r="B262" t="s">
        <v>21</v>
      </c>
      <c r="C262" t="s">
        <v>37</v>
      </c>
      <c r="D262">
        <v>8</v>
      </c>
      <c r="E262">
        <v>0</v>
      </c>
      <c r="F262">
        <v>0</v>
      </c>
      <c r="G262">
        <v>0</v>
      </c>
      <c r="H262">
        <v>8</v>
      </c>
      <c r="I262" s="1">
        <v>45536</v>
      </c>
      <c r="J262">
        <v>0</v>
      </c>
      <c r="K262" t="s">
        <v>26</v>
      </c>
    </row>
    <row r="263" spans="1:11">
      <c r="A263" s="1">
        <v>45561</v>
      </c>
      <c r="B263" t="s">
        <v>21</v>
      </c>
      <c r="C263" t="s">
        <v>47</v>
      </c>
      <c r="D263">
        <v>5</v>
      </c>
      <c r="E263">
        <v>0</v>
      </c>
      <c r="F263">
        <v>0</v>
      </c>
      <c r="G263">
        <v>0</v>
      </c>
      <c r="H263">
        <v>5</v>
      </c>
      <c r="I263" s="1">
        <v>45536</v>
      </c>
      <c r="J263">
        <v>0</v>
      </c>
      <c r="K263" t="s">
        <v>26</v>
      </c>
    </row>
    <row r="264" spans="1:11">
      <c r="A264" s="1">
        <v>45561</v>
      </c>
      <c r="B264" t="s">
        <v>21</v>
      </c>
      <c r="C264" t="s">
        <v>45</v>
      </c>
      <c r="D264">
        <v>4</v>
      </c>
      <c r="E264">
        <v>0</v>
      </c>
      <c r="F264">
        <v>0</v>
      </c>
      <c r="G264">
        <v>0</v>
      </c>
      <c r="H264">
        <v>4</v>
      </c>
      <c r="I264" s="1">
        <v>45536</v>
      </c>
      <c r="J264">
        <v>0</v>
      </c>
      <c r="K264" t="s">
        <v>26</v>
      </c>
    </row>
    <row r="265" spans="1:11">
      <c r="A265" s="1">
        <v>45561</v>
      </c>
      <c r="B265" t="s">
        <v>21</v>
      </c>
      <c r="C265" t="s">
        <v>32</v>
      </c>
      <c r="D265">
        <v>4</v>
      </c>
      <c r="E265">
        <v>0</v>
      </c>
      <c r="F265">
        <v>0</v>
      </c>
      <c r="G265">
        <v>0</v>
      </c>
      <c r="H265">
        <v>4</v>
      </c>
      <c r="I265" s="1">
        <v>45536</v>
      </c>
      <c r="J265">
        <v>0</v>
      </c>
      <c r="K265" t="s">
        <v>26</v>
      </c>
    </row>
    <row r="266" spans="1:11">
      <c r="A266" s="1">
        <v>45561</v>
      </c>
      <c r="B266" t="s">
        <v>21</v>
      </c>
      <c r="C266" t="s">
        <v>49</v>
      </c>
      <c r="D266">
        <v>8</v>
      </c>
      <c r="E266">
        <v>0</v>
      </c>
      <c r="F266">
        <v>0</v>
      </c>
      <c r="G266">
        <v>0</v>
      </c>
      <c r="H266">
        <v>8</v>
      </c>
      <c r="I266" s="1">
        <v>45536</v>
      </c>
      <c r="J266">
        <v>0</v>
      </c>
      <c r="K266" t="s">
        <v>26</v>
      </c>
    </row>
    <row r="267" spans="1:11">
      <c r="A267" s="1">
        <v>45596</v>
      </c>
      <c r="B267" t="s">
        <v>40</v>
      </c>
      <c r="C267" t="s">
        <v>27</v>
      </c>
      <c r="D267">
        <v>468</v>
      </c>
      <c r="E267">
        <v>0</v>
      </c>
      <c r="F267">
        <v>0</v>
      </c>
      <c r="G267">
        <v>0</v>
      </c>
      <c r="H267">
        <v>468</v>
      </c>
      <c r="I267" s="1">
        <v>45566</v>
      </c>
      <c r="J267">
        <v>0</v>
      </c>
      <c r="K267" t="s">
        <v>26</v>
      </c>
    </row>
    <row r="268" spans="1:11">
      <c r="A268" s="1">
        <v>45596</v>
      </c>
      <c r="B268" t="s">
        <v>21</v>
      </c>
      <c r="C268" t="s">
        <v>41</v>
      </c>
      <c r="D268">
        <v>9</v>
      </c>
      <c r="E268">
        <v>0</v>
      </c>
      <c r="F268">
        <v>0</v>
      </c>
      <c r="G268">
        <v>0</v>
      </c>
      <c r="H268">
        <v>9</v>
      </c>
      <c r="I268" s="1">
        <v>45566</v>
      </c>
      <c r="J268">
        <v>0</v>
      </c>
      <c r="K268" t="s">
        <v>26</v>
      </c>
    </row>
    <row r="269" spans="1:11">
      <c r="A269" s="1">
        <v>45596</v>
      </c>
      <c r="B269" t="s">
        <v>21</v>
      </c>
      <c r="C269" t="s">
        <v>27</v>
      </c>
      <c r="D269">
        <v>2</v>
      </c>
      <c r="E269">
        <v>0</v>
      </c>
      <c r="F269">
        <v>0</v>
      </c>
      <c r="G269">
        <v>0</v>
      </c>
      <c r="H269">
        <v>2</v>
      </c>
      <c r="I269" s="1">
        <v>45566</v>
      </c>
      <c r="J269">
        <v>0</v>
      </c>
      <c r="K269" t="s">
        <v>26</v>
      </c>
    </row>
    <row r="270" spans="1:11">
      <c r="A270" s="1">
        <v>45596</v>
      </c>
      <c r="B270" t="s">
        <v>21</v>
      </c>
      <c r="C270" t="s">
        <v>37</v>
      </c>
      <c r="D270">
        <v>11</v>
      </c>
      <c r="E270">
        <v>0</v>
      </c>
      <c r="F270">
        <v>0</v>
      </c>
      <c r="G270">
        <v>0</v>
      </c>
      <c r="H270">
        <v>11</v>
      </c>
      <c r="I270" s="1">
        <v>45566</v>
      </c>
      <c r="J270">
        <v>0</v>
      </c>
      <c r="K270" t="s">
        <v>26</v>
      </c>
    </row>
    <row r="271" spans="1:11">
      <c r="A271" s="1">
        <v>45596</v>
      </c>
      <c r="B271" t="s">
        <v>21</v>
      </c>
      <c r="C271" t="s">
        <v>45</v>
      </c>
      <c r="D271">
        <v>3</v>
      </c>
      <c r="E271">
        <v>0</v>
      </c>
      <c r="F271">
        <v>0</v>
      </c>
      <c r="G271">
        <v>0</v>
      </c>
      <c r="H271">
        <v>3</v>
      </c>
      <c r="I271" s="1">
        <v>45566</v>
      </c>
      <c r="J271">
        <v>0</v>
      </c>
      <c r="K271" t="s">
        <v>26</v>
      </c>
    </row>
    <row r="272" spans="1:11">
      <c r="A272" s="1">
        <v>45596</v>
      </c>
      <c r="B272" t="s">
        <v>21</v>
      </c>
      <c r="C272" t="s">
        <v>46</v>
      </c>
      <c r="D272">
        <v>15</v>
      </c>
      <c r="E272">
        <v>0</v>
      </c>
      <c r="F272">
        <v>0</v>
      </c>
      <c r="G272">
        <v>0</v>
      </c>
      <c r="H272">
        <v>15</v>
      </c>
      <c r="I272" s="1">
        <v>45566</v>
      </c>
      <c r="J272">
        <v>0</v>
      </c>
      <c r="K272" t="s">
        <v>26</v>
      </c>
    </row>
    <row r="273" spans="1:11">
      <c r="A273" s="1">
        <v>45596</v>
      </c>
      <c r="B273" t="s">
        <v>21</v>
      </c>
      <c r="C273" t="s">
        <v>29</v>
      </c>
      <c r="D273">
        <v>3</v>
      </c>
      <c r="E273">
        <v>0</v>
      </c>
      <c r="F273">
        <v>0</v>
      </c>
      <c r="G273">
        <v>0</v>
      </c>
      <c r="H273">
        <v>3</v>
      </c>
      <c r="I273" s="1">
        <v>45566</v>
      </c>
      <c r="J273">
        <v>0</v>
      </c>
      <c r="K273" t="s">
        <v>26</v>
      </c>
    </row>
    <row r="274" spans="1:11">
      <c r="A274" s="1">
        <v>45596</v>
      </c>
      <c r="B274" t="s">
        <v>21</v>
      </c>
      <c r="C274" t="s">
        <v>32</v>
      </c>
      <c r="D274">
        <v>3</v>
      </c>
      <c r="E274">
        <v>0</v>
      </c>
      <c r="F274">
        <v>0</v>
      </c>
      <c r="G274">
        <v>0</v>
      </c>
      <c r="H274">
        <v>3</v>
      </c>
      <c r="I274" s="1">
        <v>45566</v>
      </c>
      <c r="J274">
        <v>0</v>
      </c>
      <c r="K274" t="s">
        <v>26</v>
      </c>
    </row>
    <row r="275" spans="1:11">
      <c r="A275" s="1">
        <v>45596</v>
      </c>
      <c r="B275" t="s">
        <v>21</v>
      </c>
      <c r="C275" t="s">
        <v>49</v>
      </c>
      <c r="D275">
        <v>9</v>
      </c>
      <c r="E275">
        <v>0</v>
      </c>
      <c r="F275">
        <v>0</v>
      </c>
      <c r="G275">
        <v>0</v>
      </c>
      <c r="H275">
        <v>9</v>
      </c>
      <c r="I275" s="1">
        <v>45566</v>
      </c>
      <c r="J275">
        <v>0</v>
      </c>
      <c r="K275" t="s">
        <v>26</v>
      </c>
    </row>
    <row r="276" spans="1:11">
      <c r="A276" s="1">
        <v>45624</v>
      </c>
      <c r="B276" t="s">
        <v>21</v>
      </c>
      <c r="C276" t="s">
        <v>41</v>
      </c>
      <c r="D276">
        <v>17</v>
      </c>
      <c r="E276">
        <v>0</v>
      </c>
      <c r="F276">
        <v>0</v>
      </c>
      <c r="G276">
        <v>0</v>
      </c>
      <c r="H276">
        <v>17</v>
      </c>
      <c r="I276" s="1">
        <v>45597</v>
      </c>
      <c r="J276">
        <v>0</v>
      </c>
      <c r="K276" t="s">
        <v>26</v>
      </c>
    </row>
    <row r="277" spans="1:11">
      <c r="A277" s="1">
        <v>45624</v>
      </c>
      <c r="B277" t="s">
        <v>21</v>
      </c>
      <c r="C277" t="s">
        <v>27</v>
      </c>
      <c r="D277">
        <v>2</v>
      </c>
      <c r="E277">
        <v>0</v>
      </c>
      <c r="F277">
        <v>0</v>
      </c>
      <c r="G277">
        <v>0</v>
      </c>
      <c r="H277">
        <v>2</v>
      </c>
      <c r="I277" s="1">
        <v>45597</v>
      </c>
      <c r="J277">
        <v>0</v>
      </c>
      <c r="K277" t="s">
        <v>26</v>
      </c>
    </row>
    <row r="278" spans="1:11">
      <c r="A278" s="1">
        <v>45624</v>
      </c>
      <c r="B278" t="s">
        <v>21</v>
      </c>
      <c r="C278" t="s">
        <v>37</v>
      </c>
      <c r="D278">
        <v>14</v>
      </c>
      <c r="E278">
        <v>0</v>
      </c>
      <c r="F278">
        <v>0</v>
      </c>
      <c r="G278">
        <v>0</v>
      </c>
      <c r="H278">
        <v>14</v>
      </c>
      <c r="I278" s="1">
        <v>45597</v>
      </c>
      <c r="J278">
        <v>0</v>
      </c>
      <c r="K278" t="s">
        <v>26</v>
      </c>
    </row>
    <row r="279" spans="1:11">
      <c r="A279" s="1">
        <v>45624</v>
      </c>
      <c r="B279" t="s">
        <v>21</v>
      </c>
      <c r="C279" t="s">
        <v>45</v>
      </c>
      <c r="D279">
        <v>7</v>
      </c>
      <c r="E279">
        <v>0</v>
      </c>
      <c r="F279">
        <v>0</v>
      </c>
      <c r="G279">
        <v>0</v>
      </c>
      <c r="H279">
        <v>7</v>
      </c>
      <c r="I279" s="1">
        <v>45597</v>
      </c>
      <c r="J279">
        <v>0</v>
      </c>
      <c r="K279" t="s">
        <v>26</v>
      </c>
    </row>
    <row r="280" spans="1:11">
      <c r="A280" s="1">
        <v>45624</v>
      </c>
      <c r="B280" t="s">
        <v>21</v>
      </c>
      <c r="C280" t="s">
        <v>43</v>
      </c>
      <c r="D280">
        <v>171</v>
      </c>
      <c r="E280">
        <v>0</v>
      </c>
      <c r="F280">
        <v>0</v>
      </c>
      <c r="G280">
        <v>0</v>
      </c>
      <c r="H280">
        <v>171</v>
      </c>
      <c r="I280" s="1">
        <v>45597</v>
      </c>
      <c r="J280">
        <v>0</v>
      </c>
      <c r="K280" t="s">
        <v>26</v>
      </c>
    </row>
    <row r="281" spans="1:11">
      <c r="A281" s="1">
        <v>45624</v>
      </c>
      <c r="B281" t="s">
        <v>21</v>
      </c>
      <c r="C281" t="s">
        <v>29</v>
      </c>
      <c r="D281">
        <v>4</v>
      </c>
      <c r="E281">
        <v>0</v>
      </c>
      <c r="F281">
        <v>0</v>
      </c>
      <c r="G281">
        <v>0</v>
      </c>
      <c r="H281">
        <v>4</v>
      </c>
      <c r="I281" s="1">
        <v>45597</v>
      </c>
      <c r="J281">
        <v>0</v>
      </c>
      <c r="K281" t="s">
        <v>26</v>
      </c>
    </row>
    <row r="282" spans="1:11">
      <c r="A282" s="1">
        <v>45624</v>
      </c>
      <c r="B282" t="s">
        <v>21</v>
      </c>
      <c r="C282" t="s">
        <v>32</v>
      </c>
      <c r="D282">
        <v>8</v>
      </c>
      <c r="E282">
        <v>0</v>
      </c>
      <c r="F282">
        <v>0</v>
      </c>
      <c r="G282">
        <v>0</v>
      </c>
      <c r="H282">
        <v>8</v>
      </c>
      <c r="I282" s="1">
        <v>45597</v>
      </c>
      <c r="J282">
        <v>0</v>
      </c>
      <c r="K282" t="s">
        <v>26</v>
      </c>
    </row>
    <row r="283" spans="1:11">
      <c r="A283" s="1">
        <v>45624</v>
      </c>
      <c r="B283" t="s">
        <v>21</v>
      </c>
      <c r="C283" t="s">
        <v>49</v>
      </c>
      <c r="D283">
        <v>13</v>
      </c>
      <c r="E283">
        <v>0</v>
      </c>
      <c r="F283">
        <v>0</v>
      </c>
      <c r="G283">
        <v>0</v>
      </c>
      <c r="H283">
        <v>13</v>
      </c>
      <c r="I283" s="1">
        <v>45597</v>
      </c>
      <c r="J283">
        <v>0</v>
      </c>
      <c r="K283" t="s">
        <v>26</v>
      </c>
    </row>
    <row r="284" spans="1:11">
      <c r="A284" s="1">
        <v>45645</v>
      </c>
      <c r="B284" t="s">
        <v>40</v>
      </c>
      <c r="C284" t="s">
        <v>27</v>
      </c>
      <c r="D284">
        <v>518</v>
      </c>
      <c r="E284">
        <v>0</v>
      </c>
      <c r="F284">
        <v>0</v>
      </c>
      <c r="G284">
        <v>0</v>
      </c>
      <c r="H284">
        <v>518</v>
      </c>
      <c r="I284" s="1">
        <v>45627</v>
      </c>
      <c r="J284">
        <v>0</v>
      </c>
      <c r="K284" t="s">
        <v>26</v>
      </c>
    </row>
    <row r="285" spans="1:11">
      <c r="A285" s="1">
        <v>45645</v>
      </c>
      <c r="B285" t="s">
        <v>21</v>
      </c>
      <c r="C285" t="s">
        <v>41</v>
      </c>
      <c r="D285">
        <v>17</v>
      </c>
      <c r="E285">
        <v>0</v>
      </c>
      <c r="F285">
        <v>0</v>
      </c>
      <c r="G285">
        <v>0</v>
      </c>
      <c r="H285">
        <v>17</v>
      </c>
      <c r="I285" s="1">
        <v>45627</v>
      </c>
      <c r="J285">
        <v>0</v>
      </c>
      <c r="K285" t="s">
        <v>26</v>
      </c>
    </row>
    <row r="286" spans="1:11">
      <c r="A286" s="1">
        <v>45645</v>
      </c>
      <c r="B286" t="s">
        <v>21</v>
      </c>
      <c r="C286" t="s">
        <v>30</v>
      </c>
      <c r="D286">
        <v>2</v>
      </c>
      <c r="E286">
        <v>0</v>
      </c>
      <c r="F286">
        <v>0</v>
      </c>
      <c r="G286">
        <v>0</v>
      </c>
      <c r="H286">
        <v>2</v>
      </c>
      <c r="I286" s="1">
        <v>45627</v>
      </c>
      <c r="J286">
        <v>0</v>
      </c>
      <c r="K286" t="s">
        <v>26</v>
      </c>
    </row>
    <row r="287" spans="1:11">
      <c r="A287" s="1">
        <v>45645</v>
      </c>
      <c r="B287" t="s">
        <v>21</v>
      </c>
      <c r="C287" t="s">
        <v>27</v>
      </c>
      <c r="D287">
        <v>4</v>
      </c>
      <c r="E287">
        <v>0</v>
      </c>
      <c r="F287">
        <v>0</v>
      </c>
      <c r="G287">
        <v>0</v>
      </c>
      <c r="H287">
        <v>4</v>
      </c>
      <c r="I287" s="1">
        <v>45627</v>
      </c>
      <c r="J287">
        <v>0</v>
      </c>
      <c r="K287" t="s">
        <v>26</v>
      </c>
    </row>
    <row r="288" spans="1:11">
      <c r="A288" s="1">
        <v>45645</v>
      </c>
      <c r="B288" t="s">
        <v>21</v>
      </c>
      <c r="C288" t="s">
        <v>45</v>
      </c>
      <c r="D288">
        <v>7</v>
      </c>
      <c r="E288">
        <v>0</v>
      </c>
      <c r="F288">
        <v>0</v>
      </c>
      <c r="G288">
        <v>0</v>
      </c>
      <c r="H288">
        <v>7</v>
      </c>
      <c r="I288" s="1">
        <v>45627</v>
      </c>
      <c r="J288">
        <v>0</v>
      </c>
      <c r="K288" t="s">
        <v>26</v>
      </c>
    </row>
    <row r="289" spans="1:11">
      <c r="A289" s="1">
        <v>45645</v>
      </c>
      <c r="B289" t="s">
        <v>21</v>
      </c>
      <c r="C289" t="s">
        <v>43</v>
      </c>
      <c r="D289">
        <v>232</v>
      </c>
      <c r="E289">
        <v>0</v>
      </c>
      <c r="F289">
        <v>0</v>
      </c>
      <c r="G289">
        <v>0</v>
      </c>
      <c r="H289">
        <v>232</v>
      </c>
      <c r="I289" s="1">
        <v>45627</v>
      </c>
      <c r="J289">
        <v>0</v>
      </c>
      <c r="K289" t="s">
        <v>26</v>
      </c>
    </row>
    <row r="290" spans="1:11">
      <c r="A290" s="1">
        <v>45645</v>
      </c>
      <c r="B290" t="s">
        <v>21</v>
      </c>
      <c r="C290" t="s">
        <v>35</v>
      </c>
      <c r="D290">
        <v>7</v>
      </c>
      <c r="E290">
        <v>0</v>
      </c>
      <c r="F290">
        <v>0</v>
      </c>
      <c r="G290">
        <v>0</v>
      </c>
      <c r="H290">
        <v>7</v>
      </c>
      <c r="I290" s="1">
        <v>45627</v>
      </c>
      <c r="J290">
        <v>0</v>
      </c>
      <c r="K290" t="s">
        <v>26</v>
      </c>
    </row>
    <row r="291" spans="1:11">
      <c r="A291" s="1">
        <v>45645</v>
      </c>
      <c r="B291" t="s">
        <v>21</v>
      </c>
      <c r="C291" t="s">
        <v>29</v>
      </c>
      <c r="D291">
        <v>3</v>
      </c>
      <c r="E291">
        <v>0</v>
      </c>
      <c r="F291">
        <v>0</v>
      </c>
      <c r="G291">
        <v>0</v>
      </c>
      <c r="H291">
        <v>3</v>
      </c>
      <c r="I291" s="1">
        <v>45627</v>
      </c>
      <c r="J291">
        <v>0</v>
      </c>
      <c r="K291" t="s">
        <v>26</v>
      </c>
    </row>
    <row r="292" spans="1:11">
      <c r="A292" s="1">
        <v>45645</v>
      </c>
      <c r="B292" t="s">
        <v>21</v>
      </c>
      <c r="C292" t="s">
        <v>32</v>
      </c>
      <c r="D292">
        <v>6</v>
      </c>
      <c r="E292">
        <v>0</v>
      </c>
      <c r="F292">
        <v>0</v>
      </c>
      <c r="G292">
        <v>0</v>
      </c>
      <c r="H292">
        <v>6</v>
      </c>
      <c r="I292" s="1">
        <v>45627</v>
      </c>
      <c r="J292">
        <v>0</v>
      </c>
      <c r="K292" t="s">
        <v>26</v>
      </c>
    </row>
    <row r="293" spans="1:11">
      <c r="A293" s="1">
        <v>45645</v>
      </c>
      <c r="B293" t="s">
        <v>21</v>
      </c>
      <c r="C293" t="s">
        <v>49</v>
      </c>
      <c r="D293">
        <v>13</v>
      </c>
      <c r="E293">
        <v>0</v>
      </c>
      <c r="F293">
        <v>0</v>
      </c>
      <c r="G293">
        <v>0</v>
      </c>
      <c r="H293">
        <v>13</v>
      </c>
      <c r="I293" s="1">
        <v>45627</v>
      </c>
      <c r="J293">
        <v>0</v>
      </c>
      <c r="K293" t="s">
        <v>26</v>
      </c>
    </row>
    <row r="294" spans="1:11">
      <c r="A294" s="1">
        <v>45687</v>
      </c>
      <c r="B294" t="s">
        <v>21</v>
      </c>
      <c r="C294" t="s">
        <v>30</v>
      </c>
      <c r="D294">
        <v>3</v>
      </c>
      <c r="E294">
        <v>0</v>
      </c>
      <c r="F294">
        <v>0</v>
      </c>
      <c r="G294">
        <v>0</v>
      </c>
      <c r="H294">
        <v>3</v>
      </c>
      <c r="I294" s="1">
        <v>45658</v>
      </c>
      <c r="J294">
        <v>0</v>
      </c>
      <c r="K294" t="s">
        <v>26</v>
      </c>
    </row>
    <row r="295" spans="1:11">
      <c r="A295" s="1">
        <v>45687</v>
      </c>
      <c r="B295" t="s">
        <v>21</v>
      </c>
      <c r="C295" t="s">
        <v>45</v>
      </c>
      <c r="D295">
        <v>4</v>
      </c>
      <c r="E295">
        <v>0</v>
      </c>
      <c r="F295">
        <v>0</v>
      </c>
      <c r="G295">
        <v>0</v>
      </c>
      <c r="H295">
        <v>4</v>
      </c>
      <c r="I295" s="1">
        <v>45658</v>
      </c>
      <c r="J295">
        <v>0</v>
      </c>
      <c r="K295" t="s">
        <v>26</v>
      </c>
    </row>
    <row r="296" spans="1:11">
      <c r="A296" s="1">
        <v>45687</v>
      </c>
      <c r="B296" t="s">
        <v>21</v>
      </c>
      <c r="C296" t="s">
        <v>35</v>
      </c>
      <c r="D296">
        <v>8</v>
      </c>
      <c r="E296">
        <v>0</v>
      </c>
      <c r="F296">
        <v>0</v>
      </c>
      <c r="G296">
        <v>0</v>
      </c>
      <c r="H296">
        <v>8</v>
      </c>
      <c r="I296" s="1">
        <v>45658</v>
      </c>
      <c r="J296">
        <v>0</v>
      </c>
      <c r="K296" t="s">
        <v>26</v>
      </c>
    </row>
    <row r="297" spans="1:11">
      <c r="A297" s="1">
        <v>45687</v>
      </c>
      <c r="B297" t="s">
        <v>21</v>
      </c>
      <c r="C297" t="s">
        <v>29</v>
      </c>
      <c r="D297">
        <v>6</v>
      </c>
      <c r="E297">
        <v>0</v>
      </c>
      <c r="F297">
        <v>0</v>
      </c>
      <c r="G297">
        <v>0</v>
      </c>
      <c r="H297">
        <v>6</v>
      </c>
      <c r="I297" s="1">
        <v>45658</v>
      </c>
      <c r="J297">
        <v>0</v>
      </c>
      <c r="K297" t="s">
        <v>26</v>
      </c>
    </row>
    <row r="298" spans="1:11">
      <c r="A298" s="1">
        <v>45687</v>
      </c>
      <c r="B298" t="s">
        <v>21</v>
      </c>
      <c r="C298" t="s">
        <v>32</v>
      </c>
      <c r="D298">
        <v>3</v>
      </c>
      <c r="E298">
        <v>0</v>
      </c>
      <c r="F298">
        <v>0</v>
      </c>
      <c r="G298">
        <v>0</v>
      </c>
      <c r="H298">
        <v>3</v>
      </c>
      <c r="I298" s="1">
        <v>45658</v>
      </c>
      <c r="J298">
        <v>0</v>
      </c>
      <c r="K298" t="s">
        <v>26</v>
      </c>
    </row>
    <row r="299" spans="1:11">
      <c r="A299" s="1">
        <v>45687</v>
      </c>
      <c r="B299" t="s">
        <v>21</v>
      </c>
      <c r="C299" t="s">
        <v>49</v>
      </c>
      <c r="D299">
        <v>17</v>
      </c>
      <c r="E299">
        <v>0</v>
      </c>
      <c r="F299">
        <v>0</v>
      </c>
      <c r="G299">
        <v>0</v>
      </c>
      <c r="H299">
        <v>17</v>
      </c>
      <c r="I299" s="1">
        <v>45658</v>
      </c>
      <c r="J299">
        <v>0</v>
      </c>
      <c r="K299" t="s">
        <v>26</v>
      </c>
    </row>
    <row r="300" spans="1:11">
      <c r="A300" s="1">
        <v>45715</v>
      </c>
      <c r="B300" t="s">
        <v>21</v>
      </c>
      <c r="C300" t="s">
        <v>48</v>
      </c>
      <c r="D300">
        <v>6</v>
      </c>
      <c r="E300">
        <v>0</v>
      </c>
      <c r="F300">
        <v>0</v>
      </c>
      <c r="G300">
        <v>0</v>
      </c>
      <c r="H300">
        <v>6</v>
      </c>
      <c r="I300" s="1">
        <v>45689</v>
      </c>
      <c r="J300">
        <v>0</v>
      </c>
      <c r="K300" t="s">
        <v>26</v>
      </c>
    </row>
    <row r="301" spans="1:11">
      <c r="A301" s="1">
        <v>45715</v>
      </c>
      <c r="B301" t="s">
        <v>21</v>
      </c>
      <c r="C301" t="s">
        <v>30</v>
      </c>
      <c r="D301">
        <v>3</v>
      </c>
      <c r="E301">
        <v>0</v>
      </c>
      <c r="F301">
        <v>0</v>
      </c>
      <c r="G301">
        <v>0</v>
      </c>
      <c r="H301">
        <v>3</v>
      </c>
      <c r="I301" s="1">
        <v>45689</v>
      </c>
      <c r="J301">
        <v>0</v>
      </c>
      <c r="K301" t="s">
        <v>26</v>
      </c>
    </row>
    <row r="302" spans="1:11">
      <c r="A302" s="1">
        <v>45715</v>
      </c>
      <c r="B302" t="s">
        <v>21</v>
      </c>
      <c r="C302" t="s">
        <v>27</v>
      </c>
      <c r="D302">
        <v>2</v>
      </c>
      <c r="E302">
        <v>0</v>
      </c>
      <c r="F302">
        <v>0</v>
      </c>
      <c r="G302">
        <v>0</v>
      </c>
      <c r="H302">
        <v>2</v>
      </c>
      <c r="I302" s="1">
        <v>45689</v>
      </c>
      <c r="J302">
        <v>0</v>
      </c>
      <c r="K302" t="s">
        <v>26</v>
      </c>
    </row>
    <row r="303" spans="1:11">
      <c r="A303" s="1">
        <v>45715</v>
      </c>
      <c r="B303" t="s">
        <v>21</v>
      </c>
      <c r="C303" t="s">
        <v>35</v>
      </c>
      <c r="D303">
        <v>7</v>
      </c>
      <c r="E303">
        <v>0</v>
      </c>
      <c r="F303">
        <v>0</v>
      </c>
      <c r="G303">
        <v>0</v>
      </c>
      <c r="H303">
        <v>7</v>
      </c>
      <c r="I303" s="1">
        <v>45689</v>
      </c>
      <c r="J303">
        <v>0</v>
      </c>
      <c r="K303" t="s">
        <v>26</v>
      </c>
    </row>
    <row r="304" spans="1:11">
      <c r="A304" s="1">
        <v>45715</v>
      </c>
      <c r="B304" t="s">
        <v>21</v>
      </c>
      <c r="C304" t="s">
        <v>29</v>
      </c>
      <c r="D304">
        <v>6</v>
      </c>
      <c r="E304">
        <v>0</v>
      </c>
      <c r="F304">
        <v>0</v>
      </c>
      <c r="G304">
        <v>0</v>
      </c>
      <c r="H304">
        <v>6</v>
      </c>
      <c r="I304" s="1">
        <v>45689</v>
      </c>
      <c r="J304">
        <v>0</v>
      </c>
      <c r="K304" t="s">
        <v>26</v>
      </c>
    </row>
    <row r="305" spans="1:11">
      <c r="A305" s="1">
        <v>45715</v>
      </c>
      <c r="B305" t="s">
        <v>21</v>
      </c>
      <c r="C305" t="s">
        <v>32</v>
      </c>
      <c r="D305">
        <v>7</v>
      </c>
      <c r="E305">
        <v>0</v>
      </c>
      <c r="F305">
        <v>0</v>
      </c>
      <c r="G305">
        <v>0</v>
      </c>
      <c r="H305">
        <v>7</v>
      </c>
      <c r="I305" s="1">
        <v>45689</v>
      </c>
      <c r="J305">
        <v>0</v>
      </c>
      <c r="K305" t="s">
        <v>26</v>
      </c>
    </row>
    <row r="306" spans="1:11">
      <c r="A306" s="1">
        <v>45715</v>
      </c>
      <c r="B306" t="s">
        <v>21</v>
      </c>
      <c r="C306" t="s">
        <v>49</v>
      </c>
      <c r="D306">
        <v>13</v>
      </c>
      <c r="E306">
        <v>0</v>
      </c>
      <c r="F306">
        <v>0</v>
      </c>
      <c r="G306">
        <v>0</v>
      </c>
      <c r="H306">
        <v>13</v>
      </c>
      <c r="I306" s="1">
        <v>45689</v>
      </c>
      <c r="J306">
        <v>0</v>
      </c>
      <c r="K306" t="s">
        <v>26</v>
      </c>
    </row>
    <row r="307" spans="1:11">
      <c r="A307" s="1">
        <v>45743</v>
      </c>
      <c r="B307" t="s">
        <v>21</v>
      </c>
      <c r="C307" t="s">
        <v>27</v>
      </c>
      <c r="D307">
        <v>3</v>
      </c>
      <c r="E307">
        <v>0</v>
      </c>
      <c r="F307">
        <v>0</v>
      </c>
      <c r="G307">
        <v>0</v>
      </c>
      <c r="H307">
        <v>3</v>
      </c>
      <c r="I307" s="1">
        <v>45717</v>
      </c>
      <c r="J307">
        <v>0</v>
      </c>
      <c r="K307" t="s">
        <v>26</v>
      </c>
    </row>
    <row r="308" spans="1:11">
      <c r="A308" s="1">
        <v>45743</v>
      </c>
      <c r="B308" t="s">
        <v>21</v>
      </c>
      <c r="C308" t="s">
        <v>37</v>
      </c>
      <c r="D308">
        <v>5</v>
      </c>
      <c r="E308">
        <v>0</v>
      </c>
      <c r="F308">
        <v>0</v>
      </c>
      <c r="G308">
        <v>0</v>
      </c>
      <c r="H308">
        <v>5</v>
      </c>
      <c r="I308" s="1">
        <v>45717</v>
      </c>
      <c r="J308">
        <v>0</v>
      </c>
      <c r="K308" t="s">
        <v>26</v>
      </c>
    </row>
    <row r="309" spans="1:11">
      <c r="A309" s="1">
        <v>45743</v>
      </c>
      <c r="B309" t="s">
        <v>21</v>
      </c>
      <c r="C309" t="s">
        <v>45</v>
      </c>
      <c r="D309">
        <v>2</v>
      </c>
      <c r="E309">
        <v>0</v>
      </c>
      <c r="F309">
        <v>0</v>
      </c>
      <c r="G309">
        <v>0</v>
      </c>
      <c r="H309">
        <v>2</v>
      </c>
      <c r="I309" s="1">
        <v>45717</v>
      </c>
      <c r="J309">
        <v>0</v>
      </c>
      <c r="K309" t="s">
        <v>26</v>
      </c>
    </row>
    <row r="310" spans="1:11">
      <c r="A310" s="1">
        <v>45743</v>
      </c>
      <c r="B310" t="s">
        <v>21</v>
      </c>
      <c r="C310" t="s">
        <v>35</v>
      </c>
      <c r="D310">
        <v>6</v>
      </c>
      <c r="E310">
        <v>0</v>
      </c>
      <c r="F310">
        <v>0</v>
      </c>
      <c r="G310">
        <v>0</v>
      </c>
      <c r="H310">
        <v>6</v>
      </c>
      <c r="I310" s="1">
        <v>45717</v>
      </c>
      <c r="J310">
        <v>0</v>
      </c>
      <c r="K310" t="s">
        <v>26</v>
      </c>
    </row>
    <row r="311" spans="1:11">
      <c r="A311" s="1">
        <v>45743</v>
      </c>
      <c r="B311" t="s">
        <v>21</v>
      </c>
      <c r="C311" t="s">
        <v>29</v>
      </c>
      <c r="D311">
        <v>11</v>
      </c>
      <c r="E311">
        <v>0</v>
      </c>
      <c r="F311">
        <v>0</v>
      </c>
      <c r="G311">
        <v>0</v>
      </c>
      <c r="H311">
        <v>11</v>
      </c>
      <c r="I311" s="1">
        <v>45717</v>
      </c>
      <c r="J311">
        <v>0</v>
      </c>
      <c r="K311" t="s">
        <v>26</v>
      </c>
    </row>
    <row r="312" spans="1:11">
      <c r="A312" s="1">
        <v>45743</v>
      </c>
      <c r="B312" t="s">
        <v>21</v>
      </c>
      <c r="C312" t="s">
        <v>32</v>
      </c>
      <c r="D312">
        <v>7</v>
      </c>
      <c r="E312">
        <v>0</v>
      </c>
      <c r="F312">
        <v>0</v>
      </c>
      <c r="G312">
        <v>0</v>
      </c>
      <c r="H312">
        <v>7</v>
      </c>
      <c r="I312" s="1">
        <v>45717</v>
      </c>
      <c r="J312">
        <v>0</v>
      </c>
      <c r="K312" t="s">
        <v>26</v>
      </c>
    </row>
    <row r="313" spans="1:11">
      <c r="A313" s="1">
        <v>45743</v>
      </c>
      <c r="B313" t="s">
        <v>21</v>
      </c>
      <c r="C313" t="s">
        <v>49</v>
      </c>
      <c r="D313">
        <v>15</v>
      </c>
      <c r="E313">
        <v>0</v>
      </c>
      <c r="F313">
        <v>0</v>
      </c>
      <c r="G313">
        <v>0</v>
      </c>
      <c r="H313">
        <v>15</v>
      </c>
      <c r="I313" s="1">
        <v>45717</v>
      </c>
      <c r="J313">
        <v>0</v>
      </c>
      <c r="K313" t="s">
        <v>26</v>
      </c>
    </row>
    <row r="314" spans="1:11">
      <c r="A314" s="1">
        <v>45771</v>
      </c>
      <c r="B314" t="s">
        <v>21</v>
      </c>
      <c r="C314" t="s">
        <v>48</v>
      </c>
      <c r="D314">
        <v>3</v>
      </c>
      <c r="E314">
        <v>0</v>
      </c>
      <c r="F314">
        <v>0</v>
      </c>
      <c r="G314">
        <v>0</v>
      </c>
      <c r="H314">
        <v>3</v>
      </c>
      <c r="I314" s="1">
        <v>45748</v>
      </c>
      <c r="J314">
        <v>0</v>
      </c>
      <c r="K314" t="s">
        <v>26</v>
      </c>
    </row>
    <row r="315" spans="1:11">
      <c r="A315" s="1">
        <v>45771</v>
      </c>
      <c r="B315" t="s">
        <v>21</v>
      </c>
      <c r="C315" t="s">
        <v>30</v>
      </c>
      <c r="D315">
        <v>2</v>
      </c>
      <c r="E315">
        <v>0</v>
      </c>
      <c r="F315">
        <v>0</v>
      </c>
      <c r="G315">
        <v>0</v>
      </c>
      <c r="H315">
        <v>2</v>
      </c>
      <c r="I315" s="1">
        <v>45748</v>
      </c>
      <c r="J315">
        <v>0</v>
      </c>
      <c r="K315" t="s">
        <v>26</v>
      </c>
    </row>
    <row r="316" spans="1:11">
      <c r="A316" s="1">
        <v>45771</v>
      </c>
      <c r="B316" t="s">
        <v>21</v>
      </c>
      <c r="C316" t="s">
        <v>27</v>
      </c>
      <c r="D316">
        <v>4</v>
      </c>
      <c r="E316">
        <v>0</v>
      </c>
      <c r="F316">
        <v>0</v>
      </c>
      <c r="G316">
        <v>0</v>
      </c>
      <c r="H316">
        <v>4</v>
      </c>
      <c r="I316" s="1">
        <v>45748</v>
      </c>
      <c r="J316">
        <v>0</v>
      </c>
      <c r="K316" t="s">
        <v>26</v>
      </c>
    </row>
    <row r="317" spans="1:11">
      <c r="A317" s="1">
        <v>45771</v>
      </c>
      <c r="B317" t="s">
        <v>21</v>
      </c>
      <c r="C317" t="s">
        <v>45</v>
      </c>
      <c r="D317">
        <v>3</v>
      </c>
      <c r="E317">
        <v>0</v>
      </c>
      <c r="F317">
        <v>0</v>
      </c>
      <c r="G317">
        <v>0</v>
      </c>
      <c r="H317">
        <v>3</v>
      </c>
      <c r="I317" s="1">
        <v>45748</v>
      </c>
      <c r="J317">
        <v>0</v>
      </c>
      <c r="K317" t="s">
        <v>26</v>
      </c>
    </row>
    <row r="318" spans="1:11">
      <c r="A318" s="1">
        <v>45771</v>
      </c>
      <c r="B318" t="s">
        <v>21</v>
      </c>
      <c r="C318" t="s">
        <v>29</v>
      </c>
      <c r="D318">
        <v>9</v>
      </c>
      <c r="E318">
        <v>0</v>
      </c>
      <c r="F318">
        <v>0</v>
      </c>
      <c r="G318">
        <v>0</v>
      </c>
      <c r="H318">
        <v>9</v>
      </c>
      <c r="I318" s="1">
        <v>45748</v>
      </c>
      <c r="J318">
        <v>0</v>
      </c>
      <c r="K318" t="s">
        <v>26</v>
      </c>
    </row>
    <row r="319" spans="1:11">
      <c r="A319" s="1">
        <v>45771</v>
      </c>
      <c r="B319" t="s">
        <v>21</v>
      </c>
      <c r="C319" t="s">
        <v>32</v>
      </c>
      <c r="D319">
        <v>8</v>
      </c>
      <c r="E319">
        <v>0</v>
      </c>
      <c r="F319">
        <v>0</v>
      </c>
      <c r="G319">
        <v>0</v>
      </c>
      <c r="H319">
        <v>8</v>
      </c>
      <c r="I319" s="1">
        <v>45748</v>
      </c>
      <c r="J319">
        <v>0</v>
      </c>
      <c r="K319" t="s">
        <v>26</v>
      </c>
    </row>
    <row r="320" spans="1:11">
      <c r="A320" s="1">
        <v>45771</v>
      </c>
      <c r="B320" t="s">
        <v>21</v>
      </c>
      <c r="C320" t="s">
        <v>49</v>
      </c>
      <c r="D320">
        <v>10</v>
      </c>
      <c r="E320">
        <v>0</v>
      </c>
      <c r="F320">
        <v>0</v>
      </c>
      <c r="G320">
        <v>0</v>
      </c>
      <c r="H320">
        <v>10</v>
      </c>
      <c r="I320" s="1">
        <v>45748</v>
      </c>
      <c r="J320">
        <v>0</v>
      </c>
      <c r="K320" t="s">
        <v>26</v>
      </c>
    </row>
    <row r="321" spans="1:11">
      <c r="A321" s="1">
        <v>45806</v>
      </c>
      <c r="B321" t="s">
        <v>21</v>
      </c>
      <c r="C321" t="s">
        <v>48</v>
      </c>
      <c r="D321">
        <v>3</v>
      </c>
      <c r="E321">
        <v>0</v>
      </c>
      <c r="F321">
        <v>0</v>
      </c>
      <c r="G321">
        <v>0</v>
      </c>
      <c r="H321">
        <v>3</v>
      </c>
      <c r="I321" s="1">
        <v>45778</v>
      </c>
      <c r="J321">
        <v>0</v>
      </c>
      <c r="K321" t="s">
        <v>26</v>
      </c>
    </row>
    <row r="322" spans="1:11">
      <c r="A322" s="1">
        <v>45806</v>
      </c>
      <c r="B322" t="s">
        <v>21</v>
      </c>
      <c r="C322" t="s">
        <v>27</v>
      </c>
      <c r="D322">
        <v>4</v>
      </c>
      <c r="E322">
        <v>0</v>
      </c>
      <c r="F322">
        <v>0</v>
      </c>
      <c r="G322">
        <v>0</v>
      </c>
      <c r="H322">
        <v>4</v>
      </c>
      <c r="I322" s="1">
        <v>45778</v>
      </c>
      <c r="J322">
        <v>0</v>
      </c>
      <c r="K322" t="s">
        <v>26</v>
      </c>
    </row>
    <row r="323" spans="1:11">
      <c r="A323" s="1">
        <v>45806</v>
      </c>
      <c r="B323" t="s">
        <v>21</v>
      </c>
      <c r="C323" t="s">
        <v>45</v>
      </c>
      <c r="D323">
        <v>3</v>
      </c>
      <c r="E323">
        <v>0</v>
      </c>
      <c r="F323">
        <v>0</v>
      </c>
      <c r="G323">
        <v>0</v>
      </c>
      <c r="H323">
        <v>3</v>
      </c>
      <c r="I323" s="1">
        <v>45778</v>
      </c>
      <c r="J323">
        <v>0</v>
      </c>
      <c r="K323" t="s">
        <v>26</v>
      </c>
    </row>
    <row r="324" spans="1:11">
      <c r="A324" s="1">
        <v>45806</v>
      </c>
      <c r="B324" t="s">
        <v>21</v>
      </c>
      <c r="C324" t="s">
        <v>34</v>
      </c>
      <c r="D324">
        <v>4</v>
      </c>
      <c r="E324">
        <v>0</v>
      </c>
      <c r="F324">
        <v>0</v>
      </c>
      <c r="G324">
        <v>0</v>
      </c>
      <c r="H324">
        <v>4</v>
      </c>
      <c r="I324" s="1">
        <v>45778</v>
      </c>
      <c r="J324">
        <v>0</v>
      </c>
      <c r="K324" t="s">
        <v>26</v>
      </c>
    </row>
    <row r="325" spans="1:11">
      <c r="A325" s="1">
        <v>45806</v>
      </c>
      <c r="B325" t="s">
        <v>21</v>
      </c>
      <c r="C325" t="s">
        <v>32</v>
      </c>
      <c r="D325">
        <v>7</v>
      </c>
      <c r="E325">
        <v>0</v>
      </c>
      <c r="F325">
        <v>0</v>
      </c>
      <c r="G325">
        <v>0</v>
      </c>
      <c r="H325">
        <v>7</v>
      </c>
      <c r="I325" s="1">
        <v>45778</v>
      </c>
      <c r="J325">
        <v>0</v>
      </c>
      <c r="K325" t="s">
        <v>26</v>
      </c>
    </row>
    <row r="326" spans="1:11">
      <c r="A326" s="1">
        <v>45806</v>
      </c>
      <c r="B326" t="s">
        <v>21</v>
      </c>
      <c r="C326" t="s">
        <v>49</v>
      </c>
      <c r="D326">
        <v>10</v>
      </c>
      <c r="E326">
        <v>0</v>
      </c>
      <c r="F326">
        <v>0</v>
      </c>
      <c r="G326">
        <v>0</v>
      </c>
      <c r="H326">
        <v>10</v>
      </c>
      <c r="I326" s="1">
        <v>45778</v>
      </c>
      <c r="J326">
        <v>0</v>
      </c>
      <c r="K326" t="s">
        <v>26</v>
      </c>
    </row>
    <row r="327" spans="1:11">
      <c r="A327" s="1">
        <v>45834</v>
      </c>
      <c r="B327" t="s">
        <v>21</v>
      </c>
      <c r="C327" t="s">
        <v>48</v>
      </c>
      <c r="D327">
        <v>4</v>
      </c>
      <c r="E327">
        <v>0</v>
      </c>
      <c r="F327">
        <v>0</v>
      </c>
      <c r="G327">
        <v>0</v>
      </c>
      <c r="H327">
        <v>4</v>
      </c>
      <c r="I327" s="1">
        <v>45809</v>
      </c>
      <c r="J327">
        <v>0</v>
      </c>
      <c r="K327" t="s">
        <v>26</v>
      </c>
    </row>
    <row r="328" spans="1:11">
      <c r="A328" s="1">
        <v>45834</v>
      </c>
      <c r="B328" t="s">
        <v>21</v>
      </c>
      <c r="C328" t="s">
        <v>27</v>
      </c>
      <c r="D328">
        <v>2</v>
      </c>
      <c r="E328">
        <v>0</v>
      </c>
      <c r="F328">
        <v>0</v>
      </c>
      <c r="G328">
        <v>0</v>
      </c>
      <c r="H328">
        <v>2</v>
      </c>
      <c r="I328" s="1">
        <v>45809</v>
      </c>
      <c r="J328">
        <v>0</v>
      </c>
      <c r="K328" t="s">
        <v>26</v>
      </c>
    </row>
    <row r="329" spans="1:11">
      <c r="A329" s="1">
        <v>45834</v>
      </c>
      <c r="B329" t="s">
        <v>21</v>
      </c>
      <c r="C329" t="s">
        <v>37</v>
      </c>
      <c r="D329">
        <v>3</v>
      </c>
      <c r="E329">
        <v>0</v>
      </c>
      <c r="F329">
        <v>0</v>
      </c>
      <c r="G329">
        <v>0</v>
      </c>
      <c r="H329">
        <v>3</v>
      </c>
      <c r="I329" s="1">
        <v>45809</v>
      </c>
      <c r="J329">
        <v>0</v>
      </c>
      <c r="K329" t="s">
        <v>26</v>
      </c>
    </row>
    <row r="330" spans="1:11">
      <c r="A330" s="1">
        <v>45834</v>
      </c>
      <c r="B330" t="s">
        <v>21</v>
      </c>
      <c r="C330" t="s">
        <v>45</v>
      </c>
      <c r="D330">
        <v>2</v>
      </c>
      <c r="E330">
        <v>0</v>
      </c>
      <c r="F330">
        <v>0</v>
      </c>
      <c r="G330">
        <v>0</v>
      </c>
      <c r="H330">
        <v>2</v>
      </c>
      <c r="I330" s="1">
        <v>45809</v>
      </c>
      <c r="J330">
        <v>0</v>
      </c>
      <c r="K330" t="s">
        <v>26</v>
      </c>
    </row>
    <row r="331" spans="1:11">
      <c r="A331" s="1">
        <v>45834</v>
      </c>
      <c r="B331" t="s">
        <v>21</v>
      </c>
      <c r="C331" t="s">
        <v>46</v>
      </c>
      <c r="D331">
        <v>20</v>
      </c>
      <c r="E331">
        <v>0</v>
      </c>
      <c r="F331">
        <v>0</v>
      </c>
      <c r="G331">
        <v>0</v>
      </c>
      <c r="H331">
        <v>20</v>
      </c>
      <c r="I331" s="1">
        <v>45809</v>
      </c>
      <c r="J331">
        <v>0</v>
      </c>
      <c r="K331" t="s">
        <v>26</v>
      </c>
    </row>
    <row r="332" spans="1:11">
      <c r="A332" s="1">
        <v>45834</v>
      </c>
      <c r="B332" t="s">
        <v>21</v>
      </c>
      <c r="C332" t="s">
        <v>34</v>
      </c>
      <c r="D332">
        <v>3</v>
      </c>
      <c r="E332">
        <v>0</v>
      </c>
      <c r="F332">
        <v>0</v>
      </c>
      <c r="G332">
        <v>0</v>
      </c>
      <c r="H332">
        <v>3</v>
      </c>
      <c r="I332" s="1">
        <v>45809</v>
      </c>
      <c r="J332">
        <v>0</v>
      </c>
      <c r="K332" t="s">
        <v>26</v>
      </c>
    </row>
    <row r="333" spans="1:11">
      <c r="A333" s="1">
        <v>45834</v>
      </c>
      <c r="B333" t="s">
        <v>21</v>
      </c>
      <c r="C333" t="s">
        <v>29</v>
      </c>
      <c r="D333">
        <v>8</v>
      </c>
      <c r="E333">
        <v>0</v>
      </c>
      <c r="F333">
        <v>0</v>
      </c>
      <c r="G333">
        <v>0</v>
      </c>
      <c r="H333">
        <v>8</v>
      </c>
      <c r="I333" s="1">
        <v>45809</v>
      </c>
      <c r="J333">
        <v>0</v>
      </c>
      <c r="K333" t="s">
        <v>26</v>
      </c>
    </row>
    <row r="334" spans="1:11">
      <c r="A334" s="1">
        <v>45834</v>
      </c>
      <c r="B334" t="s">
        <v>21</v>
      </c>
      <c r="C334" t="s">
        <v>32</v>
      </c>
      <c r="D334">
        <v>7</v>
      </c>
      <c r="E334">
        <v>0</v>
      </c>
      <c r="F334">
        <v>0</v>
      </c>
      <c r="G334">
        <v>0</v>
      </c>
      <c r="H334">
        <v>7</v>
      </c>
      <c r="I334" s="1">
        <v>45809</v>
      </c>
      <c r="J334">
        <v>0</v>
      </c>
      <c r="K334" t="s">
        <v>26</v>
      </c>
    </row>
    <row r="335" spans="1:11">
      <c r="A335" s="1">
        <v>45834</v>
      </c>
      <c r="B335" t="s">
        <v>21</v>
      </c>
      <c r="C335" t="s">
        <v>49</v>
      </c>
      <c r="D335">
        <v>10</v>
      </c>
      <c r="E335">
        <v>0</v>
      </c>
      <c r="F335">
        <v>0</v>
      </c>
      <c r="G335">
        <v>0</v>
      </c>
      <c r="H335">
        <v>10</v>
      </c>
      <c r="I335" s="1">
        <v>45809</v>
      </c>
      <c r="J335">
        <v>0</v>
      </c>
      <c r="K335" t="s">
        <v>26</v>
      </c>
    </row>
    <row r="336" spans="1:11">
      <c r="A336" s="1">
        <v>45869</v>
      </c>
      <c r="B336" t="s">
        <v>21</v>
      </c>
      <c r="C336" t="s">
        <v>48</v>
      </c>
      <c r="D336">
        <v>5</v>
      </c>
      <c r="E336">
        <v>0</v>
      </c>
      <c r="F336">
        <v>0</v>
      </c>
      <c r="G336">
        <v>0</v>
      </c>
      <c r="H336">
        <v>5</v>
      </c>
      <c r="I336" s="1">
        <v>45839</v>
      </c>
      <c r="J336">
        <v>0</v>
      </c>
      <c r="K336" t="s">
        <v>26</v>
      </c>
    </row>
    <row r="337" spans="1:11">
      <c r="A337" s="1">
        <v>45869</v>
      </c>
      <c r="B337" t="s">
        <v>21</v>
      </c>
      <c r="C337" t="s">
        <v>37</v>
      </c>
      <c r="D337">
        <v>4</v>
      </c>
      <c r="E337">
        <v>0</v>
      </c>
      <c r="F337">
        <v>0</v>
      </c>
      <c r="G337">
        <v>0</v>
      </c>
      <c r="H337">
        <v>4</v>
      </c>
      <c r="I337" s="1">
        <v>45839</v>
      </c>
      <c r="J337">
        <v>0</v>
      </c>
      <c r="K337" t="s">
        <v>26</v>
      </c>
    </row>
    <row r="338" spans="1:11">
      <c r="A338" s="1">
        <v>45869</v>
      </c>
      <c r="B338" t="s">
        <v>21</v>
      </c>
      <c r="C338" t="s">
        <v>47</v>
      </c>
      <c r="D338">
        <v>3</v>
      </c>
      <c r="E338">
        <v>0</v>
      </c>
      <c r="F338">
        <v>0</v>
      </c>
      <c r="G338">
        <v>0</v>
      </c>
      <c r="H338">
        <v>3</v>
      </c>
      <c r="I338" s="1">
        <v>45839</v>
      </c>
      <c r="J338">
        <v>0</v>
      </c>
      <c r="K338" t="s">
        <v>26</v>
      </c>
    </row>
    <row r="339" spans="1:11">
      <c r="A339" s="1">
        <v>45869</v>
      </c>
      <c r="B339" t="s">
        <v>21</v>
      </c>
      <c r="C339" t="s">
        <v>45</v>
      </c>
      <c r="D339">
        <v>3</v>
      </c>
      <c r="E339">
        <v>0</v>
      </c>
      <c r="F339">
        <v>0</v>
      </c>
      <c r="G339">
        <v>0</v>
      </c>
      <c r="H339">
        <v>3</v>
      </c>
      <c r="I339" s="1">
        <v>45839</v>
      </c>
      <c r="J339">
        <v>0</v>
      </c>
      <c r="K339" t="s">
        <v>26</v>
      </c>
    </row>
    <row r="340" spans="1:11">
      <c r="A340" s="1">
        <v>45869</v>
      </c>
      <c r="B340" t="s">
        <v>21</v>
      </c>
      <c r="C340" t="s">
        <v>46</v>
      </c>
      <c r="D340">
        <v>16</v>
      </c>
      <c r="E340">
        <v>0</v>
      </c>
      <c r="F340">
        <v>0</v>
      </c>
      <c r="G340">
        <v>0</v>
      </c>
      <c r="H340">
        <v>16</v>
      </c>
      <c r="I340" s="1">
        <v>45839</v>
      </c>
      <c r="J340">
        <v>0</v>
      </c>
      <c r="K340" t="s">
        <v>26</v>
      </c>
    </row>
    <row r="341" spans="1:11">
      <c r="A341" s="1">
        <v>45869</v>
      </c>
      <c r="B341" t="s">
        <v>21</v>
      </c>
      <c r="C341" t="s">
        <v>31</v>
      </c>
      <c r="D341">
        <v>2</v>
      </c>
      <c r="E341">
        <v>0</v>
      </c>
      <c r="F341">
        <v>0</v>
      </c>
      <c r="G341">
        <v>0</v>
      </c>
      <c r="H341">
        <v>2</v>
      </c>
      <c r="I341" s="1">
        <v>45839</v>
      </c>
      <c r="J341">
        <v>0</v>
      </c>
      <c r="K341" t="s">
        <v>26</v>
      </c>
    </row>
    <row r="342" spans="1:11">
      <c r="A342" s="1">
        <v>45869</v>
      </c>
      <c r="B342" t="s">
        <v>21</v>
      </c>
      <c r="C342" t="s">
        <v>34</v>
      </c>
      <c r="D342">
        <v>2</v>
      </c>
      <c r="E342">
        <v>0</v>
      </c>
      <c r="F342">
        <v>0</v>
      </c>
      <c r="G342">
        <v>0</v>
      </c>
      <c r="H342">
        <v>2</v>
      </c>
      <c r="I342" s="1">
        <v>45839</v>
      </c>
      <c r="J342">
        <v>0</v>
      </c>
      <c r="K342" t="s">
        <v>26</v>
      </c>
    </row>
    <row r="343" spans="1:11">
      <c r="A343" s="1">
        <v>45869</v>
      </c>
      <c r="B343" t="s">
        <v>21</v>
      </c>
      <c r="C343" t="s">
        <v>32</v>
      </c>
      <c r="D343">
        <v>16</v>
      </c>
      <c r="E343">
        <v>0</v>
      </c>
      <c r="F343">
        <v>0</v>
      </c>
      <c r="G343">
        <v>0</v>
      </c>
      <c r="H343">
        <v>16</v>
      </c>
      <c r="I343" s="1">
        <v>45839</v>
      </c>
      <c r="J343">
        <v>0</v>
      </c>
      <c r="K343" t="s">
        <v>26</v>
      </c>
    </row>
    <row r="344" spans="1:11">
      <c r="A344" s="1">
        <v>45869</v>
      </c>
      <c r="B344" t="s">
        <v>21</v>
      </c>
      <c r="C344" t="s">
        <v>49</v>
      </c>
      <c r="D344">
        <v>9</v>
      </c>
      <c r="E344">
        <v>0</v>
      </c>
      <c r="F344">
        <v>0</v>
      </c>
      <c r="G344">
        <v>0</v>
      </c>
      <c r="H344">
        <v>9</v>
      </c>
      <c r="I344" s="1">
        <v>45839</v>
      </c>
      <c r="J344">
        <v>0</v>
      </c>
      <c r="K344" t="s">
        <v>26</v>
      </c>
    </row>
    <row r="345" spans="1:11">
      <c r="A345" s="1">
        <v>45897</v>
      </c>
      <c r="B345" t="s">
        <v>40</v>
      </c>
      <c r="C345" t="s">
        <v>50</v>
      </c>
      <c r="D345">
        <v>38</v>
      </c>
      <c r="E345">
        <v>0</v>
      </c>
      <c r="F345">
        <v>0</v>
      </c>
      <c r="G345">
        <v>0</v>
      </c>
      <c r="H345">
        <v>38</v>
      </c>
      <c r="I345" s="1">
        <v>45870</v>
      </c>
      <c r="J345">
        <v>0</v>
      </c>
      <c r="K345" t="s">
        <v>26</v>
      </c>
    </row>
    <row r="346" spans="1:11">
      <c r="A346" s="1">
        <v>45897</v>
      </c>
      <c r="B346" t="s">
        <v>21</v>
      </c>
      <c r="C346" t="s">
        <v>48</v>
      </c>
      <c r="D346">
        <v>6</v>
      </c>
      <c r="E346">
        <v>0</v>
      </c>
      <c r="F346">
        <v>0</v>
      </c>
      <c r="G346">
        <v>0</v>
      </c>
      <c r="H346">
        <v>6</v>
      </c>
      <c r="I346" s="1">
        <v>45870</v>
      </c>
      <c r="J346">
        <v>0</v>
      </c>
      <c r="K346" t="s">
        <v>26</v>
      </c>
    </row>
    <row r="347" spans="1:11">
      <c r="A347" s="1">
        <v>45897</v>
      </c>
      <c r="B347" t="s">
        <v>21</v>
      </c>
      <c r="C347" t="s">
        <v>41</v>
      </c>
      <c r="D347">
        <v>20</v>
      </c>
      <c r="E347">
        <v>0</v>
      </c>
      <c r="F347">
        <v>0</v>
      </c>
      <c r="G347">
        <v>0</v>
      </c>
      <c r="H347">
        <v>20</v>
      </c>
      <c r="I347" s="1">
        <v>45870</v>
      </c>
      <c r="J347">
        <v>0</v>
      </c>
      <c r="K347" t="s">
        <v>26</v>
      </c>
    </row>
    <row r="348" spans="1:11">
      <c r="A348" s="1">
        <v>45897</v>
      </c>
      <c r="B348" t="s">
        <v>21</v>
      </c>
      <c r="C348" t="s">
        <v>27</v>
      </c>
      <c r="D348">
        <v>2</v>
      </c>
      <c r="E348">
        <v>0</v>
      </c>
      <c r="F348">
        <v>0</v>
      </c>
      <c r="G348">
        <v>0</v>
      </c>
      <c r="H348">
        <v>2</v>
      </c>
      <c r="I348" s="1">
        <v>45870</v>
      </c>
      <c r="J348">
        <v>0</v>
      </c>
      <c r="K348" t="s">
        <v>26</v>
      </c>
    </row>
    <row r="349" spans="1:11">
      <c r="A349" s="1">
        <v>45897</v>
      </c>
      <c r="B349" t="s">
        <v>21</v>
      </c>
      <c r="C349" t="s">
        <v>37</v>
      </c>
      <c r="D349">
        <v>3</v>
      </c>
      <c r="E349">
        <v>0</v>
      </c>
      <c r="F349">
        <v>0</v>
      </c>
      <c r="G349">
        <v>0</v>
      </c>
      <c r="H349">
        <v>3</v>
      </c>
      <c r="I349" s="1">
        <v>45870</v>
      </c>
      <c r="J349">
        <v>0</v>
      </c>
      <c r="K349" t="s">
        <v>26</v>
      </c>
    </row>
    <row r="350" spans="1:11">
      <c r="A350" s="1">
        <v>45897</v>
      </c>
      <c r="B350" t="s">
        <v>21</v>
      </c>
      <c r="C350" t="s">
        <v>45</v>
      </c>
      <c r="D350">
        <v>3</v>
      </c>
      <c r="E350">
        <v>0</v>
      </c>
      <c r="F350">
        <v>0</v>
      </c>
      <c r="G350">
        <v>0</v>
      </c>
      <c r="H350">
        <v>3</v>
      </c>
      <c r="I350" s="1">
        <v>45870</v>
      </c>
      <c r="J350">
        <v>0</v>
      </c>
      <c r="K350" t="s">
        <v>26</v>
      </c>
    </row>
    <row r="351" spans="1:11">
      <c r="A351" s="1">
        <v>45897</v>
      </c>
      <c r="B351" t="s">
        <v>21</v>
      </c>
      <c r="C351" t="s">
        <v>46</v>
      </c>
      <c r="D351">
        <v>23</v>
      </c>
      <c r="E351">
        <v>0</v>
      </c>
      <c r="F351">
        <v>0</v>
      </c>
      <c r="G351">
        <v>0</v>
      </c>
      <c r="H351">
        <v>23</v>
      </c>
      <c r="I351" s="1">
        <v>45870</v>
      </c>
      <c r="J351">
        <v>0</v>
      </c>
      <c r="K351" t="s">
        <v>26</v>
      </c>
    </row>
    <row r="352" spans="1:11">
      <c r="A352" s="1">
        <v>45897</v>
      </c>
      <c r="B352" t="s">
        <v>21</v>
      </c>
      <c r="C352" t="s">
        <v>31</v>
      </c>
      <c r="D352">
        <v>3</v>
      </c>
      <c r="E352">
        <v>0</v>
      </c>
      <c r="F352">
        <v>0</v>
      </c>
      <c r="G352">
        <v>0</v>
      </c>
      <c r="H352">
        <v>3</v>
      </c>
      <c r="I352" s="1">
        <v>45870</v>
      </c>
      <c r="J352">
        <v>0</v>
      </c>
      <c r="K352" t="s">
        <v>26</v>
      </c>
    </row>
    <row r="353" spans="1:11">
      <c r="A353" s="1">
        <v>45897</v>
      </c>
      <c r="B353" t="s">
        <v>21</v>
      </c>
      <c r="C353" t="s">
        <v>49</v>
      </c>
      <c r="D353">
        <v>9</v>
      </c>
      <c r="E353">
        <v>0</v>
      </c>
      <c r="F353">
        <v>0</v>
      </c>
      <c r="G353">
        <v>0</v>
      </c>
      <c r="H353">
        <v>9</v>
      </c>
      <c r="I353" s="1">
        <v>45870</v>
      </c>
      <c r="J353">
        <v>0</v>
      </c>
      <c r="K353" t="s">
        <v>26</v>
      </c>
    </row>
    <row r="354" spans="1:11">
      <c r="A354" s="1">
        <v>45925</v>
      </c>
      <c r="B354" t="s">
        <v>40</v>
      </c>
      <c r="C354" t="s">
        <v>50</v>
      </c>
      <c r="D354">
        <v>33</v>
      </c>
      <c r="E354">
        <v>0</v>
      </c>
      <c r="F354">
        <v>0</v>
      </c>
      <c r="G354">
        <v>0</v>
      </c>
      <c r="H354">
        <v>33</v>
      </c>
      <c r="I354" s="1">
        <v>45901</v>
      </c>
      <c r="J354">
        <v>0</v>
      </c>
      <c r="K354" t="s">
        <v>26</v>
      </c>
    </row>
    <row r="355" spans="1:11">
      <c r="A355" s="1">
        <v>45925</v>
      </c>
      <c r="B355" t="s">
        <v>21</v>
      </c>
      <c r="C355" t="s">
        <v>48</v>
      </c>
      <c r="D355">
        <v>7</v>
      </c>
      <c r="E355">
        <v>0</v>
      </c>
      <c r="F355">
        <v>0</v>
      </c>
      <c r="G355">
        <v>0</v>
      </c>
      <c r="H355">
        <v>7</v>
      </c>
      <c r="I355" s="1">
        <v>45901</v>
      </c>
      <c r="J355">
        <v>0</v>
      </c>
      <c r="K355" t="s">
        <v>26</v>
      </c>
    </row>
    <row r="356" spans="1:11">
      <c r="A356" s="1">
        <v>45925</v>
      </c>
      <c r="B356" t="s">
        <v>21</v>
      </c>
      <c r="C356" t="s">
        <v>41</v>
      </c>
      <c r="D356">
        <v>26</v>
      </c>
      <c r="E356">
        <v>0</v>
      </c>
      <c r="F356">
        <v>0</v>
      </c>
      <c r="G356">
        <v>0</v>
      </c>
      <c r="H356">
        <v>26</v>
      </c>
      <c r="I356" s="1">
        <v>45901</v>
      </c>
      <c r="J356">
        <v>0</v>
      </c>
      <c r="K356" t="s">
        <v>26</v>
      </c>
    </row>
    <row r="357" spans="1:11">
      <c r="A357" s="1">
        <v>45925</v>
      </c>
      <c r="B357" t="s">
        <v>21</v>
      </c>
      <c r="C357" t="s">
        <v>37</v>
      </c>
      <c r="D357">
        <v>7</v>
      </c>
      <c r="E357">
        <v>0</v>
      </c>
      <c r="F357">
        <v>0</v>
      </c>
      <c r="G357">
        <v>0</v>
      </c>
      <c r="H357">
        <v>7</v>
      </c>
      <c r="I357" s="1">
        <v>45901</v>
      </c>
      <c r="J357">
        <v>0</v>
      </c>
      <c r="K357" t="s">
        <v>26</v>
      </c>
    </row>
    <row r="358" spans="1:11">
      <c r="A358" s="1">
        <v>45925</v>
      </c>
      <c r="B358" t="s">
        <v>21</v>
      </c>
      <c r="C358" t="s">
        <v>28</v>
      </c>
      <c r="D358">
        <v>2</v>
      </c>
      <c r="E358">
        <v>0</v>
      </c>
      <c r="F358">
        <v>0</v>
      </c>
      <c r="G358">
        <v>0</v>
      </c>
      <c r="H358">
        <v>2</v>
      </c>
      <c r="I358" s="1">
        <v>45901</v>
      </c>
      <c r="J358">
        <v>0</v>
      </c>
      <c r="K358" t="s">
        <v>26</v>
      </c>
    </row>
    <row r="359" spans="1:11">
      <c r="A359" s="1">
        <v>45925</v>
      </c>
      <c r="B359" t="s">
        <v>21</v>
      </c>
      <c r="C359" t="s">
        <v>47</v>
      </c>
      <c r="D359">
        <v>3</v>
      </c>
      <c r="E359">
        <v>0</v>
      </c>
      <c r="F359">
        <v>0</v>
      </c>
      <c r="G359">
        <v>0</v>
      </c>
      <c r="H359">
        <v>3</v>
      </c>
      <c r="I359" s="1">
        <v>45901</v>
      </c>
      <c r="J359">
        <v>0</v>
      </c>
      <c r="K359" t="s">
        <v>26</v>
      </c>
    </row>
    <row r="360" spans="1:11">
      <c r="A360" s="1">
        <v>45925</v>
      </c>
      <c r="B360" t="s">
        <v>21</v>
      </c>
      <c r="C360" t="s">
        <v>35</v>
      </c>
      <c r="D360">
        <v>2</v>
      </c>
      <c r="E360">
        <v>0</v>
      </c>
      <c r="F360">
        <v>0</v>
      </c>
      <c r="G360">
        <v>0</v>
      </c>
      <c r="H360">
        <v>2</v>
      </c>
      <c r="I360" s="1">
        <v>45901</v>
      </c>
      <c r="J360">
        <v>0</v>
      </c>
      <c r="K360" t="s">
        <v>26</v>
      </c>
    </row>
    <row r="361" spans="1:11">
      <c r="A361" s="1">
        <v>45925</v>
      </c>
      <c r="B361" t="s">
        <v>21</v>
      </c>
      <c r="C361" t="s">
        <v>31</v>
      </c>
      <c r="D361">
        <v>4</v>
      </c>
      <c r="E361">
        <v>0</v>
      </c>
      <c r="F361">
        <v>0</v>
      </c>
      <c r="G361">
        <v>0</v>
      </c>
      <c r="H361">
        <v>4</v>
      </c>
      <c r="I361" s="1">
        <v>45901</v>
      </c>
      <c r="J361">
        <v>0</v>
      </c>
      <c r="K361" t="s">
        <v>26</v>
      </c>
    </row>
    <row r="362" spans="1:11">
      <c r="A362" s="1">
        <v>45925</v>
      </c>
      <c r="B362" t="s">
        <v>21</v>
      </c>
      <c r="C362" t="s">
        <v>29</v>
      </c>
      <c r="D362">
        <v>3</v>
      </c>
      <c r="E362">
        <v>0</v>
      </c>
      <c r="F362">
        <v>0</v>
      </c>
      <c r="G362">
        <v>0</v>
      </c>
      <c r="H362">
        <v>3</v>
      </c>
      <c r="I362" s="1">
        <v>45901</v>
      </c>
      <c r="J362">
        <v>0</v>
      </c>
      <c r="K362" t="s">
        <v>26</v>
      </c>
    </row>
    <row r="363" spans="1:11">
      <c r="A363" s="1">
        <v>45925</v>
      </c>
      <c r="B363" t="s">
        <v>21</v>
      </c>
      <c r="C363" t="s">
        <v>32</v>
      </c>
      <c r="D363">
        <v>2</v>
      </c>
      <c r="E363">
        <v>0</v>
      </c>
      <c r="F363">
        <v>0</v>
      </c>
      <c r="G363">
        <v>0</v>
      </c>
      <c r="H363">
        <v>2</v>
      </c>
      <c r="I363" s="1">
        <v>45901</v>
      </c>
      <c r="J363">
        <v>0</v>
      </c>
      <c r="K363" t="s">
        <v>26</v>
      </c>
    </row>
    <row r="364" spans="1:11">
      <c r="A364" s="1">
        <v>45925</v>
      </c>
      <c r="B364" t="s">
        <v>21</v>
      </c>
      <c r="C364" t="s">
        <v>49</v>
      </c>
      <c r="D364">
        <v>8</v>
      </c>
      <c r="E364">
        <v>0</v>
      </c>
      <c r="F364">
        <v>0</v>
      </c>
      <c r="G364">
        <v>0</v>
      </c>
      <c r="H364">
        <v>8</v>
      </c>
      <c r="I364" s="1">
        <v>45901</v>
      </c>
      <c r="J364">
        <v>0</v>
      </c>
      <c r="K364" t="s">
        <v>26</v>
      </c>
    </row>
    <row r="365" spans="1:11">
      <c r="A365" s="1">
        <v>45960</v>
      </c>
      <c r="B365" t="s">
        <v>40</v>
      </c>
      <c r="C365" t="s">
        <v>50</v>
      </c>
      <c r="D365">
        <v>54</v>
      </c>
      <c r="E365">
        <v>0</v>
      </c>
      <c r="F365">
        <v>0</v>
      </c>
      <c r="G365">
        <v>0</v>
      </c>
      <c r="H365">
        <v>54</v>
      </c>
      <c r="I365" s="1">
        <v>45931</v>
      </c>
      <c r="J365">
        <v>0</v>
      </c>
      <c r="K365" t="s">
        <v>26</v>
      </c>
    </row>
    <row r="366" spans="1:11">
      <c r="A366" s="1">
        <v>45960</v>
      </c>
      <c r="B366" t="s">
        <v>21</v>
      </c>
      <c r="C366" t="s">
        <v>48</v>
      </c>
      <c r="D366">
        <v>4</v>
      </c>
      <c r="E366">
        <v>0</v>
      </c>
      <c r="F366">
        <v>0</v>
      </c>
      <c r="G366">
        <v>0</v>
      </c>
      <c r="H366">
        <v>4</v>
      </c>
      <c r="I366" s="1">
        <v>45931</v>
      </c>
      <c r="J366">
        <v>0</v>
      </c>
      <c r="K366" t="s">
        <v>26</v>
      </c>
    </row>
    <row r="367" spans="1:11">
      <c r="A367" s="1">
        <v>45960</v>
      </c>
      <c r="B367" t="s">
        <v>21</v>
      </c>
      <c r="C367" t="s">
        <v>27</v>
      </c>
      <c r="D367">
        <v>2</v>
      </c>
      <c r="E367">
        <v>0</v>
      </c>
      <c r="F367">
        <v>0</v>
      </c>
      <c r="G367">
        <v>0</v>
      </c>
      <c r="H367">
        <v>2</v>
      </c>
      <c r="I367" s="1">
        <v>45931</v>
      </c>
      <c r="J367">
        <v>0</v>
      </c>
      <c r="K367" t="s">
        <v>26</v>
      </c>
    </row>
    <row r="368" spans="1:11">
      <c r="A368" s="1">
        <v>45960</v>
      </c>
      <c r="B368" t="s">
        <v>21</v>
      </c>
      <c r="C368" t="s">
        <v>47</v>
      </c>
      <c r="D368">
        <v>7</v>
      </c>
      <c r="E368">
        <v>0</v>
      </c>
      <c r="F368">
        <v>0</v>
      </c>
      <c r="G368">
        <v>0</v>
      </c>
      <c r="H368">
        <v>7</v>
      </c>
      <c r="I368" s="1">
        <v>45931</v>
      </c>
      <c r="J368">
        <v>0</v>
      </c>
      <c r="K368" t="s">
        <v>26</v>
      </c>
    </row>
    <row r="369" spans="1:11">
      <c r="A369" s="1">
        <v>45960</v>
      </c>
      <c r="B369" t="s">
        <v>21</v>
      </c>
      <c r="C369" t="s">
        <v>35</v>
      </c>
      <c r="D369">
        <v>3</v>
      </c>
      <c r="E369">
        <v>0</v>
      </c>
      <c r="F369">
        <v>0</v>
      </c>
      <c r="G369">
        <v>0</v>
      </c>
      <c r="H369">
        <v>3</v>
      </c>
      <c r="I369" s="1">
        <v>45931</v>
      </c>
      <c r="J369">
        <v>0</v>
      </c>
      <c r="K369" t="s">
        <v>26</v>
      </c>
    </row>
    <row r="370" spans="1:11">
      <c r="A370" s="1">
        <v>45960</v>
      </c>
      <c r="B370" t="s">
        <v>21</v>
      </c>
      <c r="C370" t="s">
        <v>29</v>
      </c>
      <c r="D370">
        <v>7</v>
      </c>
      <c r="E370">
        <v>0</v>
      </c>
      <c r="F370">
        <v>0</v>
      </c>
      <c r="G370">
        <v>0</v>
      </c>
      <c r="H370">
        <v>7</v>
      </c>
      <c r="I370" s="1">
        <v>45931</v>
      </c>
      <c r="J370">
        <v>0</v>
      </c>
      <c r="K370" t="s">
        <v>26</v>
      </c>
    </row>
    <row r="371" spans="1:11">
      <c r="A371" s="1">
        <v>45960</v>
      </c>
      <c r="B371" t="s">
        <v>21</v>
      </c>
      <c r="C371" t="s">
        <v>32</v>
      </c>
      <c r="D371">
        <v>8</v>
      </c>
      <c r="E371">
        <v>0</v>
      </c>
      <c r="F371">
        <v>0</v>
      </c>
      <c r="G371">
        <v>0</v>
      </c>
      <c r="H371">
        <v>8</v>
      </c>
      <c r="I371" s="1">
        <v>45931</v>
      </c>
      <c r="J371">
        <v>0</v>
      </c>
      <c r="K371" t="s">
        <v>26</v>
      </c>
    </row>
    <row r="372" spans="1:11">
      <c r="A372" s="1">
        <v>45960</v>
      </c>
      <c r="B372" t="s">
        <v>21</v>
      </c>
      <c r="C372" t="s">
        <v>49</v>
      </c>
      <c r="D372">
        <v>18</v>
      </c>
      <c r="E372">
        <v>0</v>
      </c>
      <c r="F372">
        <v>0</v>
      </c>
      <c r="G372">
        <v>0</v>
      </c>
      <c r="H372">
        <v>18</v>
      </c>
      <c r="I372" s="1">
        <v>45931</v>
      </c>
      <c r="J372">
        <v>0</v>
      </c>
      <c r="K372" t="s">
        <v>26</v>
      </c>
    </row>
    <row r="373" spans="1:11">
      <c r="A373" s="1">
        <v>45988</v>
      </c>
      <c r="B373" t="s">
        <v>40</v>
      </c>
      <c r="C373" t="s">
        <v>50</v>
      </c>
      <c r="D373">
        <v>104</v>
      </c>
      <c r="E373">
        <v>0</v>
      </c>
      <c r="F373">
        <v>0</v>
      </c>
      <c r="G373">
        <v>0</v>
      </c>
      <c r="H373">
        <v>104</v>
      </c>
      <c r="I373" s="1">
        <v>45962</v>
      </c>
      <c r="J373">
        <v>0</v>
      </c>
      <c r="K373" t="s">
        <v>26</v>
      </c>
    </row>
    <row r="374" spans="1:11">
      <c r="A374" s="1">
        <v>45988</v>
      </c>
      <c r="B374" t="s">
        <v>40</v>
      </c>
      <c r="C374" t="s">
        <v>41</v>
      </c>
      <c r="D374">
        <v>315</v>
      </c>
      <c r="E374">
        <v>0</v>
      </c>
      <c r="F374">
        <v>0</v>
      </c>
      <c r="G374">
        <v>0</v>
      </c>
      <c r="H374">
        <v>315</v>
      </c>
      <c r="I374" s="1">
        <v>45962</v>
      </c>
      <c r="J374">
        <v>0</v>
      </c>
      <c r="K374" t="s">
        <v>26</v>
      </c>
    </row>
    <row r="375" spans="1:11">
      <c r="A375" s="1">
        <v>45988</v>
      </c>
      <c r="B375" t="s">
        <v>21</v>
      </c>
      <c r="C375" t="s">
        <v>48</v>
      </c>
      <c r="D375">
        <v>3</v>
      </c>
      <c r="E375">
        <v>0</v>
      </c>
      <c r="F375">
        <v>0</v>
      </c>
      <c r="G375">
        <v>0</v>
      </c>
      <c r="H375">
        <v>3</v>
      </c>
      <c r="I375" s="1">
        <v>45962</v>
      </c>
      <c r="J375">
        <v>0</v>
      </c>
      <c r="K375" t="s">
        <v>26</v>
      </c>
    </row>
    <row r="376" spans="1:11">
      <c r="A376" s="1">
        <v>45988</v>
      </c>
      <c r="B376" t="s">
        <v>21</v>
      </c>
      <c r="C376" t="s">
        <v>41</v>
      </c>
      <c r="D376">
        <v>22</v>
      </c>
      <c r="E376">
        <v>0</v>
      </c>
      <c r="F376">
        <v>0</v>
      </c>
      <c r="G376">
        <v>0</v>
      </c>
      <c r="H376">
        <v>22</v>
      </c>
      <c r="I376" s="1">
        <v>45962</v>
      </c>
      <c r="J376">
        <v>0</v>
      </c>
      <c r="K376" t="s">
        <v>26</v>
      </c>
    </row>
    <row r="377" spans="1:11">
      <c r="A377" s="1">
        <v>45988</v>
      </c>
      <c r="B377" t="s">
        <v>21</v>
      </c>
      <c r="C377" t="s">
        <v>30</v>
      </c>
      <c r="D377">
        <v>2</v>
      </c>
      <c r="E377">
        <v>0</v>
      </c>
      <c r="F377">
        <v>0</v>
      </c>
      <c r="G377">
        <v>0</v>
      </c>
      <c r="H377">
        <v>2</v>
      </c>
      <c r="I377" s="1">
        <v>45962</v>
      </c>
      <c r="J377">
        <v>0</v>
      </c>
      <c r="K377" t="s">
        <v>26</v>
      </c>
    </row>
    <row r="378" spans="1:11">
      <c r="A378" s="1">
        <v>45988</v>
      </c>
      <c r="B378" t="s">
        <v>21</v>
      </c>
      <c r="C378" t="s">
        <v>27</v>
      </c>
      <c r="D378">
        <v>5</v>
      </c>
      <c r="E378">
        <v>0</v>
      </c>
      <c r="F378">
        <v>0</v>
      </c>
      <c r="G378">
        <v>0</v>
      </c>
      <c r="H378">
        <v>5</v>
      </c>
      <c r="I378" s="1">
        <v>45962</v>
      </c>
      <c r="J378">
        <v>0</v>
      </c>
      <c r="K378" t="s">
        <v>26</v>
      </c>
    </row>
    <row r="379" spans="1:11">
      <c r="A379" s="1">
        <v>45988</v>
      </c>
      <c r="B379" t="s">
        <v>21</v>
      </c>
      <c r="C379" t="s">
        <v>37</v>
      </c>
      <c r="D379">
        <v>2</v>
      </c>
      <c r="E379">
        <v>0</v>
      </c>
      <c r="F379">
        <v>0</v>
      </c>
      <c r="G379">
        <v>0</v>
      </c>
      <c r="H379">
        <v>2</v>
      </c>
      <c r="I379" s="1">
        <v>45962</v>
      </c>
      <c r="J379">
        <v>0</v>
      </c>
      <c r="K379" t="s">
        <v>26</v>
      </c>
    </row>
    <row r="380" spans="1:11">
      <c r="A380" s="1">
        <v>45988</v>
      </c>
      <c r="B380" t="s">
        <v>21</v>
      </c>
      <c r="C380" t="s">
        <v>47</v>
      </c>
      <c r="D380">
        <v>8</v>
      </c>
      <c r="E380">
        <v>0</v>
      </c>
      <c r="F380">
        <v>0</v>
      </c>
      <c r="G380">
        <v>0</v>
      </c>
      <c r="H380">
        <v>8</v>
      </c>
      <c r="I380" s="1">
        <v>45962</v>
      </c>
      <c r="J380">
        <v>0</v>
      </c>
      <c r="K380" t="s">
        <v>26</v>
      </c>
    </row>
    <row r="381" spans="1:11">
      <c r="A381" s="1">
        <v>45988</v>
      </c>
      <c r="B381" t="s">
        <v>21</v>
      </c>
      <c r="C381" t="s">
        <v>45</v>
      </c>
      <c r="D381">
        <v>5</v>
      </c>
      <c r="E381">
        <v>0</v>
      </c>
      <c r="F381">
        <v>0</v>
      </c>
      <c r="G381">
        <v>0</v>
      </c>
      <c r="H381">
        <v>5</v>
      </c>
      <c r="I381" s="1">
        <v>45962</v>
      </c>
      <c r="J381">
        <v>0</v>
      </c>
      <c r="K381" t="s">
        <v>26</v>
      </c>
    </row>
    <row r="382" spans="1:11">
      <c r="A382" s="1">
        <v>45988</v>
      </c>
      <c r="B382" t="s">
        <v>21</v>
      </c>
      <c r="C382" t="s">
        <v>35</v>
      </c>
      <c r="D382">
        <v>5</v>
      </c>
      <c r="E382">
        <v>0</v>
      </c>
      <c r="F382">
        <v>0</v>
      </c>
      <c r="G382">
        <v>0</v>
      </c>
      <c r="H382">
        <v>5</v>
      </c>
      <c r="I382" s="1">
        <v>45962</v>
      </c>
      <c r="J382">
        <v>0</v>
      </c>
      <c r="K382" t="s">
        <v>26</v>
      </c>
    </row>
    <row r="383" spans="1:11">
      <c r="A383" s="1">
        <v>45988</v>
      </c>
      <c r="B383" t="s">
        <v>21</v>
      </c>
      <c r="C383" t="s">
        <v>46</v>
      </c>
      <c r="D383">
        <v>10</v>
      </c>
      <c r="E383">
        <v>0</v>
      </c>
      <c r="F383">
        <v>0</v>
      </c>
      <c r="G383">
        <v>0</v>
      </c>
      <c r="H383">
        <v>10</v>
      </c>
      <c r="I383" s="1">
        <v>45962</v>
      </c>
      <c r="J383">
        <v>0</v>
      </c>
      <c r="K383" t="s">
        <v>26</v>
      </c>
    </row>
    <row r="384" spans="1:11">
      <c r="A384" s="1">
        <v>45988</v>
      </c>
      <c r="B384" t="s">
        <v>21</v>
      </c>
      <c r="C384" t="s">
        <v>34</v>
      </c>
      <c r="D384">
        <v>2</v>
      </c>
      <c r="E384">
        <v>0</v>
      </c>
      <c r="F384">
        <v>0</v>
      </c>
      <c r="G384">
        <v>0</v>
      </c>
      <c r="H384">
        <v>2</v>
      </c>
      <c r="I384" s="1">
        <v>45962</v>
      </c>
      <c r="J384">
        <v>0</v>
      </c>
      <c r="K384" t="s">
        <v>26</v>
      </c>
    </row>
    <row r="385" spans="1:11">
      <c r="A385" s="1">
        <v>45988</v>
      </c>
      <c r="B385" t="s">
        <v>21</v>
      </c>
      <c r="C385" t="s">
        <v>32</v>
      </c>
      <c r="D385">
        <v>13</v>
      </c>
      <c r="E385">
        <v>0</v>
      </c>
      <c r="F385">
        <v>0</v>
      </c>
      <c r="G385">
        <v>0</v>
      </c>
      <c r="H385">
        <v>13</v>
      </c>
      <c r="I385" s="1">
        <v>45962</v>
      </c>
      <c r="J385">
        <v>0</v>
      </c>
      <c r="K385" t="s">
        <v>26</v>
      </c>
    </row>
    <row r="386" spans="1:11">
      <c r="A386" s="1">
        <v>45988</v>
      </c>
      <c r="B386" t="s">
        <v>21</v>
      </c>
      <c r="C386" t="s">
        <v>49</v>
      </c>
      <c r="D386">
        <v>13</v>
      </c>
      <c r="E386">
        <v>0</v>
      </c>
      <c r="F386">
        <v>0</v>
      </c>
      <c r="G386">
        <v>0</v>
      </c>
      <c r="H386">
        <v>13</v>
      </c>
      <c r="I386" s="1">
        <v>45962</v>
      </c>
      <c r="J386">
        <v>0</v>
      </c>
      <c r="K386" t="s">
        <v>26</v>
      </c>
    </row>
    <row r="387" spans="1:11">
      <c r="A387" s="1">
        <v>46009</v>
      </c>
      <c r="B387" t="s">
        <v>40</v>
      </c>
      <c r="C387" t="s">
        <v>50</v>
      </c>
      <c r="D387">
        <v>172</v>
      </c>
      <c r="E387">
        <v>0</v>
      </c>
      <c r="F387">
        <v>0</v>
      </c>
      <c r="G387">
        <v>0</v>
      </c>
      <c r="H387">
        <v>172</v>
      </c>
      <c r="I387" s="1">
        <v>45992</v>
      </c>
      <c r="J387">
        <v>0</v>
      </c>
      <c r="K387" t="s">
        <v>26</v>
      </c>
    </row>
    <row r="388" spans="1:11">
      <c r="A388" s="1">
        <v>46009</v>
      </c>
      <c r="B388" t="s">
        <v>40</v>
      </c>
      <c r="C388" t="s">
        <v>41</v>
      </c>
      <c r="D388">
        <v>302</v>
      </c>
      <c r="E388">
        <v>0</v>
      </c>
      <c r="F388">
        <v>0</v>
      </c>
      <c r="G388">
        <v>0</v>
      </c>
      <c r="H388">
        <v>302</v>
      </c>
      <c r="I388" s="1">
        <v>45992</v>
      </c>
      <c r="J388">
        <v>0</v>
      </c>
      <c r="K388" t="s">
        <v>26</v>
      </c>
    </row>
    <row r="389" spans="1:11">
      <c r="A389" s="1">
        <v>46009</v>
      </c>
      <c r="B389" t="s">
        <v>21</v>
      </c>
      <c r="C389" t="s">
        <v>48</v>
      </c>
      <c r="D389">
        <v>6</v>
      </c>
      <c r="E389">
        <v>0</v>
      </c>
      <c r="F389">
        <v>0</v>
      </c>
      <c r="G389">
        <v>0</v>
      </c>
      <c r="H389">
        <v>6</v>
      </c>
      <c r="I389" s="1">
        <v>45992</v>
      </c>
      <c r="J389">
        <v>0</v>
      </c>
      <c r="K389" t="s">
        <v>26</v>
      </c>
    </row>
    <row r="390" spans="1:11">
      <c r="A390" s="1">
        <v>46009</v>
      </c>
      <c r="B390" t="s">
        <v>21</v>
      </c>
      <c r="C390" t="s">
        <v>41</v>
      </c>
      <c r="D390">
        <v>22</v>
      </c>
      <c r="E390">
        <v>0</v>
      </c>
      <c r="F390">
        <v>0</v>
      </c>
      <c r="G390">
        <v>0</v>
      </c>
      <c r="H390">
        <v>22</v>
      </c>
      <c r="I390" s="1">
        <v>45992</v>
      </c>
      <c r="J390">
        <v>0</v>
      </c>
      <c r="K390" t="s">
        <v>26</v>
      </c>
    </row>
    <row r="391" spans="1:11">
      <c r="A391" s="1">
        <v>46009</v>
      </c>
      <c r="B391" t="s">
        <v>21</v>
      </c>
      <c r="C391" t="s">
        <v>27</v>
      </c>
      <c r="D391">
        <v>6</v>
      </c>
      <c r="E391">
        <v>0</v>
      </c>
      <c r="F391">
        <v>0</v>
      </c>
      <c r="G391">
        <v>0</v>
      </c>
      <c r="H391">
        <v>6</v>
      </c>
      <c r="I391" s="1">
        <v>45992</v>
      </c>
      <c r="J391">
        <v>0</v>
      </c>
      <c r="K391" t="s">
        <v>26</v>
      </c>
    </row>
    <row r="392" spans="1:11">
      <c r="A392" s="1">
        <v>46009</v>
      </c>
      <c r="B392" t="s">
        <v>21</v>
      </c>
      <c r="C392" t="s">
        <v>37</v>
      </c>
      <c r="D392">
        <v>3</v>
      </c>
      <c r="E392">
        <v>0</v>
      </c>
      <c r="F392">
        <v>0</v>
      </c>
      <c r="G392">
        <v>0</v>
      </c>
      <c r="H392">
        <v>3</v>
      </c>
      <c r="I392" s="1">
        <v>45992</v>
      </c>
      <c r="J392">
        <v>0</v>
      </c>
      <c r="K392" t="s">
        <v>26</v>
      </c>
    </row>
    <row r="393" spans="1:11">
      <c r="A393" s="1">
        <v>46009</v>
      </c>
      <c r="B393" t="s">
        <v>21</v>
      </c>
      <c r="C393" t="s">
        <v>47</v>
      </c>
      <c r="D393">
        <v>9</v>
      </c>
      <c r="E393">
        <v>0</v>
      </c>
      <c r="F393">
        <v>0</v>
      </c>
      <c r="G393">
        <v>0</v>
      </c>
      <c r="H393">
        <v>9</v>
      </c>
      <c r="I393" s="1">
        <v>45992</v>
      </c>
      <c r="J393">
        <v>0</v>
      </c>
      <c r="K393" t="s">
        <v>26</v>
      </c>
    </row>
    <row r="394" spans="1:11">
      <c r="A394" s="1">
        <v>46009</v>
      </c>
      <c r="B394" t="s">
        <v>21</v>
      </c>
      <c r="C394" t="s">
        <v>51</v>
      </c>
      <c r="D394">
        <v>15</v>
      </c>
      <c r="E394">
        <v>0</v>
      </c>
      <c r="F394">
        <v>0</v>
      </c>
      <c r="G394">
        <v>0</v>
      </c>
      <c r="H394">
        <v>15</v>
      </c>
      <c r="I394" s="1">
        <v>45992</v>
      </c>
      <c r="J394">
        <v>0</v>
      </c>
      <c r="K394" t="s">
        <v>26</v>
      </c>
    </row>
    <row r="395" spans="1:11">
      <c r="A395" s="1">
        <v>46009</v>
      </c>
      <c r="B395" t="s">
        <v>21</v>
      </c>
      <c r="C395" t="s">
        <v>45</v>
      </c>
      <c r="D395">
        <v>9</v>
      </c>
      <c r="E395">
        <v>0</v>
      </c>
      <c r="F395">
        <v>0</v>
      </c>
      <c r="G395">
        <v>0</v>
      </c>
      <c r="H395">
        <v>9</v>
      </c>
      <c r="I395" s="1">
        <v>45992</v>
      </c>
      <c r="J395">
        <v>0</v>
      </c>
      <c r="K395" t="s">
        <v>26</v>
      </c>
    </row>
    <row r="396" spans="1:11">
      <c r="A396" s="1">
        <v>46009</v>
      </c>
      <c r="B396" t="s">
        <v>21</v>
      </c>
      <c r="C396" t="s">
        <v>35</v>
      </c>
      <c r="D396">
        <v>4</v>
      </c>
      <c r="E396">
        <v>0</v>
      </c>
      <c r="F396">
        <v>0</v>
      </c>
      <c r="G396">
        <v>0</v>
      </c>
      <c r="H396">
        <v>4</v>
      </c>
      <c r="I396" s="1">
        <v>45992</v>
      </c>
      <c r="J396">
        <v>0</v>
      </c>
      <c r="K396" t="s">
        <v>26</v>
      </c>
    </row>
    <row r="397" spans="1:11">
      <c r="A397" s="1">
        <v>46009</v>
      </c>
      <c r="B397" t="s">
        <v>21</v>
      </c>
      <c r="C397" t="s">
        <v>46</v>
      </c>
      <c r="D397">
        <v>17</v>
      </c>
      <c r="E397">
        <v>0</v>
      </c>
      <c r="F397">
        <v>0</v>
      </c>
      <c r="G397">
        <v>0</v>
      </c>
      <c r="H397">
        <v>17</v>
      </c>
      <c r="I397" s="1">
        <v>45992</v>
      </c>
      <c r="J397">
        <v>0</v>
      </c>
      <c r="K397" t="s">
        <v>26</v>
      </c>
    </row>
    <row r="398" spans="1:11">
      <c r="A398" s="1">
        <v>46009</v>
      </c>
      <c r="B398" t="s">
        <v>21</v>
      </c>
      <c r="C398" t="s">
        <v>34</v>
      </c>
      <c r="D398">
        <v>4</v>
      </c>
      <c r="E398">
        <v>0</v>
      </c>
      <c r="F398">
        <v>0</v>
      </c>
      <c r="G398">
        <v>0</v>
      </c>
      <c r="H398">
        <v>4</v>
      </c>
      <c r="I398" s="1">
        <v>45992</v>
      </c>
      <c r="J398">
        <v>0</v>
      </c>
      <c r="K398" t="s">
        <v>26</v>
      </c>
    </row>
    <row r="399" spans="1:11">
      <c r="A399" s="1">
        <v>46009</v>
      </c>
      <c r="B399" t="s">
        <v>21</v>
      </c>
      <c r="C399" t="s">
        <v>29</v>
      </c>
      <c r="D399">
        <v>4</v>
      </c>
      <c r="E399">
        <v>0</v>
      </c>
      <c r="F399">
        <v>0</v>
      </c>
      <c r="G399">
        <v>0</v>
      </c>
      <c r="H399">
        <v>4</v>
      </c>
      <c r="I399" s="1">
        <v>45992</v>
      </c>
      <c r="J399">
        <v>0</v>
      </c>
      <c r="K399" t="s">
        <v>26</v>
      </c>
    </row>
    <row r="400" spans="1:11">
      <c r="A400" s="1">
        <v>46009</v>
      </c>
      <c r="B400" t="s">
        <v>21</v>
      </c>
      <c r="C400" t="s">
        <v>32</v>
      </c>
      <c r="D400">
        <v>8</v>
      </c>
      <c r="E400">
        <v>0</v>
      </c>
      <c r="F400">
        <v>0</v>
      </c>
      <c r="G400">
        <v>0</v>
      </c>
      <c r="H400">
        <v>8</v>
      </c>
      <c r="I400" s="1">
        <v>45992</v>
      </c>
      <c r="J400">
        <v>0</v>
      </c>
      <c r="K400" t="s">
        <v>26</v>
      </c>
    </row>
    <row r="401" spans="1:11">
      <c r="A401" s="1">
        <v>46051</v>
      </c>
      <c r="B401" t="s">
        <v>40</v>
      </c>
      <c r="C401" t="s">
        <v>50</v>
      </c>
      <c r="D401">
        <v>120</v>
      </c>
      <c r="E401">
        <v>0</v>
      </c>
      <c r="F401">
        <v>0</v>
      </c>
      <c r="G401">
        <v>0</v>
      </c>
      <c r="H401">
        <v>120</v>
      </c>
      <c r="I401" s="1">
        <v>46023</v>
      </c>
      <c r="J401">
        <v>0</v>
      </c>
      <c r="K401" t="s">
        <v>26</v>
      </c>
    </row>
    <row r="402" spans="1:11">
      <c r="A402" s="1">
        <v>46051</v>
      </c>
      <c r="B402" t="s">
        <v>21</v>
      </c>
      <c r="C402" t="s">
        <v>48</v>
      </c>
      <c r="D402">
        <v>9</v>
      </c>
      <c r="E402">
        <v>0</v>
      </c>
      <c r="F402">
        <v>0</v>
      </c>
      <c r="G402">
        <v>0</v>
      </c>
      <c r="H402">
        <v>9</v>
      </c>
      <c r="I402" s="1">
        <v>46023</v>
      </c>
      <c r="J402">
        <v>0</v>
      </c>
      <c r="K402" t="s">
        <v>26</v>
      </c>
    </row>
    <row r="403" spans="1:11">
      <c r="A403" s="1">
        <v>46051</v>
      </c>
      <c r="B403" t="s">
        <v>21</v>
      </c>
      <c r="C403" t="s">
        <v>41</v>
      </c>
      <c r="D403">
        <v>21</v>
      </c>
      <c r="E403">
        <v>0</v>
      </c>
      <c r="F403">
        <v>0</v>
      </c>
      <c r="G403">
        <v>0</v>
      </c>
      <c r="H403">
        <v>21</v>
      </c>
      <c r="I403" s="1">
        <v>46023</v>
      </c>
      <c r="J403">
        <v>0</v>
      </c>
      <c r="K403" t="s">
        <v>26</v>
      </c>
    </row>
    <row r="404" spans="1:11">
      <c r="A404" s="1">
        <v>46051</v>
      </c>
      <c r="B404" t="s">
        <v>21</v>
      </c>
      <c r="C404" t="s">
        <v>27</v>
      </c>
      <c r="D404">
        <v>2</v>
      </c>
      <c r="E404">
        <v>0</v>
      </c>
      <c r="F404">
        <v>0</v>
      </c>
      <c r="G404">
        <v>0</v>
      </c>
      <c r="H404">
        <v>2</v>
      </c>
      <c r="I404" s="1">
        <v>46023</v>
      </c>
      <c r="J404">
        <v>0</v>
      </c>
      <c r="K404" t="s">
        <v>26</v>
      </c>
    </row>
    <row r="405" spans="1:11">
      <c r="A405" s="1">
        <v>46051</v>
      </c>
      <c r="B405" t="s">
        <v>21</v>
      </c>
      <c r="C405" t="s">
        <v>45</v>
      </c>
      <c r="D405">
        <v>19</v>
      </c>
      <c r="E405">
        <v>0</v>
      </c>
      <c r="F405">
        <v>0</v>
      </c>
      <c r="G405">
        <v>0</v>
      </c>
      <c r="H405">
        <v>19</v>
      </c>
      <c r="I405" s="1">
        <v>46023</v>
      </c>
      <c r="J405">
        <v>0</v>
      </c>
      <c r="K405" t="s">
        <v>26</v>
      </c>
    </row>
    <row r="406" spans="1:11">
      <c r="A406" s="1">
        <v>46051</v>
      </c>
      <c r="B406" t="s">
        <v>21</v>
      </c>
      <c r="C406" t="s">
        <v>46</v>
      </c>
      <c r="D406">
        <v>24</v>
      </c>
      <c r="E406">
        <v>0</v>
      </c>
      <c r="F406">
        <v>0</v>
      </c>
      <c r="G406">
        <v>0</v>
      </c>
      <c r="H406">
        <v>24</v>
      </c>
      <c r="I406" s="1">
        <v>46023</v>
      </c>
      <c r="J406">
        <v>0</v>
      </c>
      <c r="K406" t="s">
        <v>26</v>
      </c>
    </row>
    <row r="407" spans="1:11">
      <c r="A407" s="1">
        <v>46051</v>
      </c>
      <c r="B407" t="s">
        <v>21</v>
      </c>
      <c r="C407" t="s">
        <v>34</v>
      </c>
      <c r="D407">
        <v>2</v>
      </c>
      <c r="E407">
        <v>0</v>
      </c>
      <c r="F407">
        <v>0</v>
      </c>
      <c r="G407">
        <v>0</v>
      </c>
      <c r="H407">
        <v>2</v>
      </c>
      <c r="I407" s="1">
        <v>46023</v>
      </c>
      <c r="J407">
        <v>0</v>
      </c>
      <c r="K407" t="s">
        <v>26</v>
      </c>
    </row>
    <row r="408" spans="1:11">
      <c r="A408" s="1">
        <v>46051</v>
      </c>
      <c r="B408" t="s">
        <v>21</v>
      </c>
      <c r="C408" t="s">
        <v>29</v>
      </c>
      <c r="D408">
        <v>3</v>
      </c>
      <c r="E408">
        <v>0</v>
      </c>
      <c r="F408">
        <v>0</v>
      </c>
      <c r="G408">
        <v>0</v>
      </c>
      <c r="H408">
        <v>3</v>
      </c>
      <c r="I408" s="1">
        <v>46023</v>
      </c>
      <c r="J408">
        <v>0</v>
      </c>
      <c r="K408" t="s">
        <v>26</v>
      </c>
    </row>
    <row r="409" spans="1:11">
      <c r="A409" s="1">
        <v>46051</v>
      </c>
      <c r="B409" t="s">
        <v>21</v>
      </c>
      <c r="C409" t="s">
        <v>32</v>
      </c>
      <c r="D409">
        <v>26</v>
      </c>
      <c r="E409">
        <v>0</v>
      </c>
      <c r="F409">
        <v>0</v>
      </c>
      <c r="G409">
        <v>0</v>
      </c>
      <c r="H409">
        <v>26</v>
      </c>
      <c r="I409" s="1">
        <v>46023</v>
      </c>
      <c r="J409">
        <v>0</v>
      </c>
      <c r="K409" t="s">
        <v>26</v>
      </c>
    </row>
    <row r="410" spans="1:11">
      <c r="A410" s="1">
        <v>46079</v>
      </c>
      <c r="B410" t="s">
        <v>40</v>
      </c>
      <c r="C410" t="s">
        <v>50</v>
      </c>
      <c r="D410">
        <v>128</v>
      </c>
      <c r="E410">
        <v>0</v>
      </c>
      <c r="F410">
        <v>0</v>
      </c>
      <c r="G410">
        <v>0</v>
      </c>
      <c r="H410">
        <v>128</v>
      </c>
      <c r="I410" s="1">
        <v>46054</v>
      </c>
      <c r="J410">
        <v>0</v>
      </c>
      <c r="K410" t="s">
        <v>26</v>
      </c>
    </row>
    <row r="411" spans="1:11">
      <c r="A411" s="1">
        <v>46079</v>
      </c>
      <c r="B411" t="s">
        <v>21</v>
      </c>
      <c r="C411" t="s">
        <v>48</v>
      </c>
      <c r="D411">
        <v>9</v>
      </c>
      <c r="E411">
        <v>0</v>
      </c>
      <c r="F411">
        <v>0</v>
      </c>
      <c r="G411">
        <v>0</v>
      </c>
      <c r="H411">
        <v>9</v>
      </c>
      <c r="I411" s="1">
        <v>46054</v>
      </c>
      <c r="J411">
        <v>0</v>
      </c>
      <c r="K411" t="s">
        <v>26</v>
      </c>
    </row>
    <row r="412" spans="1:11">
      <c r="A412" s="1">
        <v>46079</v>
      </c>
      <c r="B412" t="s">
        <v>21</v>
      </c>
      <c r="C412" t="s">
        <v>41</v>
      </c>
      <c r="D412">
        <v>28</v>
      </c>
      <c r="E412">
        <v>0</v>
      </c>
      <c r="F412">
        <v>0</v>
      </c>
      <c r="G412">
        <v>0</v>
      </c>
      <c r="H412">
        <v>28</v>
      </c>
      <c r="I412" s="1">
        <v>46054</v>
      </c>
      <c r="J412">
        <v>0</v>
      </c>
      <c r="K412" t="s">
        <v>26</v>
      </c>
    </row>
    <row r="413" spans="1:11">
      <c r="A413" s="1">
        <v>46079</v>
      </c>
      <c r="B413" t="s">
        <v>21</v>
      </c>
      <c r="C413" t="s">
        <v>30</v>
      </c>
      <c r="D413">
        <v>2</v>
      </c>
      <c r="E413">
        <v>0</v>
      </c>
      <c r="F413">
        <v>0</v>
      </c>
      <c r="G413">
        <v>0</v>
      </c>
      <c r="H413">
        <v>2</v>
      </c>
      <c r="I413" s="1">
        <v>46054</v>
      </c>
      <c r="J413">
        <v>0</v>
      </c>
      <c r="K413" t="s">
        <v>26</v>
      </c>
    </row>
    <row r="414" spans="1:11">
      <c r="A414" s="1">
        <v>46079</v>
      </c>
      <c r="B414" t="s">
        <v>21</v>
      </c>
      <c r="C414" t="s">
        <v>27</v>
      </c>
      <c r="D414">
        <v>2</v>
      </c>
      <c r="E414">
        <v>0</v>
      </c>
      <c r="F414">
        <v>0</v>
      </c>
      <c r="G414">
        <v>0</v>
      </c>
      <c r="H414">
        <v>2</v>
      </c>
      <c r="I414" s="1">
        <v>46054</v>
      </c>
      <c r="J414">
        <v>0</v>
      </c>
      <c r="K414" t="s">
        <v>26</v>
      </c>
    </row>
    <row r="415" spans="1:11">
      <c r="A415" s="1">
        <v>46079</v>
      </c>
      <c r="B415" t="s">
        <v>21</v>
      </c>
      <c r="C415" t="s">
        <v>37</v>
      </c>
      <c r="D415">
        <v>2</v>
      </c>
      <c r="E415">
        <v>0</v>
      </c>
      <c r="F415">
        <v>0</v>
      </c>
      <c r="G415">
        <v>0</v>
      </c>
      <c r="H415">
        <v>2</v>
      </c>
      <c r="I415" s="1">
        <v>46054</v>
      </c>
      <c r="J415">
        <v>0</v>
      </c>
      <c r="K415" t="s">
        <v>26</v>
      </c>
    </row>
    <row r="416" spans="1:11">
      <c r="A416" s="1">
        <v>46079</v>
      </c>
      <c r="B416" t="s">
        <v>21</v>
      </c>
      <c r="C416" t="s">
        <v>45</v>
      </c>
      <c r="D416">
        <v>9</v>
      </c>
      <c r="E416">
        <v>0</v>
      </c>
      <c r="F416">
        <v>0</v>
      </c>
      <c r="G416">
        <v>0</v>
      </c>
      <c r="H416">
        <v>9</v>
      </c>
      <c r="I416" s="1">
        <v>46054</v>
      </c>
      <c r="J416">
        <v>0</v>
      </c>
      <c r="K416" t="s">
        <v>26</v>
      </c>
    </row>
    <row r="417" spans="1:11">
      <c r="A417" s="1">
        <v>46079</v>
      </c>
      <c r="B417" t="s">
        <v>21</v>
      </c>
      <c r="C417" t="s">
        <v>34</v>
      </c>
      <c r="D417">
        <v>2</v>
      </c>
      <c r="E417">
        <v>0</v>
      </c>
      <c r="F417">
        <v>0</v>
      </c>
      <c r="G417">
        <v>0</v>
      </c>
      <c r="H417">
        <v>2</v>
      </c>
      <c r="I417" s="1">
        <v>46054</v>
      </c>
      <c r="J417">
        <v>0</v>
      </c>
      <c r="K417" t="s">
        <v>26</v>
      </c>
    </row>
    <row r="418" spans="1:11">
      <c r="A418" s="1">
        <v>46079</v>
      </c>
      <c r="B418" t="s">
        <v>21</v>
      </c>
      <c r="C418" t="s">
        <v>29</v>
      </c>
      <c r="D418">
        <v>3</v>
      </c>
      <c r="E418">
        <v>0</v>
      </c>
      <c r="F418">
        <v>0</v>
      </c>
      <c r="G418">
        <v>0</v>
      </c>
      <c r="H418">
        <v>3</v>
      </c>
      <c r="I418" s="1">
        <v>46054</v>
      </c>
      <c r="J418">
        <v>0</v>
      </c>
      <c r="K418" t="s">
        <v>26</v>
      </c>
    </row>
    <row r="419" spans="1:11">
      <c r="A419" s="1">
        <v>46079</v>
      </c>
      <c r="B419" t="s">
        <v>21</v>
      </c>
      <c r="C419" t="s">
        <v>32</v>
      </c>
      <c r="D419">
        <v>14</v>
      </c>
      <c r="E419">
        <v>0</v>
      </c>
      <c r="F419">
        <v>0</v>
      </c>
      <c r="G419">
        <v>0</v>
      </c>
      <c r="H419">
        <v>14</v>
      </c>
      <c r="I419" s="1">
        <v>46054</v>
      </c>
      <c r="J419">
        <v>0</v>
      </c>
      <c r="K419" t="s">
        <v>26</v>
      </c>
    </row>
    <row r="420" spans="1:11">
      <c r="A420" s="1">
        <v>46107</v>
      </c>
      <c r="B420" t="s">
        <v>40</v>
      </c>
      <c r="C420" t="s">
        <v>50</v>
      </c>
      <c r="D420">
        <v>157</v>
      </c>
      <c r="E420">
        <v>0</v>
      </c>
      <c r="F420">
        <v>0</v>
      </c>
      <c r="G420">
        <v>0</v>
      </c>
      <c r="H420">
        <v>157</v>
      </c>
      <c r="I420" s="1">
        <v>46082</v>
      </c>
      <c r="J420">
        <v>0</v>
      </c>
      <c r="K420" t="s">
        <v>26</v>
      </c>
    </row>
    <row r="421" spans="1:11">
      <c r="A421" s="1">
        <v>46107</v>
      </c>
      <c r="B421" t="s">
        <v>21</v>
      </c>
      <c r="C421" t="s">
        <v>27</v>
      </c>
      <c r="D421">
        <v>3</v>
      </c>
      <c r="E421">
        <v>0</v>
      </c>
      <c r="F421">
        <v>0</v>
      </c>
      <c r="G421">
        <v>0</v>
      </c>
      <c r="H421">
        <v>3</v>
      </c>
      <c r="I421" s="1">
        <v>46082</v>
      </c>
      <c r="J421">
        <v>0</v>
      </c>
      <c r="K421" t="s">
        <v>26</v>
      </c>
    </row>
    <row r="422" spans="1:11">
      <c r="A422" s="1">
        <v>46107</v>
      </c>
      <c r="B422" t="s">
        <v>21</v>
      </c>
      <c r="C422" t="s">
        <v>37</v>
      </c>
      <c r="D422">
        <v>5</v>
      </c>
      <c r="E422">
        <v>0</v>
      </c>
      <c r="F422">
        <v>0</v>
      </c>
      <c r="G422">
        <v>0</v>
      </c>
      <c r="H422">
        <v>5</v>
      </c>
      <c r="I422" s="1">
        <v>46082</v>
      </c>
      <c r="J422">
        <v>0</v>
      </c>
      <c r="K422" t="s">
        <v>26</v>
      </c>
    </row>
    <row r="423" spans="1:11">
      <c r="A423" s="1">
        <v>46107</v>
      </c>
      <c r="B423" t="s">
        <v>21</v>
      </c>
      <c r="C423" t="s">
        <v>45</v>
      </c>
      <c r="D423">
        <v>13</v>
      </c>
      <c r="E423">
        <v>0</v>
      </c>
      <c r="F423">
        <v>0</v>
      </c>
      <c r="G423">
        <v>0</v>
      </c>
      <c r="H423">
        <v>13</v>
      </c>
      <c r="I423" s="1">
        <v>46082</v>
      </c>
      <c r="J423">
        <v>0</v>
      </c>
      <c r="K423" t="s">
        <v>26</v>
      </c>
    </row>
    <row r="424" spans="1:11">
      <c r="A424" s="1">
        <v>46107</v>
      </c>
      <c r="B424" t="s">
        <v>21</v>
      </c>
      <c r="C424" t="s">
        <v>34</v>
      </c>
      <c r="D424">
        <v>4</v>
      </c>
      <c r="E424">
        <v>0</v>
      </c>
      <c r="F424">
        <v>0</v>
      </c>
      <c r="G424">
        <v>0</v>
      </c>
      <c r="H424">
        <v>4</v>
      </c>
      <c r="I424" s="1">
        <v>46082</v>
      </c>
      <c r="J424">
        <v>0</v>
      </c>
      <c r="K424" t="s">
        <v>26</v>
      </c>
    </row>
    <row r="425" spans="1:11">
      <c r="A425" s="1">
        <v>46107</v>
      </c>
      <c r="B425" t="s">
        <v>21</v>
      </c>
      <c r="C425" t="s">
        <v>29</v>
      </c>
      <c r="D425">
        <v>5</v>
      </c>
      <c r="E425">
        <v>0</v>
      </c>
      <c r="F425">
        <v>0</v>
      </c>
      <c r="G425">
        <v>0</v>
      </c>
      <c r="H425">
        <v>5</v>
      </c>
      <c r="I425" s="1">
        <v>46082</v>
      </c>
      <c r="J425">
        <v>0</v>
      </c>
      <c r="K425" t="s">
        <v>26</v>
      </c>
    </row>
    <row r="426" spans="1:11">
      <c r="A426" s="1">
        <v>46107</v>
      </c>
      <c r="B426" t="s">
        <v>21</v>
      </c>
      <c r="C426" t="s">
        <v>32</v>
      </c>
      <c r="D426">
        <v>13</v>
      </c>
      <c r="E426">
        <v>0</v>
      </c>
      <c r="F426">
        <v>0</v>
      </c>
      <c r="G426">
        <v>0</v>
      </c>
      <c r="H426">
        <v>13</v>
      </c>
      <c r="I426" s="1">
        <v>46082</v>
      </c>
      <c r="J426">
        <v>0</v>
      </c>
      <c r="K426" t="s">
        <v>26</v>
      </c>
    </row>
    <row r="427" spans="1:11">
      <c r="A427" s="1">
        <v>46142</v>
      </c>
      <c r="B427" t="s">
        <v>40</v>
      </c>
      <c r="C427" t="s">
        <v>50</v>
      </c>
      <c r="D427">
        <v>112</v>
      </c>
      <c r="E427">
        <v>0</v>
      </c>
      <c r="F427">
        <v>0</v>
      </c>
      <c r="G427">
        <v>0</v>
      </c>
      <c r="H427">
        <v>112</v>
      </c>
      <c r="I427" s="1">
        <v>46113</v>
      </c>
      <c r="J427">
        <v>0</v>
      </c>
      <c r="K427" t="s">
        <v>26</v>
      </c>
    </row>
    <row r="428" spans="1:11">
      <c r="A428" s="1">
        <v>46142</v>
      </c>
      <c r="B428" t="s">
        <v>40</v>
      </c>
      <c r="C428" t="s">
        <v>33</v>
      </c>
      <c r="D428">
        <v>26</v>
      </c>
      <c r="E428">
        <v>0</v>
      </c>
      <c r="F428">
        <v>0</v>
      </c>
      <c r="G428">
        <v>0</v>
      </c>
      <c r="H428">
        <v>26</v>
      </c>
      <c r="I428" s="1">
        <v>46113</v>
      </c>
      <c r="J428">
        <v>0</v>
      </c>
      <c r="K428" t="s">
        <v>26</v>
      </c>
    </row>
    <row r="429" spans="1:11">
      <c r="A429" s="1">
        <v>46142</v>
      </c>
      <c r="B429" t="s">
        <v>21</v>
      </c>
      <c r="C429" t="s">
        <v>48</v>
      </c>
      <c r="D429">
        <v>8</v>
      </c>
      <c r="E429">
        <v>0</v>
      </c>
      <c r="F429">
        <v>0</v>
      </c>
      <c r="G429">
        <v>0</v>
      </c>
      <c r="H429">
        <v>8</v>
      </c>
      <c r="I429" s="1">
        <v>46113</v>
      </c>
      <c r="J429">
        <v>0</v>
      </c>
      <c r="K429" t="s">
        <v>26</v>
      </c>
    </row>
    <row r="430" spans="1:11">
      <c r="A430" s="1">
        <v>46142</v>
      </c>
      <c r="B430" t="s">
        <v>21</v>
      </c>
      <c r="C430" t="s">
        <v>30</v>
      </c>
      <c r="D430">
        <v>2</v>
      </c>
      <c r="E430">
        <v>0</v>
      </c>
      <c r="F430">
        <v>0</v>
      </c>
      <c r="G430">
        <v>0</v>
      </c>
      <c r="H430">
        <v>2</v>
      </c>
      <c r="I430" s="1">
        <v>46113</v>
      </c>
      <c r="J430">
        <v>0</v>
      </c>
      <c r="K430" t="s">
        <v>26</v>
      </c>
    </row>
    <row r="431" spans="1:11">
      <c r="A431" s="1">
        <v>46142</v>
      </c>
      <c r="B431" t="s">
        <v>21</v>
      </c>
      <c r="C431" t="s">
        <v>37</v>
      </c>
      <c r="D431">
        <v>6</v>
      </c>
      <c r="E431">
        <v>0</v>
      </c>
      <c r="F431">
        <v>0</v>
      </c>
      <c r="G431">
        <v>0</v>
      </c>
      <c r="H431">
        <v>6</v>
      </c>
      <c r="I431" s="1">
        <v>46113</v>
      </c>
      <c r="J431">
        <v>0</v>
      </c>
      <c r="K431" t="s">
        <v>26</v>
      </c>
    </row>
    <row r="432" spans="1:11">
      <c r="A432" s="1">
        <v>46142</v>
      </c>
      <c r="B432" t="s">
        <v>21</v>
      </c>
      <c r="C432" t="s">
        <v>51</v>
      </c>
      <c r="D432">
        <v>15</v>
      </c>
      <c r="E432">
        <v>0</v>
      </c>
      <c r="F432">
        <v>0</v>
      </c>
      <c r="G432">
        <v>0</v>
      </c>
      <c r="H432">
        <v>15</v>
      </c>
      <c r="I432" s="1">
        <v>46113</v>
      </c>
      <c r="J432">
        <v>0</v>
      </c>
      <c r="K432" t="s">
        <v>26</v>
      </c>
    </row>
    <row r="433" spans="1:11">
      <c r="A433" s="1">
        <v>46142</v>
      </c>
      <c r="B433" t="s">
        <v>21</v>
      </c>
      <c r="C433" t="s">
        <v>45</v>
      </c>
      <c r="D433">
        <v>11</v>
      </c>
      <c r="E433">
        <v>0</v>
      </c>
      <c r="F433">
        <v>0</v>
      </c>
      <c r="G433">
        <v>0</v>
      </c>
      <c r="H433">
        <v>11</v>
      </c>
      <c r="I433" s="1">
        <v>46113</v>
      </c>
      <c r="J433">
        <v>0</v>
      </c>
      <c r="K433" t="s">
        <v>26</v>
      </c>
    </row>
    <row r="434" spans="1:11">
      <c r="A434" s="1">
        <v>46142</v>
      </c>
      <c r="B434" t="s">
        <v>21</v>
      </c>
      <c r="C434" t="s">
        <v>46</v>
      </c>
      <c r="D434">
        <v>16</v>
      </c>
      <c r="E434">
        <v>0</v>
      </c>
      <c r="F434">
        <v>0</v>
      </c>
      <c r="G434">
        <v>0</v>
      </c>
      <c r="H434">
        <v>16</v>
      </c>
      <c r="I434" s="1">
        <v>46113</v>
      </c>
      <c r="J434">
        <v>0</v>
      </c>
      <c r="K434" t="s">
        <v>26</v>
      </c>
    </row>
    <row r="435" spans="1:11">
      <c r="A435" s="1">
        <v>46142</v>
      </c>
      <c r="B435" t="s">
        <v>21</v>
      </c>
      <c r="C435" t="s">
        <v>31</v>
      </c>
      <c r="D435">
        <v>5</v>
      </c>
      <c r="E435">
        <v>0</v>
      </c>
      <c r="F435">
        <v>0</v>
      </c>
      <c r="G435">
        <v>0</v>
      </c>
      <c r="H435">
        <v>5</v>
      </c>
      <c r="I435" s="1">
        <v>46113</v>
      </c>
      <c r="J435">
        <v>0</v>
      </c>
      <c r="K435" t="s">
        <v>26</v>
      </c>
    </row>
    <row r="436" spans="1:11">
      <c r="A436" s="1">
        <v>46142</v>
      </c>
      <c r="B436" t="s">
        <v>21</v>
      </c>
      <c r="C436" t="s">
        <v>34</v>
      </c>
      <c r="D436">
        <v>5</v>
      </c>
      <c r="E436">
        <v>0</v>
      </c>
      <c r="F436">
        <v>0</v>
      </c>
      <c r="G436">
        <v>0</v>
      </c>
      <c r="H436">
        <v>5</v>
      </c>
      <c r="I436" s="1">
        <v>46113</v>
      </c>
      <c r="J436">
        <v>0</v>
      </c>
      <c r="K436" t="s">
        <v>26</v>
      </c>
    </row>
    <row r="437" spans="1:11">
      <c r="A437" s="1">
        <v>46142</v>
      </c>
      <c r="B437" t="s">
        <v>21</v>
      </c>
      <c r="C437" t="s">
        <v>29</v>
      </c>
      <c r="D437">
        <v>6</v>
      </c>
      <c r="E437">
        <v>0</v>
      </c>
      <c r="F437">
        <v>0</v>
      </c>
      <c r="G437">
        <v>0</v>
      </c>
      <c r="H437">
        <v>6</v>
      </c>
      <c r="I437" s="1">
        <v>46113</v>
      </c>
      <c r="J437">
        <v>0</v>
      </c>
      <c r="K437" t="s">
        <v>26</v>
      </c>
    </row>
    <row r="438" spans="1:11">
      <c r="A438" s="1">
        <v>46142</v>
      </c>
      <c r="B438" t="s">
        <v>21</v>
      </c>
      <c r="C438" t="s">
        <v>32</v>
      </c>
      <c r="D438">
        <v>8</v>
      </c>
      <c r="E438">
        <v>0</v>
      </c>
      <c r="F438">
        <v>0</v>
      </c>
      <c r="G438">
        <v>0</v>
      </c>
      <c r="H438">
        <v>8</v>
      </c>
      <c r="I438" s="1">
        <v>46113</v>
      </c>
      <c r="J438">
        <v>0</v>
      </c>
      <c r="K438" t="s">
        <v>26</v>
      </c>
    </row>
    <row r="439" spans="1:11">
      <c r="A439" s="1">
        <v>46142</v>
      </c>
      <c r="B439" t="s">
        <v>21</v>
      </c>
      <c r="C439" t="s">
        <v>44</v>
      </c>
      <c r="D439">
        <v>6</v>
      </c>
      <c r="E439">
        <v>0</v>
      </c>
      <c r="F439">
        <v>0</v>
      </c>
      <c r="G439">
        <v>0</v>
      </c>
      <c r="H439">
        <v>6</v>
      </c>
      <c r="I439" s="1">
        <v>46113</v>
      </c>
      <c r="J439">
        <v>0</v>
      </c>
      <c r="K439" t="s">
        <v>26</v>
      </c>
    </row>
    <row r="440" spans="1:11">
      <c r="A440" s="1">
        <v>46170</v>
      </c>
      <c r="B440" t="s">
        <v>40</v>
      </c>
      <c r="C440" t="s">
        <v>33</v>
      </c>
      <c r="D440">
        <v>20</v>
      </c>
      <c r="E440">
        <v>0</v>
      </c>
      <c r="F440">
        <v>0</v>
      </c>
      <c r="G440">
        <v>0</v>
      </c>
      <c r="H440">
        <v>20</v>
      </c>
      <c r="I440" s="1">
        <v>46143</v>
      </c>
      <c r="J440">
        <v>0</v>
      </c>
      <c r="K440" t="s">
        <v>26</v>
      </c>
    </row>
    <row r="441" spans="1:11">
      <c r="A441" s="1">
        <v>46170</v>
      </c>
      <c r="B441" t="s">
        <v>21</v>
      </c>
      <c r="C441" t="s">
        <v>48</v>
      </c>
      <c r="D441">
        <v>8</v>
      </c>
      <c r="E441">
        <v>0</v>
      </c>
      <c r="F441">
        <v>0</v>
      </c>
      <c r="G441">
        <v>0</v>
      </c>
      <c r="H441">
        <v>8</v>
      </c>
      <c r="I441" s="1">
        <v>46143</v>
      </c>
      <c r="J441">
        <v>0</v>
      </c>
      <c r="K441" t="s">
        <v>26</v>
      </c>
    </row>
    <row r="442" spans="1:11">
      <c r="A442" s="1">
        <v>46170</v>
      </c>
      <c r="B442" t="s">
        <v>21</v>
      </c>
      <c r="C442" t="s">
        <v>30</v>
      </c>
      <c r="D442">
        <v>3</v>
      </c>
      <c r="E442">
        <v>0</v>
      </c>
      <c r="F442">
        <v>0</v>
      </c>
      <c r="G442">
        <v>0</v>
      </c>
      <c r="H442">
        <v>3</v>
      </c>
      <c r="I442" s="1">
        <v>46143</v>
      </c>
      <c r="J442">
        <v>0</v>
      </c>
      <c r="K442" t="s">
        <v>26</v>
      </c>
    </row>
    <row r="443" spans="1:11">
      <c r="A443" s="1">
        <v>46170</v>
      </c>
      <c r="B443" t="s">
        <v>21</v>
      </c>
      <c r="C443" t="s">
        <v>27</v>
      </c>
      <c r="D443">
        <v>2</v>
      </c>
      <c r="E443">
        <v>0</v>
      </c>
      <c r="F443">
        <v>0</v>
      </c>
      <c r="G443">
        <v>0</v>
      </c>
      <c r="H443">
        <v>2</v>
      </c>
      <c r="I443" s="1">
        <v>46143</v>
      </c>
      <c r="J443">
        <v>0</v>
      </c>
      <c r="K443" t="s">
        <v>26</v>
      </c>
    </row>
    <row r="444" spans="1:11">
      <c r="A444" s="1">
        <v>46170</v>
      </c>
      <c r="B444" t="s">
        <v>21</v>
      </c>
      <c r="C444" t="s">
        <v>37</v>
      </c>
      <c r="D444">
        <v>3</v>
      </c>
      <c r="E444">
        <v>0</v>
      </c>
      <c r="F444">
        <v>0</v>
      </c>
      <c r="G444">
        <v>0</v>
      </c>
      <c r="H444">
        <v>3</v>
      </c>
      <c r="I444" s="1">
        <v>46143</v>
      </c>
      <c r="J444">
        <v>0</v>
      </c>
      <c r="K444" t="s">
        <v>26</v>
      </c>
    </row>
    <row r="445" spans="1:11">
      <c r="A445" s="1">
        <v>46170</v>
      </c>
      <c r="B445" t="s">
        <v>21</v>
      </c>
      <c r="C445" t="s">
        <v>51</v>
      </c>
      <c r="D445">
        <v>15</v>
      </c>
      <c r="E445">
        <v>0</v>
      </c>
      <c r="F445">
        <v>0</v>
      </c>
      <c r="G445">
        <v>0</v>
      </c>
      <c r="H445">
        <v>15</v>
      </c>
      <c r="I445" s="1">
        <v>46143</v>
      </c>
      <c r="J445">
        <v>0</v>
      </c>
      <c r="K445" t="s">
        <v>26</v>
      </c>
    </row>
    <row r="446" spans="1:11">
      <c r="A446" s="1">
        <v>46170</v>
      </c>
      <c r="B446" t="s">
        <v>21</v>
      </c>
      <c r="C446" t="s">
        <v>31</v>
      </c>
      <c r="D446">
        <v>5</v>
      </c>
      <c r="E446">
        <v>0</v>
      </c>
      <c r="F446">
        <v>0</v>
      </c>
      <c r="G446">
        <v>0</v>
      </c>
      <c r="H446">
        <v>5</v>
      </c>
      <c r="I446" s="1">
        <v>46143</v>
      </c>
      <c r="J446">
        <v>0</v>
      </c>
      <c r="K446" t="s">
        <v>26</v>
      </c>
    </row>
    <row r="447" spans="1:11">
      <c r="A447" s="1">
        <v>46170</v>
      </c>
      <c r="B447" t="s">
        <v>21</v>
      </c>
      <c r="C447" t="s">
        <v>34</v>
      </c>
      <c r="D447">
        <v>3</v>
      </c>
      <c r="E447">
        <v>0</v>
      </c>
      <c r="F447">
        <v>0</v>
      </c>
      <c r="G447">
        <v>0</v>
      </c>
      <c r="H447">
        <v>3</v>
      </c>
      <c r="I447" s="1">
        <v>46143</v>
      </c>
      <c r="J447">
        <v>0</v>
      </c>
      <c r="K447" t="s">
        <v>26</v>
      </c>
    </row>
    <row r="448" spans="1:11">
      <c r="A448" s="1">
        <v>46170</v>
      </c>
      <c r="B448" t="s">
        <v>21</v>
      </c>
      <c r="C448" t="s">
        <v>29</v>
      </c>
      <c r="D448">
        <v>14</v>
      </c>
      <c r="E448">
        <v>0</v>
      </c>
      <c r="F448">
        <v>0</v>
      </c>
      <c r="G448">
        <v>0</v>
      </c>
      <c r="H448">
        <v>14</v>
      </c>
      <c r="I448" s="1">
        <v>46143</v>
      </c>
      <c r="J448">
        <v>0</v>
      </c>
      <c r="K448" t="s">
        <v>26</v>
      </c>
    </row>
    <row r="449" spans="1:11">
      <c r="A449" s="1">
        <v>46170</v>
      </c>
      <c r="B449" t="s">
        <v>21</v>
      </c>
      <c r="C449" t="s">
        <v>32</v>
      </c>
      <c r="D449">
        <v>14</v>
      </c>
      <c r="E449">
        <v>0</v>
      </c>
      <c r="F449">
        <v>0</v>
      </c>
      <c r="G449">
        <v>0</v>
      </c>
      <c r="H449">
        <v>14</v>
      </c>
      <c r="I449" s="1">
        <v>46143</v>
      </c>
      <c r="J449">
        <v>0</v>
      </c>
      <c r="K449" t="s">
        <v>26</v>
      </c>
    </row>
    <row r="450" spans="1:11">
      <c r="A450" s="1">
        <v>46170</v>
      </c>
      <c r="B450" t="s">
        <v>21</v>
      </c>
      <c r="C450" t="s">
        <v>44</v>
      </c>
      <c r="D450">
        <v>4</v>
      </c>
      <c r="E450">
        <v>0</v>
      </c>
      <c r="F450">
        <v>0</v>
      </c>
      <c r="G450">
        <v>0</v>
      </c>
      <c r="H450">
        <v>4</v>
      </c>
      <c r="I450" s="1">
        <v>46143</v>
      </c>
      <c r="J450">
        <v>0</v>
      </c>
      <c r="K450" t="s">
        <v>26</v>
      </c>
    </row>
    <row r="451" spans="1:11">
      <c r="A451" s="1">
        <v>46198</v>
      </c>
      <c r="B451" t="s">
        <v>40</v>
      </c>
      <c r="C451" t="s">
        <v>50</v>
      </c>
      <c r="D451">
        <v>90</v>
      </c>
      <c r="E451">
        <v>0</v>
      </c>
      <c r="F451">
        <v>0</v>
      </c>
      <c r="G451">
        <v>0</v>
      </c>
      <c r="H451">
        <v>90</v>
      </c>
      <c r="I451" s="1">
        <v>46174</v>
      </c>
      <c r="J451">
        <v>0</v>
      </c>
      <c r="K451" t="s">
        <v>26</v>
      </c>
    </row>
    <row r="452" spans="1:11">
      <c r="A452" s="1">
        <v>46198</v>
      </c>
      <c r="B452" t="s">
        <v>21</v>
      </c>
      <c r="C452" t="s">
        <v>48</v>
      </c>
      <c r="D452">
        <v>10</v>
      </c>
      <c r="E452">
        <v>0</v>
      </c>
      <c r="F452">
        <v>0</v>
      </c>
      <c r="G452">
        <v>0</v>
      </c>
      <c r="H452">
        <v>10</v>
      </c>
      <c r="I452" s="1">
        <v>46174</v>
      </c>
      <c r="J452">
        <v>0</v>
      </c>
      <c r="K452" t="s">
        <v>26</v>
      </c>
    </row>
    <row r="453" spans="1:11">
      <c r="A453" s="1">
        <v>46198</v>
      </c>
      <c r="B453" t="s">
        <v>21</v>
      </c>
      <c r="C453" t="s">
        <v>30</v>
      </c>
      <c r="D453">
        <v>3</v>
      </c>
      <c r="E453">
        <v>0</v>
      </c>
      <c r="F453">
        <v>0</v>
      </c>
      <c r="G453">
        <v>0</v>
      </c>
      <c r="H453">
        <v>3</v>
      </c>
      <c r="I453" s="1">
        <v>46174</v>
      </c>
      <c r="J453">
        <v>0</v>
      </c>
      <c r="K453" t="s">
        <v>26</v>
      </c>
    </row>
    <row r="454" spans="1:11">
      <c r="A454" s="1">
        <v>46198</v>
      </c>
      <c r="B454" t="s">
        <v>21</v>
      </c>
      <c r="C454" t="s">
        <v>27</v>
      </c>
      <c r="D454">
        <v>6</v>
      </c>
      <c r="E454">
        <v>0</v>
      </c>
      <c r="F454">
        <v>0</v>
      </c>
      <c r="G454">
        <v>0</v>
      </c>
      <c r="H454">
        <v>6</v>
      </c>
      <c r="I454" s="1">
        <v>46174</v>
      </c>
      <c r="J454">
        <v>0</v>
      </c>
      <c r="K454" t="s">
        <v>26</v>
      </c>
    </row>
    <row r="455" spans="1:11">
      <c r="A455" s="1">
        <v>46198</v>
      </c>
      <c r="B455" t="s">
        <v>21</v>
      </c>
      <c r="C455" t="s">
        <v>47</v>
      </c>
      <c r="D455">
        <v>5</v>
      </c>
      <c r="E455">
        <v>0</v>
      </c>
      <c r="F455">
        <v>0</v>
      </c>
      <c r="G455">
        <v>0</v>
      </c>
      <c r="H455">
        <v>5</v>
      </c>
      <c r="I455" s="1">
        <v>46174</v>
      </c>
      <c r="J455">
        <v>0</v>
      </c>
      <c r="K455" t="s">
        <v>26</v>
      </c>
    </row>
    <row r="456" spans="1:11">
      <c r="A456" s="1">
        <v>46198</v>
      </c>
      <c r="B456" t="s">
        <v>21</v>
      </c>
      <c r="C456" t="s">
        <v>46</v>
      </c>
      <c r="D456">
        <v>14</v>
      </c>
      <c r="E456">
        <v>0</v>
      </c>
      <c r="F456">
        <v>0</v>
      </c>
      <c r="G456">
        <v>0</v>
      </c>
      <c r="H456">
        <v>14</v>
      </c>
      <c r="I456" s="1">
        <v>46174</v>
      </c>
      <c r="J456">
        <v>0</v>
      </c>
      <c r="K456" t="s">
        <v>26</v>
      </c>
    </row>
    <row r="457" spans="1:11">
      <c r="A457" s="1">
        <v>46198</v>
      </c>
      <c r="B457" t="s">
        <v>21</v>
      </c>
      <c r="C457" t="s">
        <v>34</v>
      </c>
      <c r="D457">
        <v>3</v>
      </c>
      <c r="E457">
        <v>0</v>
      </c>
      <c r="F457">
        <v>0</v>
      </c>
      <c r="G457">
        <v>0</v>
      </c>
      <c r="H457">
        <v>3</v>
      </c>
      <c r="I457" s="1">
        <v>46174</v>
      </c>
      <c r="J457">
        <v>0</v>
      </c>
      <c r="K457" t="s">
        <v>26</v>
      </c>
    </row>
    <row r="458" spans="1:11">
      <c r="A458" s="1">
        <v>46198</v>
      </c>
      <c r="B458" t="s">
        <v>21</v>
      </c>
      <c r="C458" t="s">
        <v>29</v>
      </c>
      <c r="D458">
        <v>6</v>
      </c>
      <c r="E458">
        <v>0</v>
      </c>
      <c r="F458">
        <v>0</v>
      </c>
      <c r="G458">
        <v>0</v>
      </c>
      <c r="H458">
        <v>6</v>
      </c>
      <c r="I458" s="1">
        <v>46174</v>
      </c>
      <c r="J458">
        <v>0</v>
      </c>
      <c r="K458" t="s">
        <v>26</v>
      </c>
    </row>
    <row r="459" spans="1:11">
      <c r="A459" s="1">
        <v>46198</v>
      </c>
      <c r="B459" t="s">
        <v>21</v>
      </c>
      <c r="C459" t="s">
        <v>32</v>
      </c>
      <c r="D459">
        <v>10</v>
      </c>
      <c r="E459">
        <v>0</v>
      </c>
      <c r="F459">
        <v>0</v>
      </c>
      <c r="G459">
        <v>0</v>
      </c>
      <c r="H459">
        <v>10</v>
      </c>
      <c r="I459" s="1">
        <v>46174</v>
      </c>
      <c r="J459">
        <v>0</v>
      </c>
      <c r="K459" t="s">
        <v>26</v>
      </c>
    </row>
    <row r="460" spans="1:11">
      <c r="A460" s="1">
        <v>46198</v>
      </c>
      <c r="B460" t="s">
        <v>21</v>
      </c>
      <c r="C460" t="s">
        <v>44</v>
      </c>
      <c r="D460">
        <v>10</v>
      </c>
      <c r="E460">
        <v>0</v>
      </c>
      <c r="F460">
        <v>0</v>
      </c>
      <c r="G460">
        <v>0</v>
      </c>
      <c r="H460">
        <v>10</v>
      </c>
      <c r="I460" s="1">
        <v>46174</v>
      </c>
      <c r="J460">
        <v>0</v>
      </c>
      <c r="K460" t="s">
        <v>26</v>
      </c>
    </row>
    <row r="461" spans="1:11">
      <c r="A461" s="1">
        <v>46233</v>
      </c>
      <c r="B461" t="s">
        <v>40</v>
      </c>
      <c r="C461" t="s">
        <v>50</v>
      </c>
      <c r="D461">
        <v>123</v>
      </c>
      <c r="E461">
        <v>0</v>
      </c>
      <c r="F461">
        <v>0</v>
      </c>
      <c r="G461">
        <v>0</v>
      </c>
      <c r="H461">
        <v>123</v>
      </c>
      <c r="I461" s="1">
        <v>46204</v>
      </c>
      <c r="J461">
        <v>0</v>
      </c>
      <c r="K461" t="s">
        <v>26</v>
      </c>
    </row>
    <row r="462" spans="1:11">
      <c r="A462" s="1">
        <v>46233</v>
      </c>
      <c r="B462" t="s">
        <v>40</v>
      </c>
      <c r="C462" t="s">
        <v>33</v>
      </c>
      <c r="D462">
        <v>15</v>
      </c>
      <c r="E462">
        <v>0</v>
      </c>
      <c r="F462">
        <v>0</v>
      </c>
      <c r="G462">
        <v>0</v>
      </c>
      <c r="H462">
        <v>15</v>
      </c>
      <c r="I462" s="1">
        <v>46204</v>
      </c>
      <c r="J462">
        <v>0</v>
      </c>
      <c r="K462" t="s">
        <v>26</v>
      </c>
    </row>
    <row r="463" spans="1:11">
      <c r="A463" s="1">
        <v>46233</v>
      </c>
      <c r="B463" t="s">
        <v>21</v>
      </c>
      <c r="C463" t="s">
        <v>48</v>
      </c>
      <c r="D463">
        <v>12</v>
      </c>
      <c r="E463">
        <v>0</v>
      </c>
      <c r="F463">
        <v>0</v>
      </c>
      <c r="G463">
        <v>0</v>
      </c>
      <c r="H463">
        <v>12</v>
      </c>
      <c r="I463" s="1">
        <v>46204</v>
      </c>
      <c r="J463">
        <v>0</v>
      </c>
      <c r="K463" t="s">
        <v>26</v>
      </c>
    </row>
    <row r="464" spans="1:11">
      <c r="A464" s="1">
        <v>46233</v>
      </c>
      <c r="B464" t="s">
        <v>21</v>
      </c>
      <c r="C464" t="s">
        <v>30</v>
      </c>
      <c r="D464">
        <v>2</v>
      </c>
      <c r="E464">
        <v>0</v>
      </c>
      <c r="F464">
        <v>0</v>
      </c>
      <c r="G464">
        <v>0</v>
      </c>
      <c r="H464">
        <v>2</v>
      </c>
      <c r="I464" s="1">
        <v>46204</v>
      </c>
      <c r="J464">
        <v>0</v>
      </c>
      <c r="K464" t="s">
        <v>26</v>
      </c>
    </row>
    <row r="465" spans="1:11">
      <c r="A465" s="1">
        <v>46233</v>
      </c>
      <c r="B465" t="s">
        <v>21</v>
      </c>
      <c r="C465" t="s">
        <v>27</v>
      </c>
      <c r="D465">
        <v>3</v>
      </c>
      <c r="E465">
        <v>0</v>
      </c>
      <c r="F465">
        <v>0</v>
      </c>
      <c r="G465">
        <v>0</v>
      </c>
      <c r="H465">
        <v>3</v>
      </c>
      <c r="I465" s="1">
        <v>46204</v>
      </c>
      <c r="J465">
        <v>0</v>
      </c>
      <c r="K465" t="s">
        <v>26</v>
      </c>
    </row>
    <row r="466" spans="1:11">
      <c r="A466" s="1">
        <v>46233</v>
      </c>
      <c r="B466" t="s">
        <v>21</v>
      </c>
      <c r="C466" t="s">
        <v>37</v>
      </c>
      <c r="D466">
        <v>2</v>
      </c>
      <c r="E466">
        <v>0</v>
      </c>
      <c r="F466">
        <v>0</v>
      </c>
      <c r="G466">
        <v>0</v>
      </c>
      <c r="H466">
        <v>2</v>
      </c>
      <c r="I466" s="1">
        <v>46204</v>
      </c>
      <c r="J466">
        <v>0</v>
      </c>
      <c r="K466" t="s">
        <v>26</v>
      </c>
    </row>
    <row r="467" spans="1:11">
      <c r="A467" s="1">
        <v>46233</v>
      </c>
      <c r="B467" t="s">
        <v>21</v>
      </c>
      <c r="C467" t="s">
        <v>47</v>
      </c>
      <c r="D467">
        <v>6</v>
      </c>
      <c r="E467">
        <v>0</v>
      </c>
      <c r="F467">
        <v>0</v>
      </c>
      <c r="G467">
        <v>0</v>
      </c>
      <c r="H467">
        <v>6</v>
      </c>
      <c r="I467" s="1">
        <v>46204</v>
      </c>
      <c r="J467">
        <v>0</v>
      </c>
      <c r="K467" t="s">
        <v>26</v>
      </c>
    </row>
    <row r="468" spans="1:11">
      <c r="A468" s="1">
        <v>46233</v>
      </c>
      <c r="B468" t="s">
        <v>21</v>
      </c>
      <c r="C468" t="s">
        <v>45</v>
      </c>
      <c r="D468">
        <v>9</v>
      </c>
      <c r="E468">
        <v>0</v>
      </c>
      <c r="F468">
        <v>0</v>
      </c>
      <c r="G468">
        <v>0</v>
      </c>
      <c r="H468">
        <v>9</v>
      </c>
      <c r="I468" s="1">
        <v>46204</v>
      </c>
      <c r="J468">
        <v>0</v>
      </c>
      <c r="K468" t="s">
        <v>26</v>
      </c>
    </row>
    <row r="469" spans="1:11">
      <c r="A469" s="1">
        <v>46233</v>
      </c>
      <c r="B469" t="s">
        <v>21</v>
      </c>
      <c r="C469" t="s">
        <v>34</v>
      </c>
      <c r="D469">
        <v>5</v>
      </c>
      <c r="E469">
        <v>0</v>
      </c>
      <c r="F469">
        <v>0</v>
      </c>
      <c r="G469">
        <v>0</v>
      </c>
      <c r="H469">
        <v>5</v>
      </c>
      <c r="I469" s="1">
        <v>46204</v>
      </c>
      <c r="J469">
        <v>0</v>
      </c>
      <c r="K469" t="s">
        <v>26</v>
      </c>
    </row>
    <row r="470" spans="1:11">
      <c r="A470" s="1">
        <v>46233</v>
      </c>
      <c r="B470" t="s">
        <v>21</v>
      </c>
      <c r="C470" t="s">
        <v>29</v>
      </c>
      <c r="D470">
        <v>3</v>
      </c>
      <c r="E470">
        <v>0</v>
      </c>
      <c r="F470">
        <v>0</v>
      </c>
      <c r="G470">
        <v>0</v>
      </c>
      <c r="H470">
        <v>3</v>
      </c>
      <c r="I470" s="1">
        <v>46204</v>
      </c>
      <c r="J470">
        <v>0</v>
      </c>
      <c r="K470" t="s">
        <v>26</v>
      </c>
    </row>
    <row r="471" spans="1:11">
      <c r="A471" s="1">
        <v>46233</v>
      </c>
      <c r="B471" t="s">
        <v>21</v>
      </c>
      <c r="C471" t="s">
        <v>32</v>
      </c>
      <c r="D471">
        <v>15</v>
      </c>
      <c r="E471">
        <v>0</v>
      </c>
      <c r="F471">
        <v>0</v>
      </c>
      <c r="G471">
        <v>0</v>
      </c>
      <c r="H471">
        <v>15</v>
      </c>
      <c r="I471" s="1">
        <v>46204</v>
      </c>
      <c r="J471">
        <v>0</v>
      </c>
      <c r="K471" t="s">
        <v>26</v>
      </c>
    </row>
    <row r="472" spans="1:11">
      <c r="A472" s="1">
        <v>46233</v>
      </c>
      <c r="B472" t="s">
        <v>21</v>
      </c>
      <c r="C472" t="s">
        <v>44</v>
      </c>
      <c r="D472">
        <v>9</v>
      </c>
      <c r="E472">
        <v>0</v>
      </c>
      <c r="F472">
        <v>0</v>
      </c>
      <c r="G472">
        <v>0</v>
      </c>
      <c r="H472">
        <v>9</v>
      </c>
      <c r="I472" s="1">
        <v>46204</v>
      </c>
      <c r="J472">
        <v>0</v>
      </c>
      <c r="K472" t="s">
        <v>26</v>
      </c>
    </row>
    <row r="473" spans="1:11">
      <c r="A473" s="1">
        <v>46233</v>
      </c>
      <c r="B473" t="s">
        <v>21</v>
      </c>
      <c r="C473" t="s">
        <v>49</v>
      </c>
      <c r="D473">
        <v>16</v>
      </c>
      <c r="E473">
        <v>0</v>
      </c>
      <c r="F473">
        <v>0</v>
      </c>
      <c r="G473">
        <v>0</v>
      </c>
      <c r="H473">
        <v>16</v>
      </c>
      <c r="I473" s="1">
        <v>46204</v>
      </c>
      <c r="J473">
        <v>0</v>
      </c>
      <c r="K473" t="s">
        <v>26</v>
      </c>
    </row>
    <row r="474" spans="1:11">
      <c r="A474" s="1">
        <v>46261</v>
      </c>
      <c r="B474" t="s">
        <v>40</v>
      </c>
      <c r="C474" t="s">
        <v>50</v>
      </c>
      <c r="D474">
        <v>179</v>
      </c>
      <c r="E474">
        <v>0</v>
      </c>
      <c r="F474">
        <v>0</v>
      </c>
      <c r="G474">
        <v>0</v>
      </c>
      <c r="H474">
        <v>179</v>
      </c>
      <c r="I474" s="1">
        <v>46235</v>
      </c>
      <c r="J474">
        <v>0</v>
      </c>
      <c r="K474" t="s">
        <v>26</v>
      </c>
    </row>
    <row r="475" spans="1:11">
      <c r="A475" s="1">
        <v>46261</v>
      </c>
      <c r="B475" t="s">
        <v>40</v>
      </c>
      <c r="C475" t="s">
        <v>33</v>
      </c>
      <c r="D475">
        <v>27</v>
      </c>
      <c r="E475">
        <v>0</v>
      </c>
      <c r="F475">
        <v>0</v>
      </c>
      <c r="G475">
        <v>0</v>
      </c>
      <c r="H475">
        <v>27</v>
      </c>
      <c r="I475" s="1">
        <v>46235</v>
      </c>
      <c r="J475">
        <v>0</v>
      </c>
      <c r="K475" t="s">
        <v>26</v>
      </c>
    </row>
    <row r="476" spans="1:11">
      <c r="A476" s="1">
        <v>46261</v>
      </c>
      <c r="B476" t="s">
        <v>21</v>
      </c>
      <c r="C476" t="s">
        <v>48</v>
      </c>
      <c r="D476">
        <v>14</v>
      </c>
      <c r="E476">
        <v>0</v>
      </c>
      <c r="F476">
        <v>0</v>
      </c>
      <c r="G476">
        <v>0</v>
      </c>
      <c r="H476">
        <v>14</v>
      </c>
      <c r="I476" s="1">
        <v>46235</v>
      </c>
      <c r="J476">
        <v>0</v>
      </c>
      <c r="K476" t="s">
        <v>26</v>
      </c>
    </row>
    <row r="477" spans="1:11">
      <c r="A477" s="1">
        <v>46261</v>
      </c>
      <c r="B477" t="s">
        <v>21</v>
      </c>
      <c r="C477" t="s">
        <v>30</v>
      </c>
      <c r="D477">
        <v>4</v>
      </c>
      <c r="E477">
        <v>0</v>
      </c>
      <c r="F477">
        <v>0</v>
      </c>
      <c r="G477">
        <v>0</v>
      </c>
      <c r="H477">
        <v>4</v>
      </c>
      <c r="I477" s="1">
        <v>46235</v>
      </c>
      <c r="J477">
        <v>0</v>
      </c>
      <c r="K477" t="s">
        <v>26</v>
      </c>
    </row>
    <row r="478" spans="1:11">
      <c r="A478" s="1">
        <v>46261</v>
      </c>
      <c r="B478" t="s">
        <v>21</v>
      </c>
      <c r="C478" t="s">
        <v>47</v>
      </c>
      <c r="D478">
        <v>4</v>
      </c>
      <c r="E478">
        <v>0</v>
      </c>
      <c r="F478">
        <v>0</v>
      </c>
      <c r="G478">
        <v>0</v>
      </c>
      <c r="H478">
        <v>4</v>
      </c>
      <c r="I478" s="1">
        <v>46235</v>
      </c>
      <c r="J478">
        <v>0</v>
      </c>
      <c r="K478" t="s">
        <v>26</v>
      </c>
    </row>
    <row r="479" spans="1:11">
      <c r="A479" s="1">
        <v>46261</v>
      </c>
      <c r="B479" t="s">
        <v>21</v>
      </c>
      <c r="C479" t="s">
        <v>45</v>
      </c>
      <c r="D479">
        <v>14</v>
      </c>
      <c r="E479">
        <v>0</v>
      </c>
      <c r="F479">
        <v>0</v>
      </c>
      <c r="G479">
        <v>0</v>
      </c>
      <c r="H479">
        <v>14</v>
      </c>
      <c r="I479" s="1">
        <v>46235</v>
      </c>
      <c r="J479">
        <v>0</v>
      </c>
      <c r="K479" t="s">
        <v>26</v>
      </c>
    </row>
    <row r="480" spans="1:11">
      <c r="A480" s="1">
        <v>46261</v>
      </c>
      <c r="B480" t="s">
        <v>21</v>
      </c>
      <c r="C480" t="s">
        <v>52</v>
      </c>
      <c r="D480">
        <v>28</v>
      </c>
      <c r="E480">
        <v>0</v>
      </c>
      <c r="F480">
        <v>0</v>
      </c>
      <c r="G480">
        <v>0</v>
      </c>
      <c r="H480">
        <v>28</v>
      </c>
      <c r="I480" s="1">
        <v>46235</v>
      </c>
      <c r="J480">
        <v>0</v>
      </c>
      <c r="K480" t="s">
        <v>26</v>
      </c>
    </row>
    <row r="481" spans="1:11">
      <c r="A481" s="1">
        <v>46261</v>
      </c>
      <c r="B481" t="s">
        <v>21</v>
      </c>
      <c r="C481" t="s">
        <v>46</v>
      </c>
      <c r="D481">
        <v>27</v>
      </c>
      <c r="E481">
        <v>0</v>
      </c>
      <c r="F481">
        <v>0</v>
      </c>
      <c r="G481">
        <v>0</v>
      </c>
      <c r="H481">
        <v>27</v>
      </c>
      <c r="I481" s="1">
        <v>46235</v>
      </c>
      <c r="J481">
        <v>0</v>
      </c>
      <c r="K481" t="s">
        <v>26</v>
      </c>
    </row>
    <row r="482" spans="1:11">
      <c r="A482" s="1">
        <v>46261</v>
      </c>
      <c r="B482" t="s">
        <v>21</v>
      </c>
      <c r="C482" t="s">
        <v>34</v>
      </c>
      <c r="D482">
        <v>5</v>
      </c>
      <c r="E482">
        <v>0</v>
      </c>
      <c r="F482">
        <v>0</v>
      </c>
      <c r="G482">
        <v>0</v>
      </c>
      <c r="H482">
        <v>5</v>
      </c>
      <c r="I482" s="1">
        <v>46235</v>
      </c>
      <c r="J482">
        <v>0</v>
      </c>
      <c r="K482" t="s">
        <v>26</v>
      </c>
    </row>
    <row r="483" spans="1:11">
      <c r="A483" s="1">
        <v>46261</v>
      </c>
      <c r="B483" t="s">
        <v>21</v>
      </c>
      <c r="C483" t="s">
        <v>29</v>
      </c>
      <c r="D483">
        <v>10</v>
      </c>
      <c r="E483">
        <v>0</v>
      </c>
      <c r="F483">
        <v>0</v>
      </c>
      <c r="G483">
        <v>0</v>
      </c>
      <c r="H483">
        <v>10</v>
      </c>
      <c r="I483" s="1">
        <v>46235</v>
      </c>
      <c r="J483">
        <v>0</v>
      </c>
      <c r="K483" t="s">
        <v>26</v>
      </c>
    </row>
    <row r="484" spans="1:11">
      <c r="A484" s="1">
        <v>46261</v>
      </c>
      <c r="B484" t="s">
        <v>21</v>
      </c>
      <c r="C484" t="s">
        <v>32</v>
      </c>
      <c r="D484">
        <v>6</v>
      </c>
      <c r="E484">
        <v>0</v>
      </c>
      <c r="F484">
        <v>0</v>
      </c>
      <c r="G484">
        <v>0</v>
      </c>
      <c r="H484">
        <v>6</v>
      </c>
      <c r="I484" s="1">
        <v>46235</v>
      </c>
      <c r="J484">
        <v>0</v>
      </c>
      <c r="K484" t="s">
        <v>26</v>
      </c>
    </row>
    <row r="485" spans="1:11">
      <c r="A485" s="1">
        <v>46261</v>
      </c>
      <c r="B485" t="s">
        <v>21</v>
      </c>
      <c r="C485" t="s">
        <v>44</v>
      </c>
      <c r="D485">
        <v>10</v>
      </c>
      <c r="E485">
        <v>0</v>
      </c>
      <c r="F485">
        <v>0</v>
      </c>
      <c r="G485">
        <v>0</v>
      </c>
      <c r="H485">
        <v>10</v>
      </c>
      <c r="I485" s="1">
        <v>46235</v>
      </c>
      <c r="J485">
        <v>0</v>
      </c>
      <c r="K485" t="s">
        <v>26</v>
      </c>
    </row>
    <row r="486" spans="1:11">
      <c r="A486" s="1">
        <v>46261</v>
      </c>
      <c r="B486" t="s">
        <v>21</v>
      </c>
      <c r="C486" t="s">
        <v>49</v>
      </c>
      <c r="D486">
        <v>17</v>
      </c>
      <c r="E486">
        <v>0</v>
      </c>
      <c r="F486">
        <v>0</v>
      </c>
      <c r="G486">
        <v>0</v>
      </c>
      <c r="H486">
        <v>17</v>
      </c>
      <c r="I486" s="1">
        <v>46235</v>
      </c>
      <c r="J486">
        <v>0</v>
      </c>
      <c r="K486" t="s">
        <v>26</v>
      </c>
    </row>
    <row r="487" spans="1:11">
      <c r="A487" s="1">
        <v>44952</v>
      </c>
      <c r="B487" t="s">
        <v>21</v>
      </c>
      <c r="C487" t="s">
        <v>33</v>
      </c>
      <c r="D487">
        <v>25</v>
      </c>
      <c r="E487">
        <v>2</v>
      </c>
      <c r="F487">
        <v>0</v>
      </c>
      <c r="G487">
        <v>0</v>
      </c>
      <c r="H487">
        <v>27</v>
      </c>
      <c r="I487" s="1">
        <v>44927</v>
      </c>
      <c r="J487">
        <v>0</v>
      </c>
      <c r="K487" t="s">
        <v>23</v>
      </c>
    </row>
    <row r="488" spans="1:11">
      <c r="A488" s="1">
        <v>44980</v>
      </c>
      <c r="B488" t="s">
        <v>21</v>
      </c>
      <c r="C488" t="s">
        <v>30</v>
      </c>
      <c r="D488">
        <v>46</v>
      </c>
      <c r="E488">
        <v>2</v>
      </c>
      <c r="F488">
        <v>0</v>
      </c>
      <c r="G488">
        <v>0</v>
      </c>
      <c r="H488">
        <v>48</v>
      </c>
      <c r="I488" s="1">
        <v>44958</v>
      </c>
      <c r="J488">
        <v>0</v>
      </c>
      <c r="K488" t="s">
        <v>23</v>
      </c>
    </row>
    <row r="489" spans="1:11">
      <c r="A489" s="1">
        <v>44980</v>
      </c>
      <c r="B489" t="s">
        <v>21</v>
      </c>
      <c r="C489" t="s">
        <v>34</v>
      </c>
      <c r="D489">
        <v>32</v>
      </c>
      <c r="E489">
        <v>2</v>
      </c>
      <c r="F489">
        <v>0</v>
      </c>
      <c r="G489">
        <v>0</v>
      </c>
      <c r="H489">
        <v>34</v>
      </c>
      <c r="I489" s="1">
        <v>44958</v>
      </c>
      <c r="J489">
        <v>0</v>
      </c>
      <c r="K489" t="s">
        <v>23</v>
      </c>
    </row>
    <row r="490" spans="1:11">
      <c r="A490" s="1">
        <v>45015</v>
      </c>
      <c r="B490" t="s">
        <v>21</v>
      </c>
      <c r="C490" t="s">
        <v>34</v>
      </c>
      <c r="D490">
        <v>26</v>
      </c>
      <c r="E490">
        <v>2</v>
      </c>
      <c r="F490">
        <v>0</v>
      </c>
      <c r="G490">
        <v>0</v>
      </c>
      <c r="H490">
        <v>28</v>
      </c>
      <c r="I490" s="1">
        <v>44986</v>
      </c>
      <c r="J490">
        <v>0</v>
      </c>
      <c r="K490" t="s">
        <v>23</v>
      </c>
    </row>
    <row r="491" spans="1:11">
      <c r="A491" s="1">
        <v>45071</v>
      </c>
      <c r="B491" t="s">
        <v>21</v>
      </c>
      <c r="C491" t="s">
        <v>34</v>
      </c>
      <c r="D491">
        <v>35</v>
      </c>
      <c r="E491">
        <v>2</v>
      </c>
      <c r="F491">
        <v>0</v>
      </c>
      <c r="G491">
        <v>0</v>
      </c>
      <c r="H491">
        <v>37</v>
      </c>
      <c r="I491" s="1">
        <v>45047</v>
      </c>
      <c r="J491">
        <v>0</v>
      </c>
      <c r="K491" t="s">
        <v>23</v>
      </c>
    </row>
    <row r="492" spans="1:11">
      <c r="A492" s="1">
        <v>45106</v>
      </c>
      <c r="B492" t="s">
        <v>21</v>
      </c>
      <c r="C492" t="s">
        <v>34</v>
      </c>
      <c r="D492">
        <v>39</v>
      </c>
      <c r="E492">
        <v>2</v>
      </c>
      <c r="F492">
        <v>0</v>
      </c>
      <c r="G492">
        <v>0</v>
      </c>
      <c r="H492">
        <v>41</v>
      </c>
      <c r="I492" s="1">
        <v>45078</v>
      </c>
      <c r="J492">
        <v>0</v>
      </c>
      <c r="K492" t="s">
        <v>23</v>
      </c>
    </row>
    <row r="493" spans="1:11">
      <c r="A493" s="1">
        <v>45106</v>
      </c>
      <c r="B493" t="s">
        <v>21</v>
      </c>
      <c r="C493" t="s">
        <v>36</v>
      </c>
      <c r="D493">
        <v>36</v>
      </c>
      <c r="E493">
        <v>2</v>
      </c>
      <c r="F493">
        <v>0</v>
      </c>
      <c r="G493">
        <v>0</v>
      </c>
      <c r="H493">
        <v>38</v>
      </c>
      <c r="I493" s="1">
        <v>45078</v>
      </c>
      <c r="J493">
        <v>0</v>
      </c>
      <c r="K493" t="s">
        <v>23</v>
      </c>
    </row>
    <row r="494" spans="1:11">
      <c r="A494" s="1">
        <v>45134</v>
      </c>
      <c r="B494" t="s">
        <v>21</v>
      </c>
      <c r="C494" t="s">
        <v>34</v>
      </c>
      <c r="D494">
        <v>38</v>
      </c>
      <c r="E494">
        <v>2</v>
      </c>
      <c r="F494">
        <v>0</v>
      </c>
      <c r="G494">
        <v>0</v>
      </c>
      <c r="H494">
        <v>40</v>
      </c>
      <c r="I494" s="1">
        <v>45108</v>
      </c>
      <c r="J494">
        <v>0</v>
      </c>
      <c r="K494" t="s">
        <v>23</v>
      </c>
    </row>
    <row r="495" spans="1:11">
      <c r="A495" s="1">
        <v>45169</v>
      </c>
      <c r="B495" t="s">
        <v>21</v>
      </c>
      <c r="C495" t="s">
        <v>34</v>
      </c>
      <c r="D495">
        <v>33</v>
      </c>
      <c r="E495">
        <v>2</v>
      </c>
      <c r="F495">
        <v>0</v>
      </c>
      <c r="G495">
        <v>0</v>
      </c>
      <c r="H495">
        <v>35</v>
      </c>
      <c r="I495" s="1">
        <v>45139</v>
      </c>
      <c r="J495">
        <v>0</v>
      </c>
      <c r="K495" t="s">
        <v>23</v>
      </c>
    </row>
    <row r="496" spans="1:11">
      <c r="A496" s="1">
        <v>45169</v>
      </c>
      <c r="B496" t="s">
        <v>21</v>
      </c>
      <c r="C496" t="s">
        <v>36</v>
      </c>
      <c r="D496">
        <v>20</v>
      </c>
      <c r="E496">
        <v>2</v>
      </c>
      <c r="F496">
        <v>0</v>
      </c>
      <c r="G496">
        <v>0</v>
      </c>
      <c r="H496">
        <v>22</v>
      </c>
      <c r="I496" s="1">
        <v>45139</v>
      </c>
      <c r="J496">
        <v>0</v>
      </c>
      <c r="K496" t="s">
        <v>23</v>
      </c>
    </row>
    <row r="497" spans="1:11">
      <c r="A497" s="1">
        <v>45197</v>
      </c>
      <c r="B497" t="s">
        <v>21</v>
      </c>
      <c r="C497" t="s">
        <v>34</v>
      </c>
      <c r="D497">
        <v>34</v>
      </c>
      <c r="E497">
        <v>2</v>
      </c>
      <c r="F497">
        <v>0</v>
      </c>
      <c r="G497">
        <v>0</v>
      </c>
      <c r="H497">
        <v>35</v>
      </c>
      <c r="I497" s="1">
        <v>45170</v>
      </c>
      <c r="J497">
        <v>0</v>
      </c>
      <c r="K497" t="s">
        <v>23</v>
      </c>
    </row>
    <row r="498" spans="1:11">
      <c r="A498" s="1">
        <v>45225</v>
      </c>
      <c r="B498" t="s">
        <v>21</v>
      </c>
      <c r="C498" t="s">
        <v>30</v>
      </c>
      <c r="D498">
        <v>49</v>
      </c>
      <c r="E498">
        <v>2</v>
      </c>
      <c r="F498">
        <v>0</v>
      </c>
      <c r="G498">
        <v>0</v>
      </c>
      <c r="H498">
        <v>51</v>
      </c>
      <c r="I498" s="1">
        <v>45200</v>
      </c>
      <c r="J498">
        <v>0</v>
      </c>
      <c r="K498" t="s">
        <v>23</v>
      </c>
    </row>
    <row r="499" spans="1:11">
      <c r="A499" s="1">
        <v>45225</v>
      </c>
      <c r="B499" t="s">
        <v>21</v>
      </c>
      <c r="C499" t="s">
        <v>34</v>
      </c>
      <c r="D499">
        <v>36</v>
      </c>
      <c r="E499">
        <v>2</v>
      </c>
      <c r="F499">
        <v>0</v>
      </c>
      <c r="G499">
        <v>0</v>
      </c>
      <c r="H499">
        <v>37</v>
      </c>
      <c r="I499" s="1">
        <v>45200</v>
      </c>
      <c r="J499">
        <v>0</v>
      </c>
      <c r="K499" t="s">
        <v>23</v>
      </c>
    </row>
    <row r="500" spans="1:11">
      <c r="A500" s="1">
        <v>45260</v>
      </c>
      <c r="B500" t="s">
        <v>21</v>
      </c>
      <c r="C500" t="s">
        <v>30</v>
      </c>
      <c r="D500">
        <v>52</v>
      </c>
      <c r="E500">
        <v>2</v>
      </c>
      <c r="F500">
        <v>0</v>
      </c>
      <c r="G500">
        <v>0</v>
      </c>
      <c r="H500">
        <v>54</v>
      </c>
      <c r="I500" s="1">
        <v>45231</v>
      </c>
      <c r="J500">
        <v>0</v>
      </c>
      <c r="K500" t="s">
        <v>23</v>
      </c>
    </row>
    <row r="501" spans="1:11">
      <c r="A501" s="1">
        <v>45288</v>
      </c>
      <c r="B501" t="s">
        <v>21</v>
      </c>
      <c r="C501" t="s">
        <v>30</v>
      </c>
      <c r="D501">
        <v>62</v>
      </c>
      <c r="E501">
        <v>2</v>
      </c>
      <c r="F501">
        <v>0</v>
      </c>
      <c r="G501">
        <v>0</v>
      </c>
      <c r="H501">
        <v>64</v>
      </c>
      <c r="I501" s="1">
        <v>45261</v>
      </c>
      <c r="J501">
        <v>0</v>
      </c>
      <c r="K501" t="s">
        <v>23</v>
      </c>
    </row>
    <row r="502" spans="1:11">
      <c r="A502" s="1">
        <v>45316</v>
      </c>
      <c r="B502" t="s">
        <v>21</v>
      </c>
      <c r="C502" t="s">
        <v>34</v>
      </c>
      <c r="D502">
        <v>33</v>
      </c>
      <c r="E502">
        <v>2</v>
      </c>
      <c r="F502">
        <v>0</v>
      </c>
      <c r="G502">
        <v>0</v>
      </c>
      <c r="H502">
        <v>35</v>
      </c>
      <c r="I502" s="1">
        <v>45292</v>
      </c>
      <c r="J502">
        <v>0</v>
      </c>
      <c r="K502" t="s">
        <v>23</v>
      </c>
    </row>
    <row r="503" spans="1:11">
      <c r="A503" s="1">
        <v>45407</v>
      </c>
      <c r="B503" t="s">
        <v>21</v>
      </c>
      <c r="C503" t="s">
        <v>30</v>
      </c>
      <c r="D503">
        <v>53</v>
      </c>
      <c r="E503">
        <v>2</v>
      </c>
      <c r="F503">
        <v>0</v>
      </c>
      <c r="G503">
        <v>0</v>
      </c>
      <c r="H503">
        <v>55</v>
      </c>
      <c r="I503" s="1">
        <v>45383</v>
      </c>
      <c r="J503">
        <v>0</v>
      </c>
      <c r="K503" t="s">
        <v>23</v>
      </c>
    </row>
    <row r="504" spans="1:11">
      <c r="A504" s="1">
        <v>45407</v>
      </c>
      <c r="B504" t="s">
        <v>21</v>
      </c>
      <c r="C504" t="s">
        <v>22</v>
      </c>
      <c r="D504">
        <v>2</v>
      </c>
      <c r="E504">
        <v>2</v>
      </c>
      <c r="F504">
        <v>0</v>
      </c>
      <c r="G504">
        <v>0</v>
      </c>
      <c r="H504">
        <v>3</v>
      </c>
      <c r="I504" s="1">
        <v>45383</v>
      </c>
      <c r="J504">
        <v>0</v>
      </c>
      <c r="K504" t="s">
        <v>23</v>
      </c>
    </row>
    <row r="505" spans="1:11">
      <c r="A505" s="1">
        <v>45470</v>
      </c>
      <c r="B505" t="s">
        <v>21</v>
      </c>
      <c r="C505" t="s">
        <v>39</v>
      </c>
      <c r="D505">
        <v>6</v>
      </c>
      <c r="E505">
        <v>2</v>
      </c>
      <c r="F505">
        <v>0</v>
      </c>
      <c r="G505">
        <v>0</v>
      </c>
      <c r="H505">
        <v>8</v>
      </c>
      <c r="I505" s="1">
        <v>45444</v>
      </c>
      <c r="J505">
        <v>0</v>
      </c>
      <c r="K505" t="s">
        <v>23</v>
      </c>
    </row>
    <row r="506" spans="1:11">
      <c r="A506" s="1">
        <v>45498</v>
      </c>
      <c r="B506" t="s">
        <v>21</v>
      </c>
      <c r="C506" t="s">
        <v>39</v>
      </c>
      <c r="D506">
        <v>5</v>
      </c>
      <c r="E506">
        <v>2</v>
      </c>
      <c r="F506">
        <v>0</v>
      </c>
      <c r="G506">
        <v>0</v>
      </c>
      <c r="H506">
        <v>6</v>
      </c>
      <c r="I506" s="1">
        <v>45474</v>
      </c>
      <c r="J506">
        <v>0</v>
      </c>
      <c r="K506" t="s">
        <v>23</v>
      </c>
    </row>
    <row r="507" spans="1:11">
      <c r="A507" s="1">
        <v>45687</v>
      </c>
      <c r="B507" t="s">
        <v>21</v>
      </c>
      <c r="C507" t="s">
        <v>38</v>
      </c>
      <c r="D507">
        <v>32</v>
      </c>
      <c r="E507">
        <v>2</v>
      </c>
      <c r="F507">
        <v>0</v>
      </c>
      <c r="G507">
        <v>0</v>
      </c>
      <c r="H507">
        <v>34</v>
      </c>
      <c r="I507" s="1">
        <v>45658</v>
      </c>
      <c r="J507">
        <v>0</v>
      </c>
      <c r="K507" t="s">
        <v>23</v>
      </c>
    </row>
    <row r="508" spans="1:11">
      <c r="A508" s="1">
        <v>45687</v>
      </c>
      <c r="B508" t="s">
        <v>21</v>
      </c>
      <c r="C508" t="s">
        <v>34</v>
      </c>
      <c r="D508">
        <v>9</v>
      </c>
      <c r="E508">
        <v>2</v>
      </c>
      <c r="F508">
        <v>0</v>
      </c>
      <c r="G508">
        <v>0</v>
      </c>
      <c r="H508">
        <v>11</v>
      </c>
      <c r="I508" s="1">
        <v>45658</v>
      </c>
      <c r="J508">
        <v>0</v>
      </c>
      <c r="K508" t="s">
        <v>23</v>
      </c>
    </row>
    <row r="509" spans="1:11">
      <c r="A509" s="1">
        <v>45715</v>
      </c>
      <c r="B509" t="s">
        <v>21</v>
      </c>
      <c r="C509" t="s">
        <v>33</v>
      </c>
      <c r="D509">
        <v>29</v>
      </c>
      <c r="E509">
        <v>2</v>
      </c>
      <c r="F509">
        <v>0</v>
      </c>
      <c r="G509">
        <v>0</v>
      </c>
      <c r="H509">
        <v>31</v>
      </c>
      <c r="I509" s="1">
        <v>45689</v>
      </c>
      <c r="J509">
        <v>0</v>
      </c>
      <c r="K509" t="s">
        <v>23</v>
      </c>
    </row>
    <row r="510" spans="1:11">
      <c r="A510" s="1">
        <v>45806</v>
      </c>
      <c r="B510" t="s">
        <v>40</v>
      </c>
      <c r="C510" t="s">
        <v>50</v>
      </c>
      <c r="D510">
        <v>771</v>
      </c>
      <c r="E510">
        <v>2</v>
      </c>
      <c r="F510">
        <v>0</v>
      </c>
      <c r="G510">
        <v>0</v>
      </c>
      <c r="H510">
        <v>773</v>
      </c>
      <c r="I510" s="1">
        <v>45778</v>
      </c>
      <c r="J510">
        <v>0</v>
      </c>
      <c r="K510" t="s">
        <v>23</v>
      </c>
    </row>
    <row r="511" spans="1:11">
      <c r="A511" s="1">
        <v>45834</v>
      </c>
      <c r="B511" t="s">
        <v>21</v>
      </c>
      <c r="C511" t="s">
        <v>33</v>
      </c>
      <c r="D511">
        <v>15</v>
      </c>
      <c r="E511">
        <v>2</v>
      </c>
      <c r="F511">
        <v>0</v>
      </c>
      <c r="G511">
        <v>0</v>
      </c>
      <c r="H511">
        <v>17</v>
      </c>
      <c r="I511" s="1">
        <v>45809</v>
      </c>
      <c r="J511">
        <v>0</v>
      </c>
      <c r="K511" t="s">
        <v>23</v>
      </c>
    </row>
    <row r="512" spans="1:11">
      <c r="A512" s="1">
        <v>45869</v>
      </c>
      <c r="B512" t="s">
        <v>21</v>
      </c>
      <c r="C512" t="s">
        <v>33</v>
      </c>
      <c r="D512">
        <v>13</v>
      </c>
      <c r="E512">
        <v>2</v>
      </c>
      <c r="F512">
        <v>0</v>
      </c>
      <c r="G512">
        <v>0</v>
      </c>
      <c r="H512">
        <v>15</v>
      </c>
      <c r="I512" s="1">
        <v>45839</v>
      </c>
      <c r="J512">
        <v>0</v>
      </c>
      <c r="K512" t="s">
        <v>23</v>
      </c>
    </row>
    <row r="513" spans="1:11">
      <c r="A513" s="1">
        <v>45869</v>
      </c>
      <c r="B513" t="s">
        <v>21</v>
      </c>
      <c r="C513" t="s">
        <v>39</v>
      </c>
      <c r="D513">
        <v>8</v>
      </c>
      <c r="E513">
        <v>2</v>
      </c>
      <c r="F513">
        <v>0</v>
      </c>
      <c r="G513">
        <v>0</v>
      </c>
      <c r="H513">
        <v>10</v>
      </c>
      <c r="I513" s="1">
        <v>45839</v>
      </c>
      <c r="J513">
        <v>0</v>
      </c>
      <c r="K513" t="s">
        <v>23</v>
      </c>
    </row>
    <row r="514" spans="1:11">
      <c r="A514" s="1">
        <v>45925</v>
      </c>
      <c r="B514" t="s">
        <v>21</v>
      </c>
      <c r="C514" t="s">
        <v>39</v>
      </c>
      <c r="D514">
        <v>10</v>
      </c>
      <c r="E514">
        <v>2</v>
      </c>
      <c r="F514">
        <v>0</v>
      </c>
      <c r="G514">
        <v>0</v>
      </c>
      <c r="H514">
        <v>12</v>
      </c>
      <c r="I514" s="1">
        <v>45901</v>
      </c>
      <c r="J514">
        <v>0</v>
      </c>
      <c r="K514" t="s">
        <v>23</v>
      </c>
    </row>
    <row r="515" spans="1:11">
      <c r="A515" s="1">
        <v>45988</v>
      </c>
      <c r="B515" t="s">
        <v>21</v>
      </c>
      <c r="C515" t="s">
        <v>25</v>
      </c>
      <c r="D515">
        <v>5</v>
      </c>
      <c r="E515">
        <v>2</v>
      </c>
      <c r="F515">
        <v>0</v>
      </c>
      <c r="G515">
        <v>0</v>
      </c>
      <c r="H515">
        <v>6</v>
      </c>
      <c r="I515" s="1">
        <v>45962</v>
      </c>
      <c r="J515">
        <v>0</v>
      </c>
      <c r="K515" t="s">
        <v>23</v>
      </c>
    </row>
    <row r="516" spans="1:11">
      <c r="A516" s="1">
        <v>46051</v>
      </c>
      <c r="B516" t="s">
        <v>21</v>
      </c>
      <c r="C516" t="s">
        <v>38</v>
      </c>
      <c r="D516">
        <v>54</v>
      </c>
      <c r="E516">
        <v>2</v>
      </c>
      <c r="F516">
        <v>0</v>
      </c>
      <c r="G516">
        <v>0</v>
      </c>
      <c r="H516">
        <v>56</v>
      </c>
      <c r="I516" s="1">
        <v>46023</v>
      </c>
      <c r="J516">
        <v>0</v>
      </c>
      <c r="K516" t="s">
        <v>23</v>
      </c>
    </row>
    <row r="517" spans="1:11">
      <c r="A517" s="1">
        <v>46051</v>
      </c>
      <c r="B517" t="s">
        <v>21</v>
      </c>
      <c r="C517" t="s">
        <v>34</v>
      </c>
      <c r="D517">
        <v>34</v>
      </c>
      <c r="E517">
        <v>2</v>
      </c>
      <c r="F517">
        <v>0</v>
      </c>
      <c r="G517">
        <v>0</v>
      </c>
      <c r="H517">
        <v>36</v>
      </c>
      <c r="I517" s="1">
        <v>46023</v>
      </c>
      <c r="J517">
        <v>0</v>
      </c>
      <c r="K517" t="s">
        <v>23</v>
      </c>
    </row>
    <row r="518" spans="1:11">
      <c r="A518" s="1">
        <v>46170</v>
      </c>
      <c r="B518" t="s">
        <v>21</v>
      </c>
      <c r="C518" t="s">
        <v>35</v>
      </c>
      <c r="D518">
        <v>17</v>
      </c>
      <c r="E518">
        <v>2</v>
      </c>
      <c r="F518">
        <v>0</v>
      </c>
      <c r="G518">
        <v>0</v>
      </c>
      <c r="H518">
        <v>19</v>
      </c>
      <c r="I518" s="1">
        <v>46143</v>
      </c>
      <c r="J518">
        <v>0</v>
      </c>
      <c r="K518" t="s">
        <v>23</v>
      </c>
    </row>
    <row r="519" spans="1:11">
      <c r="A519" s="1">
        <v>46198</v>
      </c>
      <c r="B519" t="s">
        <v>21</v>
      </c>
      <c r="C519" t="s">
        <v>25</v>
      </c>
      <c r="D519">
        <v>4</v>
      </c>
      <c r="E519">
        <v>2</v>
      </c>
      <c r="F519">
        <v>0</v>
      </c>
      <c r="G519">
        <v>0</v>
      </c>
      <c r="H519">
        <v>6</v>
      </c>
      <c r="I519" s="1">
        <v>46174</v>
      </c>
      <c r="J519">
        <v>0</v>
      </c>
      <c r="K519" t="s">
        <v>23</v>
      </c>
    </row>
    <row r="520" spans="1:11">
      <c r="A520" s="1">
        <v>46261</v>
      </c>
      <c r="B520" t="s">
        <v>21</v>
      </c>
      <c r="C520" t="s">
        <v>37</v>
      </c>
      <c r="D520">
        <v>8</v>
      </c>
      <c r="E520">
        <v>2</v>
      </c>
      <c r="F520">
        <v>0</v>
      </c>
      <c r="G520">
        <v>0</v>
      </c>
      <c r="H520">
        <v>10</v>
      </c>
      <c r="I520" s="1">
        <v>46235</v>
      </c>
      <c r="J520">
        <v>0</v>
      </c>
      <c r="K520" t="s">
        <v>23</v>
      </c>
    </row>
    <row r="521" spans="1:11">
      <c r="A521" s="1">
        <v>44952</v>
      </c>
      <c r="B521" t="s">
        <v>40</v>
      </c>
      <c r="C521" t="s">
        <v>27</v>
      </c>
      <c r="D521">
        <v>242</v>
      </c>
      <c r="E521">
        <v>2</v>
      </c>
      <c r="F521">
        <v>0</v>
      </c>
      <c r="G521">
        <v>0</v>
      </c>
      <c r="H521">
        <v>244</v>
      </c>
      <c r="I521" s="1">
        <v>44927</v>
      </c>
      <c r="J521">
        <v>0</v>
      </c>
      <c r="K521" t="s">
        <v>26</v>
      </c>
    </row>
    <row r="522" spans="1:11">
      <c r="A522" s="1">
        <v>44952</v>
      </c>
      <c r="B522" t="s">
        <v>21</v>
      </c>
      <c r="C522" t="s">
        <v>35</v>
      </c>
      <c r="D522">
        <v>27</v>
      </c>
      <c r="E522">
        <v>2</v>
      </c>
      <c r="F522">
        <v>0</v>
      </c>
      <c r="G522">
        <v>0</v>
      </c>
      <c r="H522">
        <v>29</v>
      </c>
      <c r="I522" s="1">
        <v>44927</v>
      </c>
      <c r="J522">
        <v>0</v>
      </c>
      <c r="K522" t="s">
        <v>26</v>
      </c>
    </row>
    <row r="523" spans="1:11">
      <c r="A523" s="1">
        <v>44980</v>
      </c>
      <c r="B523" t="s">
        <v>21</v>
      </c>
      <c r="C523" t="s">
        <v>37</v>
      </c>
      <c r="D523">
        <v>26</v>
      </c>
      <c r="E523">
        <v>2</v>
      </c>
      <c r="F523">
        <v>0</v>
      </c>
      <c r="G523">
        <v>0</v>
      </c>
      <c r="H523">
        <v>28</v>
      </c>
      <c r="I523" s="1">
        <v>44958</v>
      </c>
      <c r="J523">
        <v>0</v>
      </c>
      <c r="K523" t="s">
        <v>26</v>
      </c>
    </row>
    <row r="524" spans="1:11">
      <c r="A524" s="1">
        <v>45015</v>
      </c>
      <c r="B524" t="s">
        <v>40</v>
      </c>
      <c r="C524" t="s">
        <v>27</v>
      </c>
      <c r="D524">
        <v>300</v>
      </c>
      <c r="E524">
        <v>2</v>
      </c>
      <c r="F524">
        <v>0</v>
      </c>
      <c r="G524">
        <v>0</v>
      </c>
      <c r="H524">
        <v>302</v>
      </c>
      <c r="I524" s="1">
        <v>44986</v>
      </c>
      <c r="J524">
        <v>0</v>
      </c>
      <c r="K524" t="s">
        <v>26</v>
      </c>
    </row>
    <row r="525" spans="1:11">
      <c r="A525" s="1">
        <v>45071</v>
      </c>
      <c r="B525" t="s">
        <v>40</v>
      </c>
      <c r="C525" t="s">
        <v>42</v>
      </c>
      <c r="D525">
        <v>456</v>
      </c>
      <c r="E525">
        <v>2</v>
      </c>
      <c r="F525">
        <v>0</v>
      </c>
      <c r="G525">
        <v>0</v>
      </c>
      <c r="H525">
        <v>458</v>
      </c>
      <c r="I525" s="1">
        <v>45047</v>
      </c>
      <c r="J525">
        <v>0</v>
      </c>
      <c r="K525" t="s">
        <v>26</v>
      </c>
    </row>
    <row r="526" spans="1:11">
      <c r="A526" s="1">
        <v>45071</v>
      </c>
      <c r="B526" t="s">
        <v>40</v>
      </c>
      <c r="C526" t="s">
        <v>35</v>
      </c>
      <c r="D526">
        <v>401</v>
      </c>
      <c r="E526">
        <v>2</v>
      </c>
      <c r="F526">
        <v>0</v>
      </c>
      <c r="G526">
        <v>0</v>
      </c>
      <c r="H526">
        <v>403</v>
      </c>
      <c r="I526" s="1">
        <v>45047</v>
      </c>
      <c r="J526">
        <v>0</v>
      </c>
      <c r="K526" t="s">
        <v>26</v>
      </c>
    </row>
    <row r="527" spans="1:11">
      <c r="A527" s="1">
        <v>45071</v>
      </c>
      <c r="B527" t="s">
        <v>21</v>
      </c>
      <c r="C527" t="s">
        <v>49</v>
      </c>
      <c r="D527">
        <v>20</v>
      </c>
      <c r="E527">
        <v>2</v>
      </c>
      <c r="F527">
        <v>0</v>
      </c>
      <c r="G527">
        <v>0</v>
      </c>
      <c r="H527">
        <v>22</v>
      </c>
      <c r="I527" s="1">
        <v>45047</v>
      </c>
      <c r="J527">
        <v>0</v>
      </c>
      <c r="K527" t="s">
        <v>26</v>
      </c>
    </row>
    <row r="528" spans="1:11">
      <c r="A528" s="1">
        <v>45106</v>
      </c>
      <c r="B528" t="s">
        <v>40</v>
      </c>
      <c r="C528" t="s">
        <v>42</v>
      </c>
      <c r="D528">
        <v>357</v>
      </c>
      <c r="E528">
        <v>2</v>
      </c>
      <c r="F528">
        <v>0</v>
      </c>
      <c r="G528">
        <v>0</v>
      </c>
      <c r="H528">
        <v>359</v>
      </c>
      <c r="I528" s="1">
        <v>45078</v>
      </c>
      <c r="J528">
        <v>0</v>
      </c>
      <c r="K528" t="s">
        <v>26</v>
      </c>
    </row>
    <row r="529" spans="1:11">
      <c r="A529" s="1">
        <v>45106</v>
      </c>
      <c r="B529" t="s">
        <v>21</v>
      </c>
      <c r="C529" t="s">
        <v>49</v>
      </c>
      <c r="D529">
        <v>26</v>
      </c>
      <c r="E529">
        <v>2</v>
      </c>
      <c r="F529">
        <v>0</v>
      </c>
      <c r="G529">
        <v>0</v>
      </c>
      <c r="H529">
        <v>28</v>
      </c>
      <c r="I529" s="1">
        <v>45078</v>
      </c>
      <c r="J529">
        <v>0</v>
      </c>
      <c r="K529" t="s">
        <v>26</v>
      </c>
    </row>
    <row r="530" spans="1:11">
      <c r="A530" s="1">
        <v>45134</v>
      </c>
      <c r="B530" t="s">
        <v>40</v>
      </c>
      <c r="C530" t="s">
        <v>27</v>
      </c>
      <c r="D530">
        <v>334</v>
      </c>
      <c r="E530">
        <v>2</v>
      </c>
      <c r="F530">
        <v>0</v>
      </c>
      <c r="G530">
        <v>0</v>
      </c>
      <c r="H530">
        <v>336</v>
      </c>
      <c r="I530" s="1">
        <v>45108</v>
      </c>
      <c r="J530">
        <v>0</v>
      </c>
      <c r="K530" t="s">
        <v>26</v>
      </c>
    </row>
    <row r="531" spans="1:11">
      <c r="A531" s="1">
        <v>45134</v>
      </c>
      <c r="B531" t="s">
        <v>21</v>
      </c>
      <c r="C531" t="s">
        <v>52</v>
      </c>
      <c r="D531">
        <v>59</v>
      </c>
      <c r="E531">
        <v>2</v>
      </c>
      <c r="F531">
        <v>0</v>
      </c>
      <c r="G531">
        <v>0</v>
      </c>
      <c r="H531">
        <v>61</v>
      </c>
      <c r="I531" s="1">
        <v>45108</v>
      </c>
      <c r="J531">
        <v>0</v>
      </c>
      <c r="K531" t="s">
        <v>26</v>
      </c>
    </row>
    <row r="532" spans="1:11">
      <c r="A532" s="1">
        <v>45134</v>
      </c>
      <c r="B532" t="s">
        <v>21</v>
      </c>
      <c r="C532" t="s">
        <v>49</v>
      </c>
      <c r="D532">
        <v>33</v>
      </c>
      <c r="E532">
        <v>2</v>
      </c>
      <c r="F532">
        <v>0</v>
      </c>
      <c r="G532">
        <v>0</v>
      </c>
      <c r="H532">
        <v>35</v>
      </c>
      <c r="I532" s="1">
        <v>45108</v>
      </c>
      <c r="J532">
        <v>0</v>
      </c>
      <c r="K532" t="s">
        <v>26</v>
      </c>
    </row>
    <row r="533" spans="1:11">
      <c r="A533" s="1">
        <v>45169</v>
      </c>
      <c r="B533" t="s">
        <v>21</v>
      </c>
      <c r="C533" t="s">
        <v>35</v>
      </c>
      <c r="D533">
        <v>40</v>
      </c>
      <c r="E533">
        <v>2</v>
      </c>
      <c r="F533">
        <v>0</v>
      </c>
      <c r="G533">
        <v>0</v>
      </c>
      <c r="H533">
        <v>42</v>
      </c>
      <c r="I533" s="1">
        <v>45139</v>
      </c>
      <c r="J533">
        <v>0</v>
      </c>
      <c r="K533" t="s">
        <v>26</v>
      </c>
    </row>
    <row r="534" spans="1:11">
      <c r="A534" s="1">
        <v>45169</v>
      </c>
      <c r="B534" t="s">
        <v>21</v>
      </c>
      <c r="C534" t="s">
        <v>52</v>
      </c>
      <c r="D534">
        <v>69</v>
      </c>
      <c r="E534">
        <v>2</v>
      </c>
      <c r="F534">
        <v>0</v>
      </c>
      <c r="G534">
        <v>0</v>
      </c>
      <c r="H534">
        <v>71</v>
      </c>
      <c r="I534" s="1">
        <v>45139</v>
      </c>
      <c r="J534">
        <v>0</v>
      </c>
      <c r="K534" t="s">
        <v>26</v>
      </c>
    </row>
    <row r="535" spans="1:11">
      <c r="A535" s="1">
        <v>45169</v>
      </c>
      <c r="B535" t="s">
        <v>21</v>
      </c>
      <c r="C535" t="s">
        <v>49</v>
      </c>
      <c r="D535">
        <v>43</v>
      </c>
      <c r="E535">
        <v>2</v>
      </c>
      <c r="F535">
        <v>0</v>
      </c>
      <c r="G535">
        <v>0</v>
      </c>
      <c r="H535">
        <v>45</v>
      </c>
      <c r="I535" s="1">
        <v>45139</v>
      </c>
      <c r="J535">
        <v>0</v>
      </c>
      <c r="K535" t="s">
        <v>26</v>
      </c>
    </row>
    <row r="536" spans="1:11">
      <c r="A536" s="1">
        <v>45197</v>
      </c>
      <c r="B536" t="s">
        <v>21</v>
      </c>
      <c r="C536" t="s">
        <v>53</v>
      </c>
      <c r="D536">
        <v>41</v>
      </c>
      <c r="E536">
        <v>2</v>
      </c>
      <c r="F536">
        <v>0</v>
      </c>
      <c r="G536">
        <v>0</v>
      </c>
      <c r="H536">
        <v>42</v>
      </c>
      <c r="I536" s="1">
        <v>45170</v>
      </c>
      <c r="J536">
        <v>0</v>
      </c>
      <c r="K536" t="s">
        <v>26</v>
      </c>
    </row>
    <row r="537" spans="1:11">
      <c r="A537" s="1">
        <v>45225</v>
      </c>
      <c r="B537" t="s">
        <v>40</v>
      </c>
      <c r="C537" t="s">
        <v>41</v>
      </c>
      <c r="D537">
        <v>276</v>
      </c>
      <c r="E537">
        <v>2</v>
      </c>
      <c r="F537">
        <v>0</v>
      </c>
      <c r="G537">
        <v>0</v>
      </c>
      <c r="H537">
        <v>278</v>
      </c>
      <c r="I537" s="1">
        <v>45200</v>
      </c>
      <c r="J537">
        <v>0</v>
      </c>
      <c r="K537" t="s">
        <v>26</v>
      </c>
    </row>
    <row r="538" spans="1:11">
      <c r="A538" s="1">
        <v>45225</v>
      </c>
      <c r="B538" t="s">
        <v>21</v>
      </c>
      <c r="C538" t="s">
        <v>35</v>
      </c>
      <c r="D538">
        <v>25</v>
      </c>
      <c r="E538">
        <v>2</v>
      </c>
      <c r="F538">
        <v>0</v>
      </c>
      <c r="G538">
        <v>0</v>
      </c>
      <c r="H538">
        <v>27</v>
      </c>
      <c r="I538" s="1">
        <v>45200</v>
      </c>
      <c r="J538">
        <v>0</v>
      </c>
      <c r="K538" t="s">
        <v>26</v>
      </c>
    </row>
    <row r="539" spans="1:11">
      <c r="A539" s="1">
        <v>45225</v>
      </c>
      <c r="B539" t="s">
        <v>21</v>
      </c>
      <c r="C539" t="s">
        <v>46</v>
      </c>
      <c r="D539">
        <v>27</v>
      </c>
      <c r="E539">
        <v>2</v>
      </c>
      <c r="F539">
        <v>0</v>
      </c>
      <c r="G539">
        <v>0</v>
      </c>
      <c r="H539">
        <v>29</v>
      </c>
      <c r="I539" s="1">
        <v>45200</v>
      </c>
      <c r="J539">
        <v>0</v>
      </c>
      <c r="K539" t="s">
        <v>26</v>
      </c>
    </row>
    <row r="540" spans="1:11">
      <c r="A540" s="1">
        <v>45260</v>
      </c>
      <c r="B540" t="s">
        <v>40</v>
      </c>
      <c r="C540" t="s">
        <v>27</v>
      </c>
      <c r="D540">
        <v>286</v>
      </c>
      <c r="E540">
        <v>2</v>
      </c>
      <c r="F540">
        <v>0</v>
      </c>
      <c r="G540">
        <v>0</v>
      </c>
      <c r="H540">
        <v>288</v>
      </c>
      <c r="I540" s="1">
        <v>45231</v>
      </c>
      <c r="J540">
        <v>0</v>
      </c>
      <c r="K540" t="s">
        <v>26</v>
      </c>
    </row>
    <row r="541" spans="1:11">
      <c r="A541" s="1">
        <v>45288</v>
      </c>
      <c r="B541" t="s">
        <v>40</v>
      </c>
      <c r="C541" t="s">
        <v>41</v>
      </c>
      <c r="D541">
        <v>485</v>
      </c>
      <c r="E541">
        <v>2</v>
      </c>
      <c r="F541">
        <v>0</v>
      </c>
      <c r="G541">
        <v>0</v>
      </c>
      <c r="H541">
        <v>487</v>
      </c>
      <c r="I541" s="1">
        <v>45261</v>
      </c>
      <c r="J541">
        <v>0</v>
      </c>
      <c r="K541" t="s">
        <v>26</v>
      </c>
    </row>
    <row r="542" spans="1:11">
      <c r="A542" s="1">
        <v>45288</v>
      </c>
      <c r="B542" t="s">
        <v>40</v>
      </c>
      <c r="C542" t="s">
        <v>44</v>
      </c>
      <c r="D542">
        <v>217</v>
      </c>
      <c r="E542">
        <v>2</v>
      </c>
      <c r="F542">
        <v>0</v>
      </c>
      <c r="G542">
        <v>0</v>
      </c>
      <c r="H542">
        <v>219</v>
      </c>
      <c r="I542" s="1">
        <v>45261</v>
      </c>
      <c r="J542">
        <v>0</v>
      </c>
      <c r="K542" t="s">
        <v>26</v>
      </c>
    </row>
    <row r="543" spans="1:11">
      <c r="A543" s="1">
        <v>45288</v>
      </c>
      <c r="B543" t="s">
        <v>21</v>
      </c>
      <c r="C543" t="s">
        <v>46</v>
      </c>
      <c r="D543">
        <v>38</v>
      </c>
      <c r="E543">
        <v>2</v>
      </c>
      <c r="F543">
        <v>0</v>
      </c>
      <c r="G543">
        <v>0</v>
      </c>
      <c r="H543">
        <v>40</v>
      </c>
      <c r="I543" s="1">
        <v>45261</v>
      </c>
      <c r="J543">
        <v>0</v>
      </c>
      <c r="K543" t="s">
        <v>26</v>
      </c>
    </row>
    <row r="544" spans="1:11">
      <c r="A544" s="1">
        <v>45316</v>
      </c>
      <c r="B544" t="s">
        <v>40</v>
      </c>
      <c r="C544" t="s">
        <v>44</v>
      </c>
      <c r="D544">
        <v>248</v>
      </c>
      <c r="E544">
        <v>2</v>
      </c>
      <c r="F544">
        <v>0</v>
      </c>
      <c r="G544">
        <v>0</v>
      </c>
      <c r="H544">
        <v>250</v>
      </c>
      <c r="I544" s="1">
        <v>45292</v>
      </c>
      <c r="J544">
        <v>0</v>
      </c>
      <c r="K544" t="s">
        <v>26</v>
      </c>
    </row>
    <row r="545" spans="1:11">
      <c r="A545" s="1">
        <v>45351</v>
      </c>
      <c r="B545" t="s">
        <v>21</v>
      </c>
      <c r="C545" t="s">
        <v>46</v>
      </c>
      <c r="D545">
        <v>41</v>
      </c>
      <c r="E545">
        <v>2</v>
      </c>
      <c r="F545">
        <v>0</v>
      </c>
      <c r="G545">
        <v>0</v>
      </c>
      <c r="H545">
        <v>43</v>
      </c>
      <c r="I545" s="1">
        <v>45323</v>
      </c>
      <c r="J545">
        <v>0</v>
      </c>
      <c r="K545" t="s">
        <v>26</v>
      </c>
    </row>
    <row r="546" spans="1:11">
      <c r="A546" s="1">
        <v>45379</v>
      </c>
      <c r="B546" t="s">
        <v>21</v>
      </c>
      <c r="C546" t="s">
        <v>44</v>
      </c>
      <c r="D546">
        <v>16</v>
      </c>
      <c r="E546">
        <v>2</v>
      </c>
      <c r="F546">
        <v>0</v>
      </c>
      <c r="G546">
        <v>0</v>
      </c>
      <c r="H546">
        <v>18</v>
      </c>
      <c r="I546" s="1">
        <v>45352</v>
      </c>
      <c r="J546">
        <v>0</v>
      </c>
      <c r="K546" t="s">
        <v>26</v>
      </c>
    </row>
    <row r="547" spans="1:11">
      <c r="A547" s="1">
        <v>45407</v>
      </c>
      <c r="B547" t="s">
        <v>21</v>
      </c>
      <c r="C547" t="s">
        <v>41</v>
      </c>
      <c r="D547">
        <v>12</v>
      </c>
      <c r="E547">
        <v>2</v>
      </c>
      <c r="F547">
        <v>0</v>
      </c>
      <c r="G547">
        <v>0</v>
      </c>
      <c r="H547">
        <v>13</v>
      </c>
      <c r="I547" s="1">
        <v>45383</v>
      </c>
      <c r="J547">
        <v>0</v>
      </c>
      <c r="K547" t="s">
        <v>26</v>
      </c>
    </row>
    <row r="548" spans="1:11">
      <c r="A548" s="1">
        <v>45442</v>
      </c>
      <c r="B548" t="s">
        <v>21</v>
      </c>
      <c r="C548" t="s">
        <v>37</v>
      </c>
      <c r="D548">
        <v>6</v>
      </c>
      <c r="E548">
        <v>2</v>
      </c>
      <c r="F548">
        <v>0</v>
      </c>
      <c r="G548">
        <v>0</v>
      </c>
      <c r="H548">
        <v>8</v>
      </c>
      <c r="I548" s="1">
        <v>45413</v>
      </c>
      <c r="J548">
        <v>0</v>
      </c>
      <c r="K548" t="s">
        <v>26</v>
      </c>
    </row>
    <row r="549" spans="1:11">
      <c r="A549" s="1">
        <v>45442</v>
      </c>
      <c r="B549" t="s">
        <v>21</v>
      </c>
      <c r="C549" t="s">
        <v>44</v>
      </c>
      <c r="D549">
        <v>27</v>
      </c>
      <c r="E549">
        <v>2</v>
      </c>
      <c r="F549">
        <v>0</v>
      </c>
      <c r="G549">
        <v>0</v>
      </c>
      <c r="H549">
        <v>29</v>
      </c>
      <c r="I549" s="1">
        <v>45413</v>
      </c>
      <c r="J549">
        <v>0</v>
      </c>
      <c r="K549" t="s">
        <v>26</v>
      </c>
    </row>
    <row r="550" spans="1:11">
      <c r="A550" s="1">
        <v>45470</v>
      </c>
      <c r="B550" t="s">
        <v>40</v>
      </c>
      <c r="C550" t="s">
        <v>42</v>
      </c>
      <c r="D550">
        <v>624</v>
      </c>
      <c r="E550">
        <v>2</v>
      </c>
      <c r="F550">
        <v>0</v>
      </c>
      <c r="G550">
        <v>0</v>
      </c>
      <c r="H550">
        <v>626</v>
      </c>
      <c r="I550" s="1">
        <v>45444</v>
      </c>
      <c r="J550">
        <v>0</v>
      </c>
      <c r="K550" t="s">
        <v>26</v>
      </c>
    </row>
    <row r="551" spans="1:11">
      <c r="A551" s="1">
        <v>45470</v>
      </c>
      <c r="B551" t="s">
        <v>21</v>
      </c>
      <c r="C551" t="s">
        <v>44</v>
      </c>
      <c r="D551">
        <v>21</v>
      </c>
      <c r="E551">
        <v>2</v>
      </c>
      <c r="F551">
        <v>0</v>
      </c>
      <c r="G551">
        <v>0</v>
      </c>
      <c r="H551">
        <v>23</v>
      </c>
      <c r="I551" s="1">
        <v>45444</v>
      </c>
      <c r="J551">
        <v>0</v>
      </c>
      <c r="K551" t="s">
        <v>26</v>
      </c>
    </row>
    <row r="552" spans="1:11">
      <c r="A552" s="1">
        <v>45498</v>
      </c>
      <c r="B552" t="s">
        <v>21</v>
      </c>
      <c r="C552" t="s">
        <v>37</v>
      </c>
      <c r="D552">
        <v>8</v>
      </c>
      <c r="E552">
        <v>2</v>
      </c>
      <c r="F552">
        <v>0</v>
      </c>
      <c r="G552">
        <v>0</v>
      </c>
      <c r="H552">
        <v>10</v>
      </c>
      <c r="I552" s="1">
        <v>45474</v>
      </c>
      <c r="J552">
        <v>0</v>
      </c>
      <c r="K552" t="s">
        <v>26</v>
      </c>
    </row>
    <row r="553" spans="1:11">
      <c r="A553" s="1">
        <v>45498</v>
      </c>
      <c r="B553" t="s">
        <v>21</v>
      </c>
      <c r="C553" t="s">
        <v>45</v>
      </c>
      <c r="D553">
        <v>2</v>
      </c>
      <c r="E553">
        <v>2</v>
      </c>
      <c r="F553">
        <v>0</v>
      </c>
      <c r="G553">
        <v>0</v>
      </c>
      <c r="H553">
        <v>4</v>
      </c>
      <c r="I553" s="1">
        <v>45474</v>
      </c>
      <c r="J553">
        <v>0</v>
      </c>
      <c r="K553" t="s">
        <v>26</v>
      </c>
    </row>
    <row r="554" spans="1:11">
      <c r="A554" s="1">
        <v>45498</v>
      </c>
      <c r="B554" t="s">
        <v>21</v>
      </c>
      <c r="C554" t="s">
        <v>46</v>
      </c>
      <c r="D554">
        <v>17</v>
      </c>
      <c r="E554">
        <v>2</v>
      </c>
      <c r="F554">
        <v>0</v>
      </c>
      <c r="G554">
        <v>0</v>
      </c>
      <c r="H554">
        <v>19</v>
      </c>
      <c r="I554" s="1">
        <v>45474</v>
      </c>
      <c r="J554">
        <v>0</v>
      </c>
      <c r="K554" t="s">
        <v>26</v>
      </c>
    </row>
    <row r="555" spans="1:11">
      <c r="A555" s="1">
        <v>45498</v>
      </c>
      <c r="B555" t="s">
        <v>21</v>
      </c>
      <c r="C555" t="s">
        <v>44</v>
      </c>
      <c r="D555">
        <v>11</v>
      </c>
      <c r="E555">
        <v>2</v>
      </c>
      <c r="F555">
        <v>0</v>
      </c>
      <c r="G555">
        <v>0</v>
      </c>
      <c r="H555">
        <v>13</v>
      </c>
      <c r="I555" s="1">
        <v>45474</v>
      </c>
      <c r="J555">
        <v>0</v>
      </c>
      <c r="K555" t="s">
        <v>26</v>
      </c>
    </row>
    <row r="556" spans="1:11">
      <c r="A556" s="1">
        <v>45561</v>
      </c>
      <c r="B556" t="s">
        <v>40</v>
      </c>
      <c r="C556" t="s">
        <v>27</v>
      </c>
      <c r="D556">
        <v>397</v>
      </c>
      <c r="E556">
        <v>2</v>
      </c>
      <c r="F556">
        <v>0</v>
      </c>
      <c r="G556">
        <v>0</v>
      </c>
      <c r="H556">
        <v>399</v>
      </c>
      <c r="I556" s="1">
        <v>45536</v>
      </c>
      <c r="J556">
        <v>0</v>
      </c>
      <c r="K556" t="s">
        <v>26</v>
      </c>
    </row>
    <row r="557" spans="1:11">
      <c r="A557" s="1">
        <v>45624</v>
      </c>
      <c r="B557" t="s">
        <v>40</v>
      </c>
      <c r="C557" t="s">
        <v>42</v>
      </c>
      <c r="D557">
        <v>723</v>
      </c>
      <c r="E557">
        <v>2</v>
      </c>
      <c r="F557">
        <v>0</v>
      </c>
      <c r="G557">
        <v>0</v>
      </c>
      <c r="H557">
        <v>725</v>
      </c>
      <c r="I557" s="1">
        <v>45597</v>
      </c>
      <c r="J557">
        <v>0</v>
      </c>
      <c r="K557" t="s">
        <v>26</v>
      </c>
    </row>
    <row r="558" spans="1:11">
      <c r="A558" s="1">
        <v>45624</v>
      </c>
      <c r="B558" t="s">
        <v>21</v>
      </c>
      <c r="C558" t="s">
        <v>46</v>
      </c>
      <c r="D558">
        <v>13</v>
      </c>
      <c r="E558">
        <v>2</v>
      </c>
      <c r="F558">
        <v>0</v>
      </c>
      <c r="G558">
        <v>0</v>
      </c>
      <c r="H558">
        <v>15</v>
      </c>
      <c r="I558" s="1">
        <v>45597</v>
      </c>
      <c r="J558">
        <v>0</v>
      </c>
      <c r="K558" t="s">
        <v>26</v>
      </c>
    </row>
    <row r="559" spans="1:11">
      <c r="A559" s="1">
        <v>45645</v>
      </c>
      <c r="B559" t="s">
        <v>21</v>
      </c>
      <c r="C559" t="s">
        <v>48</v>
      </c>
      <c r="D559">
        <v>6</v>
      </c>
      <c r="E559">
        <v>2</v>
      </c>
      <c r="F559">
        <v>0</v>
      </c>
      <c r="G559">
        <v>0</v>
      </c>
      <c r="H559">
        <v>8</v>
      </c>
      <c r="I559" s="1">
        <v>45627</v>
      </c>
      <c r="J559">
        <v>0</v>
      </c>
      <c r="K559" t="s">
        <v>26</v>
      </c>
    </row>
    <row r="560" spans="1:11">
      <c r="A560" s="1">
        <v>45645</v>
      </c>
      <c r="B560" t="s">
        <v>21</v>
      </c>
      <c r="C560" t="s">
        <v>47</v>
      </c>
      <c r="D560">
        <v>4</v>
      </c>
      <c r="E560">
        <v>2</v>
      </c>
      <c r="F560">
        <v>0</v>
      </c>
      <c r="G560">
        <v>0</v>
      </c>
      <c r="H560">
        <v>6</v>
      </c>
      <c r="I560" s="1">
        <v>45627</v>
      </c>
      <c r="J560">
        <v>0</v>
      </c>
      <c r="K560" t="s">
        <v>26</v>
      </c>
    </row>
    <row r="561" spans="1:11">
      <c r="A561" s="1">
        <v>45645</v>
      </c>
      <c r="B561" t="s">
        <v>21</v>
      </c>
      <c r="C561" t="s">
        <v>44</v>
      </c>
      <c r="D561">
        <v>11</v>
      </c>
      <c r="E561">
        <v>2</v>
      </c>
      <c r="F561">
        <v>0</v>
      </c>
      <c r="G561">
        <v>0</v>
      </c>
      <c r="H561">
        <v>13</v>
      </c>
      <c r="I561" s="1">
        <v>45627</v>
      </c>
      <c r="J561">
        <v>0</v>
      </c>
      <c r="K561" t="s">
        <v>26</v>
      </c>
    </row>
    <row r="562" spans="1:11">
      <c r="A562" s="1">
        <v>45687</v>
      </c>
      <c r="B562" t="s">
        <v>21</v>
      </c>
      <c r="C562" t="s">
        <v>48</v>
      </c>
      <c r="D562">
        <v>3</v>
      </c>
      <c r="E562">
        <v>2</v>
      </c>
      <c r="F562">
        <v>0</v>
      </c>
      <c r="G562">
        <v>0</v>
      </c>
      <c r="H562">
        <v>5</v>
      </c>
      <c r="I562" s="1">
        <v>45658</v>
      </c>
      <c r="J562">
        <v>0</v>
      </c>
      <c r="K562" t="s">
        <v>26</v>
      </c>
    </row>
    <row r="563" spans="1:11">
      <c r="A563" s="1">
        <v>45687</v>
      </c>
      <c r="B563" t="s">
        <v>21</v>
      </c>
      <c r="C563" t="s">
        <v>43</v>
      </c>
      <c r="D563">
        <v>266</v>
      </c>
      <c r="E563">
        <v>2</v>
      </c>
      <c r="F563">
        <v>0</v>
      </c>
      <c r="G563">
        <v>0</v>
      </c>
      <c r="H563">
        <v>268</v>
      </c>
      <c r="I563" s="1">
        <v>45658</v>
      </c>
      <c r="J563">
        <v>0</v>
      </c>
      <c r="K563" t="s">
        <v>26</v>
      </c>
    </row>
    <row r="564" spans="1:11">
      <c r="A564" s="1">
        <v>45687</v>
      </c>
      <c r="B564" t="s">
        <v>21</v>
      </c>
      <c r="C564" t="s">
        <v>44</v>
      </c>
      <c r="D564">
        <v>8</v>
      </c>
      <c r="E564">
        <v>2</v>
      </c>
      <c r="F564">
        <v>0</v>
      </c>
      <c r="G564">
        <v>0</v>
      </c>
      <c r="H564">
        <v>10</v>
      </c>
      <c r="I564" s="1">
        <v>45658</v>
      </c>
      <c r="J564">
        <v>0</v>
      </c>
      <c r="K564" t="s">
        <v>26</v>
      </c>
    </row>
    <row r="565" spans="1:11">
      <c r="A565" s="1">
        <v>45715</v>
      </c>
      <c r="B565" t="s">
        <v>21</v>
      </c>
      <c r="C565" t="s">
        <v>37</v>
      </c>
      <c r="D565">
        <v>15</v>
      </c>
      <c r="E565">
        <v>2</v>
      </c>
      <c r="F565">
        <v>0</v>
      </c>
      <c r="G565">
        <v>0</v>
      </c>
      <c r="H565">
        <v>17</v>
      </c>
      <c r="I565" s="1">
        <v>45689</v>
      </c>
      <c r="J565">
        <v>0</v>
      </c>
      <c r="K565" t="s">
        <v>26</v>
      </c>
    </row>
    <row r="566" spans="1:11">
      <c r="A566" s="1">
        <v>45715</v>
      </c>
      <c r="B566" t="s">
        <v>21</v>
      </c>
      <c r="C566" t="s">
        <v>43</v>
      </c>
      <c r="D566">
        <v>262</v>
      </c>
      <c r="E566">
        <v>2</v>
      </c>
      <c r="F566">
        <v>0</v>
      </c>
      <c r="G566">
        <v>0</v>
      </c>
      <c r="H566">
        <v>264</v>
      </c>
      <c r="I566" s="1">
        <v>45689</v>
      </c>
      <c r="J566">
        <v>0</v>
      </c>
      <c r="K566" t="s">
        <v>26</v>
      </c>
    </row>
    <row r="567" spans="1:11">
      <c r="A567" s="1">
        <v>45715</v>
      </c>
      <c r="B567" t="s">
        <v>21</v>
      </c>
      <c r="C567" t="s">
        <v>44</v>
      </c>
      <c r="D567">
        <v>11</v>
      </c>
      <c r="E567">
        <v>2</v>
      </c>
      <c r="F567">
        <v>0</v>
      </c>
      <c r="G567">
        <v>0</v>
      </c>
      <c r="H567">
        <v>13</v>
      </c>
      <c r="I567" s="1">
        <v>45689</v>
      </c>
      <c r="J567">
        <v>0</v>
      </c>
      <c r="K567" t="s">
        <v>26</v>
      </c>
    </row>
    <row r="568" spans="1:11">
      <c r="A568" s="1">
        <v>45743</v>
      </c>
      <c r="B568" t="s">
        <v>21</v>
      </c>
      <c r="C568" t="s">
        <v>48</v>
      </c>
      <c r="D568">
        <v>2</v>
      </c>
      <c r="E568">
        <v>2</v>
      </c>
      <c r="F568">
        <v>0</v>
      </c>
      <c r="G568">
        <v>0</v>
      </c>
      <c r="H568">
        <v>3</v>
      </c>
      <c r="I568" s="1">
        <v>45717</v>
      </c>
      <c r="J568">
        <v>0</v>
      </c>
      <c r="K568" t="s">
        <v>26</v>
      </c>
    </row>
    <row r="569" spans="1:11">
      <c r="A569" s="1">
        <v>45771</v>
      </c>
      <c r="B569" t="s">
        <v>21</v>
      </c>
      <c r="C569" t="s">
        <v>37</v>
      </c>
      <c r="D569">
        <v>5</v>
      </c>
      <c r="E569">
        <v>2</v>
      </c>
      <c r="F569">
        <v>0</v>
      </c>
      <c r="G569">
        <v>0</v>
      </c>
      <c r="H569">
        <v>7</v>
      </c>
      <c r="I569" s="1">
        <v>45748</v>
      </c>
      <c r="J569">
        <v>0</v>
      </c>
      <c r="K569" t="s">
        <v>26</v>
      </c>
    </row>
    <row r="570" spans="1:11">
      <c r="A570" s="1">
        <v>45771</v>
      </c>
      <c r="B570" t="s">
        <v>21</v>
      </c>
      <c r="C570" t="s">
        <v>46</v>
      </c>
      <c r="D570">
        <v>15</v>
      </c>
      <c r="E570">
        <v>2</v>
      </c>
      <c r="F570">
        <v>0</v>
      </c>
      <c r="G570">
        <v>0</v>
      </c>
      <c r="H570">
        <v>17</v>
      </c>
      <c r="I570" s="1">
        <v>45748</v>
      </c>
      <c r="J570">
        <v>0</v>
      </c>
      <c r="K570" t="s">
        <v>26</v>
      </c>
    </row>
    <row r="571" spans="1:11">
      <c r="A571" s="1">
        <v>45806</v>
      </c>
      <c r="B571" t="s">
        <v>21</v>
      </c>
      <c r="C571" t="s">
        <v>41</v>
      </c>
      <c r="D571">
        <v>19</v>
      </c>
      <c r="E571">
        <v>2</v>
      </c>
      <c r="F571">
        <v>0</v>
      </c>
      <c r="G571">
        <v>0</v>
      </c>
      <c r="H571">
        <v>21</v>
      </c>
      <c r="I571" s="1">
        <v>45778</v>
      </c>
      <c r="J571">
        <v>0</v>
      </c>
      <c r="K571" t="s">
        <v>26</v>
      </c>
    </row>
    <row r="572" spans="1:11">
      <c r="A572" s="1">
        <v>45806</v>
      </c>
      <c r="B572" t="s">
        <v>21</v>
      </c>
      <c r="C572" t="s">
        <v>46</v>
      </c>
      <c r="D572">
        <v>21</v>
      </c>
      <c r="E572">
        <v>2</v>
      </c>
      <c r="F572">
        <v>0</v>
      </c>
      <c r="G572">
        <v>0</v>
      </c>
      <c r="H572">
        <v>23</v>
      </c>
      <c r="I572" s="1">
        <v>45778</v>
      </c>
      <c r="J572">
        <v>0</v>
      </c>
      <c r="K572" t="s">
        <v>26</v>
      </c>
    </row>
    <row r="573" spans="1:11">
      <c r="A573" s="1">
        <v>45806</v>
      </c>
      <c r="B573" t="s">
        <v>21</v>
      </c>
      <c r="C573" t="s">
        <v>29</v>
      </c>
      <c r="D573">
        <v>5</v>
      </c>
      <c r="E573">
        <v>2</v>
      </c>
      <c r="F573">
        <v>0</v>
      </c>
      <c r="G573">
        <v>0</v>
      </c>
      <c r="H573">
        <v>7</v>
      </c>
      <c r="I573" s="1">
        <v>45778</v>
      </c>
      <c r="J573">
        <v>0</v>
      </c>
      <c r="K573" t="s">
        <v>26</v>
      </c>
    </row>
    <row r="574" spans="1:11">
      <c r="A574" s="1">
        <v>45806</v>
      </c>
      <c r="B574" t="s">
        <v>21</v>
      </c>
      <c r="C574" t="s">
        <v>44</v>
      </c>
      <c r="D574">
        <v>8</v>
      </c>
      <c r="E574">
        <v>2</v>
      </c>
      <c r="F574">
        <v>0</v>
      </c>
      <c r="G574">
        <v>0</v>
      </c>
      <c r="H574">
        <v>9</v>
      </c>
      <c r="I574" s="1">
        <v>45778</v>
      </c>
      <c r="J574">
        <v>0</v>
      </c>
      <c r="K574" t="s">
        <v>26</v>
      </c>
    </row>
    <row r="575" spans="1:11">
      <c r="A575" s="1">
        <v>45834</v>
      </c>
      <c r="B575" t="s">
        <v>21</v>
      </c>
      <c r="C575" t="s">
        <v>30</v>
      </c>
      <c r="D575">
        <v>2</v>
      </c>
      <c r="E575">
        <v>2</v>
      </c>
      <c r="F575">
        <v>0</v>
      </c>
      <c r="G575">
        <v>0</v>
      </c>
      <c r="H575">
        <v>4</v>
      </c>
      <c r="I575" s="1">
        <v>45809</v>
      </c>
      <c r="J575">
        <v>0</v>
      </c>
      <c r="K575" t="s">
        <v>26</v>
      </c>
    </row>
    <row r="576" spans="1:11">
      <c r="A576" s="1">
        <v>45834</v>
      </c>
      <c r="B576" t="s">
        <v>21</v>
      </c>
      <c r="C576" t="s">
        <v>44</v>
      </c>
      <c r="D576">
        <v>9</v>
      </c>
      <c r="E576">
        <v>2</v>
      </c>
      <c r="F576">
        <v>0</v>
      </c>
      <c r="G576">
        <v>0</v>
      </c>
      <c r="H576">
        <v>11</v>
      </c>
      <c r="I576" s="1">
        <v>45809</v>
      </c>
      <c r="J576">
        <v>0</v>
      </c>
      <c r="K576" t="s">
        <v>26</v>
      </c>
    </row>
    <row r="577" spans="1:11">
      <c r="A577" s="1">
        <v>45869</v>
      </c>
      <c r="B577" t="s">
        <v>40</v>
      </c>
      <c r="C577" t="s">
        <v>50</v>
      </c>
      <c r="D577">
        <v>131</v>
      </c>
      <c r="E577">
        <v>2</v>
      </c>
      <c r="F577">
        <v>0</v>
      </c>
      <c r="G577">
        <v>0</v>
      </c>
      <c r="H577">
        <v>132</v>
      </c>
      <c r="I577" s="1">
        <v>45839</v>
      </c>
      <c r="J577">
        <v>0</v>
      </c>
      <c r="K577" t="s">
        <v>26</v>
      </c>
    </row>
    <row r="578" spans="1:11">
      <c r="A578" s="1">
        <v>45897</v>
      </c>
      <c r="B578" t="s">
        <v>21</v>
      </c>
      <c r="C578" t="s">
        <v>44</v>
      </c>
      <c r="D578">
        <v>10</v>
      </c>
      <c r="E578">
        <v>2</v>
      </c>
      <c r="F578">
        <v>0</v>
      </c>
      <c r="G578">
        <v>0</v>
      </c>
      <c r="H578">
        <v>12</v>
      </c>
      <c r="I578" s="1">
        <v>45870</v>
      </c>
      <c r="J578">
        <v>0</v>
      </c>
      <c r="K578" t="s">
        <v>26</v>
      </c>
    </row>
    <row r="579" spans="1:11">
      <c r="A579" s="1">
        <v>45925</v>
      </c>
      <c r="B579" t="s">
        <v>21</v>
      </c>
      <c r="C579" t="s">
        <v>46</v>
      </c>
      <c r="D579">
        <v>9</v>
      </c>
      <c r="E579">
        <v>2</v>
      </c>
      <c r="F579">
        <v>0</v>
      </c>
      <c r="G579">
        <v>0</v>
      </c>
      <c r="H579">
        <v>11</v>
      </c>
      <c r="I579" s="1">
        <v>45901</v>
      </c>
      <c r="J579">
        <v>0</v>
      </c>
      <c r="K579" t="s">
        <v>26</v>
      </c>
    </row>
    <row r="580" spans="1:11">
      <c r="A580" s="1">
        <v>45925</v>
      </c>
      <c r="B580" t="s">
        <v>21</v>
      </c>
      <c r="C580" t="s">
        <v>44</v>
      </c>
      <c r="D580">
        <v>10</v>
      </c>
      <c r="E580">
        <v>2</v>
      </c>
      <c r="F580">
        <v>0</v>
      </c>
      <c r="G580">
        <v>0</v>
      </c>
      <c r="H580">
        <v>12</v>
      </c>
      <c r="I580" s="1">
        <v>45901</v>
      </c>
      <c r="J580">
        <v>0</v>
      </c>
      <c r="K580" t="s">
        <v>26</v>
      </c>
    </row>
    <row r="581" spans="1:11">
      <c r="A581" s="1">
        <v>45960</v>
      </c>
      <c r="B581" t="s">
        <v>21</v>
      </c>
      <c r="C581" t="s">
        <v>46</v>
      </c>
      <c r="D581">
        <v>11</v>
      </c>
      <c r="E581">
        <v>2</v>
      </c>
      <c r="F581">
        <v>0</v>
      </c>
      <c r="G581">
        <v>0</v>
      </c>
      <c r="H581">
        <v>13</v>
      </c>
      <c r="I581" s="1">
        <v>45931</v>
      </c>
      <c r="J581">
        <v>0</v>
      </c>
      <c r="K581" t="s">
        <v>26</v>
      </c>
    </row>
    <row r="582" spans="1:11">
      <c r="A582" s="1">
        <v>46009</v>
      </c>
      <c r="B582" t="s">
        <v>21</v>
      </c>
      <c r="C582" t="s">
        <v>31</v>
      </c>
      <c r="D582">
        <v>2</v>
      </c>
      <c r="E582">
        <v>2</v>
      </c>
      <c r="F582">
        <v>0</v>
      </c>
      <c r="G582">
        <v>0</v>
      </c>
      <c r="H582">
        <v>3</v>
      </c>
      <c r="I582" s="1">
        <v>45992</v>
      </c>
      <c r="J582">
        <v>0</v>
      </c>
      <c r="K582" t="s">
        <v>26</v>
      </c>
    </row>
    <row r="583" spans="1:11">
      <c r="A583" s="1">
        <v>46009</v>
      </c>
      <c r="B583" t="s">
        <v>21</v>
      </c>
      <c r="C583" t="s">
        <v>49</v>
      </c>
      <c r="D583">
        <v>14</v>
      </c>
      <c r="E583">
        <v>2</v>
      </c>
      <c r="F583">
        <v>0</v>
      </c>
      <c r="G583">
        <v>0</v>
      </c>
      <c r="H583">
        <v>15</v>
      </c>
      <c r="I583" s="1">
        <v>45992</v>
      </c>
      <c r="J583">
        <v>0</v>
      </c>
      <c r="K583" t="s">
        <v>26</v>
      </c>
    </row>
    <row r="584" spans="1:11">
      <c r="A584" s="1">
        <v>46051</v>
      </c>
      <c r="B584" t="s">
        <v>40</v>
      </c>
      <c r="C584" t="s">
        <v>41</v>
      </c>
      <c r="D584">
        <v>356</v>
      </c>
      <c r="E584">
        <v>2</v>
      </c>
      <c r="F584">
        <v>0</v>
      </c>
      <c r="G584">
        <v>0</v>
      </c>
      <c r="H584">
        <v>358</v>
      </c>
      <c r="I584" s="1">
        <v>46023</v>
      </c>
      <c r="J584">
        <v>0</v>
      </c>
      <c r="K584" t="s">
        <v>26</v>
      </c>
    </row>
    <row r="585" spans="1:11">
      <c r="A585" s="1">
        <v>46051</v>
      </c>
      <c r="B585" t="s">
        <v>21</v>
      </c>
      <c r="C585" t="s">
        <v>51</v>
      </c>
      <c r="D585">
        <v>12</v>
      </c>
      <c r="E585">
        <v>2</v>
      </c>
      <c r="F585">
        <v>0</v>
      </c>
      <c r="G585">
        <v>0</v>
      </c>
      <c r="H585">
        <v>14</v>
      </c>
      <c r="I585" s="1">
        <v>46023</v>
      </c>
      <c r="J585">
        <v>0</v>
      </c>
      <c r="K585" t="s">
        <v>26</v>
      </c>
    </row>
    <row r="586" spans="1:11">
      <c r="A586" s="1">
        <v>46051</v>
      </c>
      <c r="B586" t="s">
        <v>21</v>
      </c>
      <c r="C586" t="s">
        <v>35</v>
      </c>
      <c r="D586">
        <v>10</v>
      </c>
      <c r="E586">
        <v>2</v>
      </c>
      <c r="F586">
        <v>0</v>
      </c>
      <c r="G586">
        <v>0</v>
      </c>
      <c r="H586">
        <v>12</v>
      </c>
      <c r="I586" s="1">
        <v>46023</v>
      </c>
      <c r="J586">
        <v>0</v>
      </c>
      <c r="K586" t="s">
        <v>26</v>
      </c>
    </row>
    <row r="587" spans="1:11">
      <c r="A587" s="1">
        <v>46051</v>
      </c>
      <c r="B587" t="s">
        <v>21</v>
      </c>
      <c r="C587" t="s">
        <v>31</v>
      </c>
      <c r="D587">
        <v>5</v>
      </c>
      <c r="E587">
        <v>2</v>
      </c>
      <c r="F587">
        <v>0</v>
      </c>
      <c r="G587">
        <v>0</v>
      </c>
      <c r="H587">
        <v>7</v>
      </c>
      <c r="I587" s="1">
        <v>46023</v>
      </c>
      <c r="J587">
        <v>0</v>
      </c>
      <c r="K587" t="s">
        <v>26</v>
      </c>
    </row>
    <row r="588" spans="1:11">
      <c r="A588" s="1">
        <v>46051</v>
      </c>
      <c r="B588" t="s">
        <v>21</v>
      </c>
      <c r="C588" t="s">
        <v>49</v>
      </c>
      <c r="D588">
        <v>15</v>
      </c>
      <c r="E588">
        <v>2</v>
      </c>
      <c r="F588">
        <v>0</v>
      </c>
      <c r="G588">
        <v>0</v>
      </c>
      <c r="H588">
        <v>16</v>
      </c>
      <c r="I588" s="1">
        <v>46023</v>
      </c>
      <c r="J588">
        <v>0</v>
      </c>
      <c r="K588" t="s">
        <v>26</v>
      </c>
    </row>
    <row r="589" spans="1:11">
      <c r="A589" s="1">
        <v>46079</v>
      </c>
      <c r="B589" t="s">
        <v>21</v>
      </c>
      <c r="C589" t="s">
        <v>47</v>
      </c>
      <c r="D589">
        <v>6</v>
      </c>
      <c r="E589">
        <v>2</v>
      </c>
      <c r="F589">
        <v>0</v>
      </c>
      <c r="G589">
        <v>0</v>
      </c>
      <c r="H589">
        <v>8</v>
      </c>
      <c r="I589" s="1">
        <v>46054</v>
      </c>
      <c r="J589">
        <v>0</v>
      </c>
      <c r="K589" t="s">
        <v>26</v>
      </c>
    </row>
    <row r="590" spans="1:11">
      <c r="A590" s="1">
        <v>46079</v>
      </c>
      <c r="B590" t="s">
        <v>21</v>
      </c>
      <c r="C590" t="s">
        <v>51</v>
      </c>
      <c r="D590">
        <v>11</v>
      </c>
      <c r="E590">
        <v>2</v>
      </c>
      <c r="F590">
        <v>0</v>
      </c>
      <c r="G590">
        <v>0</v>
      </c>
      <c r="H590">
        <v>13</v>
      </c>
      <c r="I590" s="1">
        <v>46054</v>
      </c>
      <c r="J590">
        <v>0</v>
      </c>
      <c r="K590" t="s">
        <v>26</v>
      </c>
    </row>
    <row r="591" spans="1:11">
      <c r="A591" s="1">
        <v>46079</v>
      </c>
      <c r="B591" t="s">
        <v>21</v>
      </c>
      <c r="C591" t="s">
        <v>35</v>
      </c>
      <c r="D591">
        <v>6</v>
      </c>
      <c r="E591">
        <v>2</v>
      </c>
      <c r="F591">
        <v>0</v>
      </c>
      <c r="G591">
        <v>0</v>
      </c>
      <c r="H591">
        <v>8</v>
      </c>
      <c r="I591" s="1">
        <v>46054</v>
      </c>
      <c r="J591">
        <v>0</v>
      </c>
      <c r="K591" t="s">
        <v>26</v>
      </c>
    </row>
    <row r="592" spans="1:11">
      <c r="A592" s="1">
        <v>46079</v>
      </c>
      <c r="B592" t="s">
        <v>21</v>
      </c>
      <c r="C592" t="s">
        <v>46</v>
      </c>
      <c r="D592">
        <v>7</v>
      </c>
      <c r="E592">
        <v>2</v>
      </c>
      <c r="F592">
        <v>0</v>
      </c>
      <c r="G592">
        <v>0</v>
      </c>
      <c r="H592">
        <v>9</v>
      </c>
      <c r="I592" s="1">
        <v>46054</v>
      </c>
      <c r="J592">
        <v>0</v>
      </c>
      <c r="K592" t="s">
        <v>26</v>
      </c>
    </row>
    <row r="593" spans="1:11">
      <c r="A593" s="1">
        <v>46079</v>
      </c>
      <c r="B593" t="s">
        <v>21</v>
      </c>
      <c r="C593" t="s">
        <v>49</v>
      </c>
      <c r="D593">
        <v>18</v>
      </c>
      <c r="E593">
        <v>2</v>
      </c>
      <c r="F593">
        <v>0</v>
      </c>
      <c r="G593">
        <v>0</v>
      </c>
      <c r="H593">
        <v>20</v>
      </c>
      <c r="I593" s="1">
        <v>46054</v>
      </c>
      <c r="J593">
        <v>0</v>
      </c>
      <c r="K593" t="s">
        <v>26</v>
      </c>
    </row>
    <row r="594" spans="1:11">
      <c r="A594" s="1">
        <v>46107</v>
      </c>
      <c r="B594" t="s">
        <v>21</v>
      </c>
      <c r="C594" t="s">
        <v>47</v>
      </c>
      <c r="D594">
        <v>7</v>
      </c>
      <c r="E594">
        <v>2</v>
      </c>
      <c r="F594">
        <v>0</v>
      </c>
      <c r="G594">
        <v>0</v>
      </c>
      <c r="H594">
        <v>9</v>
      </c>
      <c r="I594" s="1">
        <v>46082</v>
      </c>
      <c r="J594">
        <v>0</v>
      </c>
      <c r="K594" t="s">
        <v>26</v>
      </c>
    </row>
    <row r="595" spans="1:11">
      <c r="A595" s="1">
        <v>46107</v>
      </c>
      <c r="B595" t="s">
        <v>21</v>
      </c>
      <c r="C595" t="s">
        <v>46</v>
      </c>
      <c r="D595">
        <v>5</v>
      </c>
      <c r="E595">
        <v>2</v>
      </c>
      <c r="F595">
        <v>0</v>
      </c>
      <c r="G595">
        <v>0</v>
      </c>
      <c r="H595">
        <v>7</v>
      </c>
      <c r="I595" s="1">
        <v>46082</v>
      </c>
      <c r="J595">
        <v>0</v>
      </c>
      <c r="K595" t="s">
        <v>26</v>
      </c>
    </row>
    <row r="596" spans="1:11">
      <c r="A596" s="1">
        <v>46107</v>
      </c>
      <c r="B596" t="s">
        <v>21</v>
      </c>
      <c r="C596" t="s">
        <v>31</v>
      </c>
      <c r="D596">
        <v>4</v>
      </c>
      <c r="E596">
        <v>2</v>
      </c>
      <c r="F596">
        <v>0</v>
      </c>
      <c r="G596">
        <v>0</v>
      </c>
      <c r="H596">
        <v>6</v>
      </c>
      <c r="I596" s="1">
        <v>46082</v>
      </c>
      <c r="J596">
        <v>0</v>
      </c>
      <c r="K596" t="s">
        <v>26</v>
      </c>
    </row>
    <row r="597" spans="1:11">
      <c r="A597" s="1">
        <v>46142</v>
      </c>
      <c r="B597" t="s">
        <v>21</v>
      </c>
      <c r="C597" t="s">
        <v>47</v>
      </c>
      <c r="D597">
        <v>3</v>
      </c>
      <c r="E597">
        <v>2</v>
      </c>
      <c r="F597">
        <v>0</v>
      </c>
      <c r="G597">
        <v>0</v>
      </c>
      <c r="H597">
        <v>5</v>
      </c>
      <c r="I597" s="1">
        <v>46113</v>
      </c>
      <c r="J597">
        <v>0</v>
      </c>
      <c r="K597" t="s">
        <v>26</v>
      </c>
    </row>
    <row r="598" spans="1:11">
      <c r="A598" s="1">
        <v>46142</v>
      </c>
      <c r="B598" t="s">
        <v>21</v>
      </c>
      <c r="C598" t="s">
        <v>35</v>
      </c>
      <c r="D598">
        <v>5</v>
      </c>
      <c r="E598">
        <v>2</v>
      </c>
      <c r="F598">
        <v>0</v>
      </c>
      <c r="G598">
        <v>0</v>
      </c>
      <c r="H598">
        <v>7</v>
      </c>
      <c r="I598" s="1">
        <v>46113</v>
      </c>
      <c r="J598">
        <v>0</v>
      </c>
      <c r="K598" t="s">
        <v>26</v>
      </c>
    </row>
    <row r="599" spans="1:11">
      <c r="A599" s="1">
        <v>46142</v>
      </c>
      <c r="B599" t="s">
        <v>21</v>
      </c>
      <c r="C599" t="s">
        <v>49</v>
      </c>
      <c r="D599">
        <v>14</v>
      </c>
      <c r="E599">
        <v>2</v>
      </c>
      <c r="F599">
        <v>0</v>
      </c>
      <c r="G599">
        <v>0</v>
      </c>
      <c r="H599">
        <v>16</v>
      </c>
      <c r="I599" s="1">
        <v>46113</v>
      </c>
      <c r="J599">
        <v>0</v>
      </c>
      <c r="K599" t="s">
        <v>26</v>
      </c>
    </row>
    <row r="600" spans="1:11">
      <c r="A600" s="1">
        <v>46170</v>
      </c>
      <c r="B600" t="s">
        <v>21</v>
      </c>
      <c r="C600" t="s">
        <v>47</v>
      </c>
      <c r="D600">
        <v>4</v>
      </c>
      <c r="E600">
        <v>2</v>
      </c>
      <c r="F600">
        <v>0</v>
      </c>
      <c r="G600">
        <v>0</v>
      </c>
      <c r="H600">
        <v>6</v>
      </c>
      <c r="I600" s="1">
        <v>46143</v>
      </c>
      <c r="J600">
        <v>0</v>
      </c>
      <c r="K600" t="s">
        <v>26</v>
      </c>
    </row>
    <row r="601" spans="1:11">
      <c r="A601" s="1">
        <v>46170</v>
      </c>
      <c r="B601" t="s">
        <v>21</v>
      </c>
      <c r="C601" t="s">
        <v>45</v>
      </c>
      <c r="D601">
        <v>11</v>
      </c>
      <c r="E601">
        <v>2</v>
      </c>
      <c r="F601">
        <v>0</v>
      </c>
      <c r="G601">
        <v>0</v>
      </c>
      <c r="H601">
        <v>13</v>
      </c>
      <c r="I601" s="1">
        <v>46143</v>
      </c>
      <c r="J601">
        <v>0</v>
      </c>
      <c r="K601" t="s">
        <v>26</v>
      </c>
    </row>
    <row r="602" spans="1:11">
      <c r="A602" s="1">
        <v>46170</v>
      </c>
      <c r="B602" t="s">
        <v>21</v>
      </c>
      <c r="C602" t="s">
        <v>46</v>
      </c>
      <c r="D602">
        <v>12</v>
      </c>
      <c r="E602">
        <v>2</v>
      </c>
      <c r="F602">
        <v>0</v>
      </c>
      <c r="G602">
        <v>0</v>
      </c>
      <c r="H602">
        <v>14</v>
      </c>
      <c r="I602" s="1">
        <v>46143</v>
      </c>
      <c r="J602">
        <v>0</v>
      </c>
      <c r="K602" t="s">
        <v>26</v>
      </c>
    </row>
    <row r="603" spans="1:11">
      <c r="A603" s="1">
        <v>46170</v>
      </c>
      <c r="B603" t="s">
        <v>21</v>
      </c>
      <c r="C603" t="s">
        <v>49</v>
      </c>
      <c r="D603">
        <v>16</v>
      </c>
      <c r="E603">
        <v>2</v>
      </c>
      <c r="F603">
        <v>0</v>
      </c>
      <c r="G603">
        <v>0</v>
      </c>
      <c r="H603">
        <v>18</v>
      </c>
      <c r="I603" s="1">
        <v>46143</v>
      </c>
      <c r="J603">
        <v>0</v>
      </c>
      <c r="K603" t="s">
        <v>26</v>
      </c>
    </row>
    <row r="604" spans="1:11">
      <c r="A604" s="1">
        <v>46198</v>
      </c>
      <c r="B604" t="s">
        <v>40</v>
      </c>
      <c r="C604" t="s">
        <v>33</v>
      </c>
      <c r="D604">
        <v>14</v>
      </c>
      <c r="E604">
        <v>2</v>
      </c>
      <c r="F604">
        <v>0</v>
      </c>
      <c r="G604">
        <v>0</v>
      </c>
      <c r="H604">
        <v>16</v>
      </c>
      <c r="I604" s="1">
        <v>46174</v>
      </c>
      <c r="J604">
        <v>0</v>
      </c>
      <c r="K604" t="s">
        <v>26</v>
      </c>
    </row>
    <row r="605" spans="1:11">
      <c r="A605" s="1">
        <v>46198</v>
      </c>
      <c r="B605" t="s">
        <v>21</v>
      </c>
      <c r="C605" t="s">
        <v>54</v>
      </c>
      <c r="D605">
        <v>44</v>
      </c>
      <c r="E605">
        <v>2</v>
      </c>
      <c r="F605">
        <v>0</v>
      </c>
      <c r="G605">
        <v>0</v>
      </c>
      <c r="H605">
        <v>45</v>
      </c>
      <c r="I605" s="1">
        <v>46174</v>
      </c>
      <c r="J605">
        <v>0</v>
      </c>
      <c r="K605" t="s">
        <v>26</v>
      </c>
    </row>
    <row r="606" spans="1:11">
      <c r="A606" s="1">
        <v>46233</v>
      </c>
      <c r="B606" t="s">
        <v>21</v>
      </c>
      <c r="C606" t="s">
        <v>51</v>
      </c>
      <c r="D606">
        <v>19</v>
      </c>
      <c r="E606">
        <v>2</v>
      </c>
      <c r="F606">
        <v>0</v>
      </c>
      <c r="G606">
        <v>0</v>
      </c>
      <c r="H606">
        <v>21</v>
      </c>
      <c r="I606" s="1">
        <v>46204</v>
      </c>
      <c r="J606">
        <v>0</v>
      </c>
      <c r="K606" t="s">
        <v>26</v>
      </c>
    </row>
    <row r="607" spans="1:11">
      <c r="A607" s="1">
        <v>46233</v>
      </c>
      <c r="B607" t="s">
        <v>21</v>
      </c>
      <c r="C607" t="s">
        <v>54</v>
      </c>
      <c r="D607">
        <v>43</v>
      </c>
      <c r="E607">
        <v>2</v>
      </c>
      <c r="F607">
        <v>0</v>
      </c>
      <c r="G607">
        <v>0</v>
      </c>
      <c r="H607">
        <v>44</v>
      </c>
      <c r="I607" s="1">
        <v>46204</v>
      </c>
      <c r="J607">
        <v>0</v>
      </c>
      <c r="K607" t="s">
        <v>26</v>
      </c>
    </row>
    <row r="608" spans="1:11">
      <c r="A608" s="1">
        <v>46233</v>
      </c>
      <c r="B608" t="s">
        <v>21</v>
      </c>
      <c r="C608" t="s">
        <v>31</v>
      </c>
      <c r="D608">
        <v>2</v>
      </c>
      <c r="E608">
        <v>2</v>
      </c>
      <c r="F608">
        <v>0</v>
      </c>
      <c r="G608">
        <v>0</v>
      </c>
      <c r="H608">
        <v>3</v>
      </c>
      <c r="I608" s="1">
        <v>46204</v>
      </c>
      <c r="J608">
        <v>0</v>
      </c>
      <c r="K608" t="s">
        <v>26</v>
      </c>
    </row>
    <row r="609" spans="1:11">
      <c r="A609" s="1">
        <v>45316</v>
      </c>
      <c r="B609" t="s">
        <v>21</v>
      </c>
      <c r="C609" t="s">
        <v>30</v>
      </c>
      <c r="D609">
        <v>58</v>
      </c>
      <c r="E609">
        <v>1</v>
      </c>
      <c r="F609">
        <v>0</v>
      </c>
      <c r="G609">
        <v>0</v>
      </c>
      <c r="H609">
        <v>59</v>
      </c>
      <c r="I609" s="1">
        <v>45292</v>
      </c>
      <c r="J609">
        <v>0</v>
      </c>
      <c r="K609" t="s">
        <v>23</v>
      </c>
    </row>
    <row r="610" spans="1:11">
      <c r="A610" s="1">
        <v>45316</v>
      </c>
      <c r="B610" t="s">
        <v>21</v>
      </c>
      <c r="C610" t="s">
        <v>22</v>
      </c>
      <c r="D610">
        <v>1</v>
      </c>
      <c r="E610">
        <v>1</v>
      </c>
      <c r="F610">
        <v>0</v>
      </c>
      <c r="G610">
        <v>0</v>
      </c>
      <c r="H610">
        <v>2</v>
      </c>
      <c r="I610" s="1">
        <v>45292</v>
      </c>
      <c r="J610">
        <v>0</v>
      </c>
      <c r="K610" t="s">
        <v>23</v>
      </c>
    </row>
    <row r="611" spans="1:11">
      <c r="A611" s="1">
        <v>45316</v>
      </c>
      <c r="B611" t="s">
        <v>21</v>
      </c>
      <c r="C611" t="s">
        <v>24</v>
      </c>
      <c r="D611">
        <v>3</v>
      </c>
      <c r="E611">
        <v>1</v>
      </c>
      <c r="F611">
        <v>0</v>
      </c>
      <c r="G611">
        <v>0</v>
      </c>
      <c r="H611">
        <v>4</v>
      </c>
      <c r="I611" s="1">
        <v>45292</v>
      </c>
      <c r="J611">
        <v>0</v>
      </c>
      <c r="K611" t="s">
        <v>23</v>
      </c>
    </row>
    <row r="612" spans="1:11">
      <c r="A612" s="1">
        <v>45351</v>
      </c>
      <c r="B612" t="s">
        <v>21</v>
      </c>
      <c r="C612" t="s">
        <v>22</v>
      </c>
      <c r="D612">
        <v>1</v>
      </c>
      <c r="E612">
        <v>1</v>
      </c>
      <c r="F612">
        <v>0</v>
      </c>
      <c r="G612">
        <v>0</v>
      </c>
      <c r="H612">
        <v>2</v>
      </c>
      <c r="I612" s="1">
        <v>45323</v>
      </c>
      <c r="J612">
        <v>0</v>
      </c>
      <c r="K612" t="s">
        <v>23</v>
      </c>
    </row>
    <row r="613" spans="1:11">
      <c r="A613" s="1">
        <v>45379</v>
      </c>
      <c r="B613" t="s">
        <v>21</v>
      </c>
      <c r="C613" t="s">
        <v>22</v>
      </c>
      <c r="D613">
        <v>1</v>
      </c>
      <c r="E613">
        <v>1</v>
      </c>
      <c r="F613">
        <v>0</v>
      </c>
      <c r="G613">
        <v>0</v>
      </c>
      <c r="H613">
        <v>2</v>
      </c>
      <c r="I613" s="1">
        <v>45352</v>
      </c>
      <c r="J613">
        <v>0</v>
      </c>
      <c r="K613" t="s">
        <v>23</v>
      </c>
    </row>
    <row r="614" spans="1:11">
      <c r="A614" s="1">
        <v>45498</v>
      </c>
      <c r="B614" t="s">
        <v>21</v>
      </c>
      <c r="C614" t="s">
        <v>34</v>
      </c>
      <c r="D614">
        <v>13</v>
      </c>
      <c r="E614">
        <v>1</v>
      </c>
      <c r="F614">
        <v>0</v>
      </c>
      <c r="G614">
        <v>0</v>
      </c>
      <c r="H614">
        <v>14</v>
      </c>
      <c r="I614" s="1">
        <v>45474</v>
      </c>
      <c r="J614">
        <v>0</v>
      </c>
      <c r="K614" t="s">
        <v>23</v>
      </c>
    </row>
    <row r="615" spans="1:11">
      <c r="A615" s="1">
        <v>45533</v>
      </c>
      <c r="B615" t="s">
        <v>21</v>
      </c>
      <c r="C615" t="s">
        <v>39</v>
      </c>
      <c r="D615">
        <v>9</v>
      </c>
      <c r="E615">
        <v>1</v>
      </c>
      <c r="F615">
        <v>0</v>
      </c>
      <c r="G615">
        <v>0</v>
      </c>
      <c r="H615">
        <v>10</v>
      </c>
      <c r="I615" s="1">
        <v>45505</v>
      </c>
      <c r="J615">
        <v>0</v>
      </c>
      <c r="K615" t="s">
        <v>23</v>
      </c>
    </row>
    <row r="616" spans="1:11">
      <c r="A616" s="1">
        <v>45533</v>
      </c>
      <c r="B616" t="s">
        <v>21</v>
      </c>
      <c r="C616" t="s">
        <v>34</v>
      </c>
      <c r="D616">
        <v>16</v>
      </c>
      <c r="E616">
        <v>1</v>
      </c>
      <c r="F616">
        <v>0</v>
      </c>
      <c r="G616">
        <v>0</v>
      </c>
      <c r="H616">
        <v>17</v>
      </c>
      <c r="I616" s="1">
        <v>45505</v>
      </c>
      <c r="J616">
        <v>0</v>
      </c>
      <c r="K616" t="s">
        <v>23</v>
      </c>
    </row>
    <row r="617" spans="1:11">
      <c r="A617" s="1">
        <v>45561</v>
      </c>
      <c r="B617" t="s">
        <v>21</v>
      </c>
      <c r="C617" t="s">
        <v>39</v>
      </c>
      <c r="D617">
        <v>8</v>
      </c>
      <c r="E617">
        <v>1</v>
      </c>
      <c r="F617">
        <v>0</v>
      </c>
      <c r="G617">
        <v>0</v>
      </c>
      <c r="H617">
        <v>9</v>
      </c>
      <c r="I617" s="1">
        <v>45536</v>
      </c>
      <c r="J617">
        <v>0</v>
      </c>
      <c r="K617" t="s">
        <v>23</v>
      </c>
    </row>
    <row r="618" spans="1:11">
      <c r="A618" s="1">
        <v>45596</v>
      </c>
      <c r="B618" t="s">
        <v>21</v>
      </c>
      <c r="C618" t="s">
        <v>22</v>
      </c>
      <c r="D618">
        <v>3</v>
      </c>
      <c r="E618">
        <v>1</v>
      </c>
      <c r="F618">
        <v>0</v>
      </c>
      <c r="G618">
        <v>0</v>
      </c>
      <c r="H618">
        <v>4</v>
      </c>
      <c r="I618" s="1">
        <v>45566</v>
      </c>
      <c r="J618">
        <v>0</v>
      </c>
      <c r="K618" t="s">
        <v>23</v>
      </c>
    </row>
    <row r="619" spans="1:11">
      <c r="A619" s="1">
        <v>45771</v>
      </c>
      <c r="B619" t="s">
        <v>40</v>
      </c>
      <c r="C619" t="s">
        <v>50</v>
      </c>
      <c r="D619">
        <v>813</v>
      </c>
      <c r="E619">
        <v>1</v>
      </c>
      <c r="F619">
        <v>0</v>
      </c>
      <c r="G619">
        <v>0</v>
      </c>
      <c r="H619">
        <v>814</v>
      </c>
      <c r="I619" s="1">
        <v>45748</v>
      </c>
      <c r="J619">
        <v>0</v>
      </c>
      <c r="K619" t="s">
        <v>23</v>
      </c>
    </row>
    <row r="620" spans="1:11">
      <c r="A620" s="1">
        <v>45834</v>
      </c>
      <c r="B620" t="s">
        <v>21</v>
      </c>
      <c r="C620" t="s">
        <v>30</v>
      </c>
      <c r="D620">
        <v>29</v>
      </c>
      <c r="E620">
        <v>1</v>
      </c>
      <c r="F620">
        <v>0</v>
      </c>
      <c r="G620">
        <v>0</v>
      </c>
      <c r="H620">
        <v>30</v>
      </c>
      <c r="I620" s="1">
        <v>45809</v>
      </c>
      <c r="J620">
        <v>0</v>
      </c>
      <c r="K620" t="s">
        <v>23</v>
      </c>
    </row>
    <row r="621" spans="1:11">
      <c r="A621" s="1">
        <v>45869</v>
      </c>
      <c r="B621" t="s">
        <v>21</v>
      </c>
      <c r="C621" t="s">
        <v>30</v>
      </c>
      <c r="D621">
        <v>25</v>
      </c>
      <c r="E621">
        <v>1</v>
      </c>
      <c r="F621">
        <v>0</v>
      </c>
      <c r="G621">
        <v>0</v>
      </c>
      <c r="H621">
        <v>26</v>
      </c>
      <c r="I621" s="1">
        <v>45839</v>
      </c>
      <c r="J621">
        <v>0</v>
      </c>
      <c r="K621" t="s">
        <v>23</v>
      </c>
    </row>
    <row r="622" spans="1:11">
      <c r="A622" s="1">
        <v>45869</v>
      </c>
      <c r="B622" t="s">
        <v>21</v>
      </c>
      <c r="C622" t="s">
        <v>25</v>
      </c>
      <c r="D622">
        <v>10</v>
      </c>
      <c r="E622">
        <v>1</v>
      </c>
      <c r="F622">
        <v>0</v>
      </c>
      <c r="G622">
        <v>0</v>
      </c>
      <c r="H622">
        <v>11</v>
      </c>
      <c r="I622" s="1">
        <v>45839</v>
      </c>
      <c r="J622">
        <v>0</v>
      </c>
      <c r="K622" t="s">
        <v>23</v>
      </c>
    </row>
    <row r="623" spans="1:11">
      <c r="A623" s="1">
        <v>45897</v>
      </c>
      <c r="B623" t="s">
        <v>21</v>
      </c>
      <c r="C623" t="s">
        <v>30</v>
      </c>
      <c r="D623">
        <v>23</v>
      </c>
      <c r="E623">
        <v>1</v>
      </c>
      <c r="F623">
        <v>0</v>
      </c>
      <c r="G623">
        <v>0</v>
      </c>
      <c r="H623">
        <v>24</v>
      </c>
      <c r="I623" s="1">
        <v>45870</v>
      </c>
      <c r="J623">
        <v>0</v>
      </c>
      <c r="K623" t="s">
        <v>23</v>
      </c>
    </row>
    <row r="624" spans="1:11">
      <c r="A624" s="1">
        <v>45897</v>
      </c>
      <c r="B624" t="s">
        <v>21</v>
      </c>
      <c r="C624" t="s">
        <v>25</v>
      </c>
      <c r="D624">
        <v>8</v>
      </c>
      <c r="E624">
        <v>1</v>
      </c>
      <c r="F624">
        <v>0</v>
      </c>
      <c r="G624">
        <v>0</v>
      </c>
      <c r="H624">
        <v>9</v>
      </c>
      <c r="I624" s="1">
        <v>45870</v>
      </c>
      <c r="J624">
        <v>0</v>
      </c>
      <c r="K624" t="s">
        <v>23</v>
      </c>
    </row>
    <row r="625" spans="1:11">
      <c r="A625" s="1">
        <v>45897</v>
      </c>
      <c r="B625" t="s">
        <v>21</v>
      </c>
      <c r="C625" t="s">
        <v>39</v>
      </c>
      <c r="D625">
        <v>10</v>
      </c>
      <c r="E625">
        <v>1</v>
      </c>
      <c r="F625">
        <v>0</v>
      </c>
      <c r="G625">
        <v>0</v>
      </c>
      <c r="H625">
        <v>11</v>
      </c>
      <c r="I625" s="1">
        <v>45870</v>
      </c>
      <c r="J625">
        <v>0</v>
      </c>
      <c r="K625" t="s">
        <v>23</v>
      </c>
    </row>
    <row r="626" spans="1:11">
      <c r="A626" s="1">
        <v>45897</v>
      </c>
      <c r="B626" t="s">
        <v>21</v>
      </c>
      <c r="C626" t="s">
        <v>34</v>
      </c>
      <c r="D626">
        <v>26</v>
      </c>
      <c r="E626">
        <v>1</v>
      </c>
      <c r="F626">
        <v>0</v>
      </c>
      <c r="G626">
        <v>0</v>
      </c>
      <c r="H626">
        <v>27</v>
      </c>
      <c r="I626" s="1">
        <v>45870</v>
      </c>
      <c r="J626">
        <v>0</v>
      </c>
      <c r="K626" t="s">
        <v>23</v>
      </c>
    </row>
    <row r="627" spans="1:11">
      <c r="A627" s="1">
        <v>45925</v>
      </c>
      <c r="B627" t="s">
        <v>21</v>
      </c>
      <c r="C627" t="s">
        <v>30</v>
      </c>
      <c r="D627">
        <v>35</v>
      </c>
      <c r="E627">
        <v>1</v>
      </c>
      <c r="F627">
        <v>0</v>
      </c>
      <c r="G627">
        <v>0</v>
      </c>
      <c r="H627">
        <v>36</v>
      </c>
      <c r="I627" s="1">
        <v>45901</v>
      </c>
      <c r="J627">
        <v>0</v>
      </c>
      <c r="K627" t="s">
        <v>23</v>
      </c>
    </row>
    <row r="628" spans="1:11">
      <c r="A628" s="1">
        <v>45925</v>
      </c>
      <c r="B628" t="s">
        <v>21</v>
      </c>
      <c r="C628" t="s">
        <v>25</v>
      </c>
      <c r="D628">
        <v>5</v>
      </c>
      <c r="E628">
        <v>1</v>
      </c>
      <c r="F628">
        <v>0</v>
      </c>
      <c r="G628">
        <v>0</v>
      </c>
      <c r="H628">
        <v>6</v>
      </c>
      <c r="I628" s="1">
        <v>45901</v>
      </c>
      <c r="J628">
        <v>0</v>
      </c>
      <c r="K628" t="s">
        <v>23</v>
      </c>
    </row>
    <row r="629" spans="1:11">
      <c r="A629" s="1">
        <v>45960</v>
      </c>
      <c r="B629" t="s">
        <v>21</v>
      </c>
      <c r="C629" t="s">
        <v>33</v>
      </c>
      <c r="D629">
        <v>29</v>
      </c>
      <c r="E629">
        <v>1</v>
      </c>
      <c r="F629">
        <v>0</v>
      </c>
      <c r="G629">
        <v>0</v>
      </c>
      <c r="H629">
        <v>30</v>
      </c>
      <c r="I629" s="1">
        <v>45931</v>
      </c>
      <c r="J629">
        <v>0</v>
      </c>
      <c r="K629" t="s">
        <v>23</v>
      </c>
    </row>
    <row r="630" spans="1:11">
      <c r="A630" s="1">
        <v>45960</v>
      </c>
      <c r="B630" t="s">
        <v>21</v>
      </c>
      <c r="C630" t="s">
        <v>25</v>
      </c>
      <c r="D630">
        <v>4</v>
      </c>
      <c r="E630">
        <v>1</v>
      </c>
      <c r="F630">
        <v>0</v>
      </c>
      <c r="G630">
        <v>0</v>
      </c>
      <c r="H630">
        <v>5</v>
      </c>
      <c r="I630" s="1">
        <v>45931</v>
      </c>
      <c r="J630">
        <v>0</v>
      </c>
      <c r="K630" t="s">
        <v>23</v>
      </c>
    </row>
    <row r="631" spans="1:11">
      <c r="A631" s="1">
        <v>46009</v>
      </c>
      <c r="B631" t="s">
        <v>21</v>
      </c>
      <c r="C631" t="s">
        <v>25</v>
      </c>
      <c r="D631">
        <v>6</v>
      </c>
      <c r="E631">
        <v>1</v>
      </c>
      <c r="F631">
        <v>0</v>
      </c>
      <c r="G631">
        <v>0</v>
      </c>
      <c r="H631">
        <v>7</v>
      </c>
      <c r="I631" s="1">
        <v>45992</v>
      </c>
      <c r="J631">
        <v>0</v>
      </c>
      <c r="K631" t="s">
        <v>23</v>
      </c>
    </row>
    <row r="632" spans="1:11">
      <c r="A632" s="1">
        <v>46009</v>
      </c>
      <c r="B632" t="s">
        <v>21</v>
      </c>
      <c r="C632" t="s">
        <v>22</v>
      </c>
      <c r="D632">
        <v>1</v>
      </c>
      <c r="E632">
        <v>1</v>
      </c>
      <c r="F632">
        <v>0</v>
      </c>
      <c r="G632">
        <v>0</v>
      </c>
      <c r="H632">
        <v>2</v>
      </c>
      <c r="I632" s="1">
        <v>45992</v>
      </c>
      <c r="J632">
        <v>0</v>
      </c>
      <c r="K632" t="s">
        <v>23</v>
      </c>
    </row>
    <row r="633" spans="1:11">
      <c r="A633" s="1">
        <v>46051</v>
      </c>
      <c r="B633" t="s">
        <v>21</v>
      </c>
      <c r="C633" t="s">
        <v>39</v>
      </c>
      <c r="D633">
        <v>9</v>
      </c>
      <c r="E633">
        <v>1</v>
      </c>
      <c r="F633">
        <v>0</v>
      </c>
      <c r="G633">
        <v>0</v>
      </c>
      <c r="H633">
        <v>10</v>
      </c>
      <c r="I633" s="1">
        <v>46023</v>
      </c>
      <c r="J633">
        <v>0</v>
      </c>
      <c r="K633" t="s">
        <v>23</v>
      </c>
    </row>
    <row r="634" spans="1:11">
      <c r="A634" s="1">
        <v>46233</v>
      </c>
      <c r="B634" t="s">
        <v>21</v>
      </c>
      <c r="C634" t="s">
        <v>33</v>
      </c>
      <c r="D634">
        <v>35</v>
      </c>
      <c r="E634">
        <v>1</v>
      </c>
      <c r="F634">
        <v>0</v>
      </c>
      <c r="G634">
        <v>0</v>
      </c>
      <c r="H634">
        <v>36</v>
      </c>
      <c r="I634" s="1">
        <v>46204</v>
      </c>
      <c r="J634">
        <v>0</v>
      </c>
      <c r="K634" t="s">
        <v>23</v>
      </c>
    </row>
    <row r="635" spans="1:11">
      <c r="A635" s="1">
        <v>46261</v>
      </c>
      <c r="B635" t="s">
        <v>21</v>
      </c>
      <c r="C635" t="s">
        <v>33</v>
      </c>
      <c r="D635">
        <v>37</v>
      </c>
      <c r="E635">
        <v>1</v>
      </c>
      <c r="F635">
        <v>0</v>
      </c>
      <c r="G635">
        <v>0</v>
      </c>
      <c r="H635">
        <v>38</v>
      </c>
      <c r="I635" s="1">
        <v>46235</v>
      </c>
      <c r="J635">
        <v>0</v>
      </c>
      <c r="K635" t="s">
        <v>23</v>
      </c>
    </row>
    <row r="636" spans="1:11">
      <c r="A636" s="1">
        <v>45351</v>
      </c>
      <c r="B636" t="s">
        <v>40</v>
      </c>
      <c r="C636" t="s">
        <v>44</v>
      </c>
      <c r="D636">
        <v>349</v>
      </c>
      <c r="E636">
        <v>1</v>
      </c>
      <c r="F636">
        <v>0</v>
      </c>
      <c r="G636">
        <v>0</v>
      </c>
      <c r="H636">
        <v>350</v>
      </c>
      <c r="I636" s="1">
        <v>45323</v>
      </c>
      <c r="J636">
        <v>0</v>
      </c>
      <c r="K636" t="s">
        <v>26</v>
      </c>
    </row>
    <row r="637" spans="1:11">
      <c r="A637" s="1">
        <v>45351</v>
      </c>
      <c r="B637" t="s">
        <v>21</v>
      </c>
      <c r="C637" t="s">
        <v>41</v>
      </c>
      <c r="D637">
        <v>17</v>
      </c>
      <c r="E637">
        <v>1</v>
      </c>
      <c r="F637">
        <v>0</v>
      </c>
      <c r="G637">
        <v>0</v>
      </c>
      <c r="H637">
        <v>18</v>
      </c>
      <c r="I637" s="1">
        <v>45323</v>
      </c>
      <c r="J637">
        <v>0</v>
      </c>
      <c r="K637" t="s">
        <v>26</v>
      </c>
    </row>
    <row r="638" spans="1:11">
      <c r="A638" s="1">
        <v>45351</v>
      </c>
      <c r="B638" t="s">
        <v>21</v>
      </c>
      <c r="C638" t="s">
        <v>29</v>
      </c>
      <c r="D638">
        <v>1</v>
      </c>
      <c r="E638">
        <v>1</v>
      </c>
      <c r="F638">
        <v>0</v>
      </c>
      <c r="G638">
        <v>0</v>
      </c>
      <c r="H638">
        <v>2</v>
      </c>
      <c r="I638" s="1">
        <v>45323</v>
      </c>
      <c r="J638">
        <v>0</v>
      </c>
      <c r="K638" t="s">
        <v>26</v>
      </c>
    </row>
    <row r="639" spans="1:11">
      <c r="A639" s="1">
        <v>45407</v>
      </c>
      <c r="B639" t="s">
        <v>21</v>
      </c>
      <c r="C639" t="s">
        <v>45</v>
      </c>
      <c r="D639">
        <v>3</v>
      </c>
      <c r="E639">
        <v>1</v>
      </c>
      <c r="F639">
        <v>0</v>
      </c>
      <c r="G639">
        <v>0</v>
      </c>
      <c r="H639">
        <v>4</v>
      </c>
      <c r="I639" s="1">
        <v>45383</v>
      </c>
      <c r="J639">
        <v>0</v>
      </c>
      <c r="K639" t="s">
        <v>26</v>
      </c>
    </row>
    <row r="640" spans="1:11">
      <c r="A640" s="1">
        <v>45442</v>
      </c>
      <c r="B640" t="s">
        <v>40</v>
      </c>
      <c r="C640" t="s">
        <v>27</v>
      </c>
      <c r="D640">
        <v>465</v>
      </c>
      <c r="E640">
        <v>1</v>
      </c>
      <c r="F640">
        <v>0</v>
      </c>
      <c r="G640">
        <v>0</v>
      </c>
      <c r="H640">
        <v>466</v>
      </c>
      <c r="I640" s="1">
        <v>45413</v>
      </c>
      <c r="J640">
        <v>0</v>
      </c>
      <c r="K640" t="s">
        <v>26</v>
      </c>
    </row>
    <row r="641" spans="1:11">
      <c r="A641" s="1">
        <v>45442</v>
      </c>
      <c r="B641" t="s">
        <v>21</v>
      </c>
      <c r="C641" t="s">
        <v>47</v>
      </c>
      <c r="D641">
        <v>7</v>
      </c>
      <c r="E641">
        <v>1</v>
      </c>
      <c r="F641">
        <v>0</v>
      </c>
      <c r="G641">
        <v>0</v>
      </c>
      <c r="H641">
        <v>8</v>
      </c>
      <c r="I641" s="1">
        <v>45413</v>
      </c>
      <c r="J641">
        <v>0</v>
      </c>
      <c r="K641" t="s">
        <v>26</v>
      </c>
    </row>
    <row r="642" spans="1:11">
      <c r="A642" s="1">
        <v>45442</v>
      </c>
      <c r="B642" t="s">
        <v>21</v>
      </c>
      <c r="C642" t="s">
        <v>45</v>
      </c>
      <c r="D642">
        <v>5</v>
      </c>
      <c r="E642">
        <v>1</v>
      </c>
      <c r="F642">
        <v>0</v>
      </c>
      <c r="G642">
        <v>0</v>
      </c>
      <c r="H642">
        <v>6</v>
      </c>
      <c r="I642" s="1">
        <v>45413</v>
      </c>
      <c r="J642">
        <v>0</v>
      </c>
      <c r="K642" t="s">
        <v>26</v>
      </c>
    </row>
    <row r="643" spans="1:11">
      <c r="A643" s="1">
        <v>45442</v>
      </c>
      <c r="B643" t="s">
        <v>21</v>
      </c>
      <c r="C643" t="s">
        <v>24</v>
      </c>
      <c r="D643">
        <v>0</v>
      </c>
      <c r="E643">
        <v>1</v>
      </c>
      <c r="F643">
        <v>0</v>
      </c>
      <c r="G643">
        <v>0</v>
      </c>
      <c r="H643">
        <v>1</v>
      </c>
      <c r="I643" s="1">
        <v>45413</v>
      </c>
      <c r="J643">
        <v>0</v>
      </c>
      <c r="K643" t="s">
        <v>26</v>
      </c>
    </row>
    <row r="644" spans="1:11">
      <c r="A644" s="1">
        <v>45470</v>
      </c>
      <c r="B644" t="s">
        <v>21</v>
      </c>
      <c r="C644" t="s">
        <v>24</v>
      </c>
      <c r="D644">
        <v>0</v>
      </c>
      <c r="E644">
        <v>1</v>
      </c>
      <c r="F644">
        <v>0</v>
      </c>
      <c r="G644">
        <v>0</v>
      </c>
      <c r="H644">
        <v>1</v>
      </c>
      <c r="I644" s="1">
        <v>45444</v>
      </c>
      <c r="J644">
        <v>0</v>
      </c>
      <c r="K644" t="s">
        <v>26</v>
      </c>
    </row>
    <row r="645" spans="1:11">
      <c r="A645" s="1">
        <v>45498</v>
      </c>
      <c r="B645" t="s">
        <v>21</v>
      </c>
      <c r="C645" t="s">
        <v>24</v>
      </c>
      <c r="D645">
        <v>0</v>
      </c>
      <c r="E645">
        <v>1</v>
      </c>
      <c r="F645">
        <v>0</v>
      </c>
      <c r="G645">
        <v>0</v>
      </c>
      <c r="H645">
        <v>1</v>
      </c>
      <c r="I645" s="1">
        <v>45474</v>
      </c>
      <c r="J645">
        <v>0</v>
      </c>
      <c r="K645" t="s">
        <v>26</v>
      </c>
    </row>
    <row r="646" spans="1:11">
      <c r="A646" s="1">
        <v>45533</v>
      </c>
      <c r="B646" t="s">
        <v>40</v>
      </c>
      <c r="C646" t="s">
        <v>27</v>
      </c>
      <c r="D646">
        <v>361</v>
      </c>
      <c r="E646">
        <v>1</v>
      </c>
      <c r="F646">
        <v>0</v>
      </c>
      <c r="G646">
        <v>0</v>
      </c>
      <c r="H646">
        <v>362</v>
      </c>
      <c r="I646" s="1">
        <v>45505</v>
      </c>
      <c r="J646">
        <v>0</v>
      </c>
      <c r="K646" t="s">
        <v>26</v>
      </c>
    </row>
    <row r="647" spans="1:11">
      <c r="A647" s="1">
        <v>45624</v>
      </c>
      <c r="B647" t="s">
        <v>40</v>
      </c>
      <c r="C647" t="s">
        <v>27</v>
      </c>
      <c r="D647">
        <v>427</v>
      </c>
      <c r="E647">
        <v>1</v>
      </c>
      <c r="F647">
        <v>0</v>
      </c>
      <c r="G647">
        <v>0</v>
      </c>
      <c r="H647">
        <v>428</v>
      </c>
      <c r="I647" s="1">
        <v>45597</v>
      </c>
      <c r="J647">
        <v>0</v>
      </c>
      <c r="K647" t="s">
        <v>26</v>
      </c>
    </row>
    <row r="648" spans="1:11">
      <c r="A648" s="1">
        <v>45687</v>
      </c>
      <c r="B648" t="s">
        <v>21</v>
      </c>
      <c r="C648" t="s">
        <v>41</v>
      </c>
      <c r="D648">
        <v>14</v>
      </c>
      <c r="E648">
        <v>1</v>
      </c>
      <c r="F648">
        <v>0</v>
      </c>
      <c r="G648">
        <v>0</v>
      </c>
      <c r="H648">
        <v>15</v>
      </c>
      <c r="I648" s="1">
        <v>45658</v>
      </c>
      <c r="J648">
        <v>0</v>
      </c>
      <c r="K648" t="s">
        <v>26</v>
      </c>
    </row>
    <row r="649" spans="1:11">
      <c r="A649" s="1">
        <v>45687</v>
      </c>
      <c r="B649" t="s">
        <v>21</v>
      </c>
      <c r="C649" t="s">
        <v>37</v>
      </c>
      <c r="D649">
        <v>9</v>
      </c>
      <c r="E649">
        <v>1</v>
      </c>
      <c r="F649">
        <v>0</v>
      </c>
      <c r="G649">
        <v>0</v>
      </c>
      <c r="H649">
        <v>10</v>
      </c>
      <c r="I649" s="1">
        <v>45658</v>
      </c>
      <c r="J649">
        <v>0</v>
      </c>
      <c r="K649" t="s">
        <v>26</v>
      </c>
    </row>
    <row r="650" spans="1:11">
      <c r="A650" s="1">
        <v>45687</v>
      </c>
      <c r="B650" t="s">
        <v>21</v>
      </c>
      <c r="C650" t="s">
        <v>47</v>
      </c>
      <c r="D650">
        <v>3</v>
      </c>
      <c r="E650">
        <v>1</v>
      </c>
      <c r="F650">
        <v>0</v>
      </c>
      <c r="G650">
        <v>0</v>
      </c>
      <c r="H650">
        <v>4</v>
      </c>
      <c r="I650" s="1">
        <v>45658</v>
      </c>
      <c r="J650">
        <v>0</v>
      </c>
      <c r="K650" t="s">
        <v>26</v>
      </c>
    </row>
    <row r="651" spans="1:11">
      <c r="A651" s="1">
        <v>45715</v>
      </c>
      <c r="B651" t="s">
        <v>21</v>
      </c>
      <c r="C651" t="s">
        <v>45</v>
      </c>
      <c r="D651">
        <v>0</v>
      </c>
      <c r="E651">
        <v>1</v>
      </c>
      <c r="F651">
        <v>0</v>
      </c>
      <c r="G651">
        <v>0</v>
      </c>
      <c r="H651">
        <v>1</v>
      </c>
      <c r="I651" s="1">
        <v>45689</v>
      </c>
      <c r="J651">
        <v>0</v>
      </c>
      <c r="K651" t="s">
        <v>26</v>
      </c>
    </row>
    <row r="652" spans="1:11">
      <c r="A652" s="1">
        <v>45715</v>
      </c>
      <c r="B652" t="s">
        <v>21</v>
      </c>
      <c r="C652" t="s">
        <v>46</v>
      </c>
      <c r="D652">
        <v>18</v>
      </c>
      <c r="E652">
        <v>1</v>
      </c>
      <c r="F652">
        <v>0</v>
      </c>
      <c r="G652">
        <v>0</v>
      </c>
      <c r="H652">
        <v>19</v>
      </c>
      <c r="I652" s="1">
        <v>45689</v>
      </c>
      <c r="J652">
        <v>0</v>
      </c>
      <c r="K652" t="s">
        <v>26</v>
      </c>
    </row>
    <row r="653" spans="1:11">
      <c r="A653" s="1">
        <v>45743</v>
      </c>
      <c r="B653" t="s">
        <v>21</v>
      </c>
      <c r="C653" t="s">
        <v>41</v>
      </c>
      <c r="D653">
        <v>18</v>
      </c>
      <c r="E653">
        <v>1</v>
      </c>
      <c r="F653">
        <v>0</v>
      </c>
      <c r="G653">
        <v>0</v>
      </c>
      <c r="H653">
        <v>19</v>
      </c>
      <c r="I653" s="1">
        <v>45717</v>
      </c>
      <c r="J653">
        <v>0</v>
      </c>
      <c r="K653" t="s">
        <v>26</v>
      </c>
    </row>
    <row r="654" spans="1:11">
      <c r="A654" s="1">
        <v>45771</v>
      </c>
      <c r="B654" t="s">
        <v>21</v>
      </c>
      <c r="C654" t="s">
        <v>35</v>
      </c>
      <c r="D654">
        <v>3</v>
      </c>
      <c r="E654">
        <v>1</v>
      </c>
      <c r="F654">
        <v>0</v>
      </c>
      <c r="G654">
        <v>0</v>
      </c>
      <c r="H654">
        <v>4</v>
      </c>
      <c r="I654" s="1">
        <v>45748</v>
      </c>
      <c r="J654">
        <v>0</v>
      </c>
      <c r="K654" t="s">
        <v>26</v>
      </c>
    </row>
    <row r="655" spans="1:11">
      <c r="A655" s="1">
        <v>45806</v>
      </c>
      <c r="B655" t="s">
        <v>21</v>
      </c>
      <c r="C655" t="s">
        <v>30</v>
      </c>
      <c r="D655">
        <v>1</v>
      </c>
      <c r="E655">
        <v>1</v>
      </c>
      <c r="F655">
        <v>0</v>
      </c>
      <c r="G655">
        <v>0</v>
      </c>
      <c r="H655">
        <v>2</v>
      </c>
      <c r="I655" s="1">
        <v>45778</v>
      </c>
      <c r="J655">
        <v>0</v>
      </c>
      <c r="K655" t="s">
        <v>26</v>
      </c>
    </row>
    <row r="656" spans="1:11">
      <c r="A656" s="1">
        <v>45806</v>
      </c>
      <c r="B656" t="s">
        <v>21</v>
      </c>
      <c r="C656" t="s">
        <v>35</v>
      </c>
      <c r="D656">
        <v>1</v>
      </c>
      <c r="E656">
        <v>1</v>
      </c>
      <c r="F656">
        <v>0</v>
      </c>
      <c r="G656">
        <v>0</v>
      </c>
      <c r="H656">
        <v>2</v>
      </c>
      <c r="I656" s="1">
        <v>45778</v>
      </c>
      <c r="J656">
        <v>0</v>
      </c>
      <c r="K656" t="s">
        <v>26</v>
      </c>
    </row>
    <row r="657" spans="1:11">
      <c r="A657" s="1">
        <v>45834</v>
      </c>
      <c r="B657" t="s">
        <v>40</v>
      </c>
      <c r="C657" t="s">
        <v>50</v>
      </c>
      <c r="D657">
        <v>142</v>
      </c>
      <c r="E657">
        <v>1</v>
      </c>
      <c r="F657">
        <v>0</v>
      </c>
      <c r="G657">
        <v>0</v>
      </c>
      <c r="H657">
        <v>143</v>
      </c>
      <c r="I657" s="1">
        <v>45809</v>
      </c>
      <c r="J657">
        <v>0</v>
      </c>
      <c r="K657" t="s">
        <v>26</v>
      </c>
    </row>
    <row r="658" spans="1:11">
      <c r="A658" s="1">
        <v>45834</v>
      </c>
      <c r="B658" t="s">
        <v>21</v>
      </c>
      <c r="C658" t="s">
        <v>47</v>
      </c>
      <c r="D658">
        <v>8</v>
      </c>
      <c r="E658">
        <v>1</v>
      </c>
      <c r="F658">
        <v>0</v>
      </c>
      <c r="G658">
        <v>0</v>
      </c>
      <c r="H658">
        <v>9</v>
      </c>
      <c r="I658" s="1">
        <v>45809</v>
      </c>
      <c r="J658">
        <v>0</v>
      </c>
      <c r="K658" t="s">
        <v>26</v>
      </c>
    </row>
    <row r="659" spans="1:11">
      <c r="A659" s="1">
        <v>45834</v>
      </c>
      <c r="B659" t="s">
        <v>21</v>
      </c>
      <c r="C659" t="s">
        <v>35</v>
      </c>
      <c r="D659">
        <v>2</v>
      </c>
      <c r="E659">
        <v>1</v>
      </c>
      <c r="F659">
        <v>0</v>
      </c>
      <c r="G659">
        <v>0</v>
      </c>
      <c r="H659">
        <v>3</v>
      </c>
      <c r="I659" s="1">
        <v>45809</v>
      </c>
      <c r="J659">
        <v>0</v>
      </c>
      <c r="K659" t="s">
        <v>26</v>
      </c>
    </row>
    <row r="660" spans="1:11">
      <c r="A660" s="1">
        <v>45869</v>
      </c>
      <c r="B660" t="s">
        <v>21</v>
      </c>
      <c r="C660" t="s">
        <v>41</v>
      </c>
      <c r="D660">
        <v>20</v>
      </c>
      <c r="E660">
        <v>1</v>
      </c>
      <c r="F660">
        <v>0</v>
      </c>
      <c r="G660">
        <v>0</v>
      </c>
      <c r="H660">
        <v>21</v>
      </c>
      <c r="I660" s="1">
        <v>45839</v>
      </c>
      <c r="J660">
        <v>0</v>
      </c>
      <c r="K660" t="s">
        <v>26</v>
      </c>
    </row>
    <row r="661" spans="1:11">
      <c r="A661" s="1">
        <v>45869</v>
      </c>
      <c r="B661" t="s">
        <v>21</v>
      </c>
      <c r="C661" t="s">
        <v>35</v>
      </c>
      <c r="D661">
        <v>3</v>
      </c>
      <c r="E661">
        <v>1</v>
      </c>
      <c r="F661">
        <v>0</v>
      </c>
      <c r="G661">
        <v>0</v>
      </c>
      <c r="H661">
        <v>4</v>
      </c>
      <c r="I661" s="1">
        <v>45839</v>
      </c>
      <c r="J661">
        <v>0</v>
      </c>
      <c r="K661" t="s">
        <v>26</v>
      </c>
    </row>
    <row r="662" spans="1:11">
      <c r="A662" s="1">
        <v>45869</v>
      </c>
      <c r="B662" t="s">
        <v>21</v>
      </c>
      <c r="C662" t="s">
        <v>29</v>
      </c>
      <c r="D662">
        <v>7</v>
      </c>
      <c r="E662">
        <v>1</v>
      </c>
      <c r="F662">
        <v>0</v>
      </c>
      <c r="G662">
        <v>0</v>
      </c>
      <c r="H662">
        <v>8</v>
      </c>
      <c r="I662" s="1">
        <v>45839</v>
      </c>
      <c r="J662">
        <v>0</v>
      </c>
      <c r="K662" t="s">
        <v>26</v>
      </c>
    </row>
    <row r="663" spans="1:11">
      <c r="A663" s="1">
        <v>45869</v>
      </c>
      <c r="B663" t="s">
        <v>21</v>
      </c>
      <c r="C663" t="s">
        <v>44</v>
      </c>
      <c r="D663">
        <v>12</v>
      </c>
      <c r="E663">
        <v>1</v>
      </c>
      <c r="F663">
        <v>0</v>
      </c>
      <c r="G663">
        <v>0</v>
      </c>
      <c r="H663">
        <v>13</v>
      </c>
      <c r="I663" s="1">
        <v>45839</v>
      </c>
      <c r="J663">
        <v>0</v>
      </c>
      <c r="K663" t="s">
        <v>26</v>
      </c>
    </row>
    <row r="664" spans="1:11">
      <c r="A664" s="1">
        <v>45897</v>
      </c>
      <c r="B664" t="s">
        <v>21</v>
      </c>
      <c r="C664" t="s">
        <v>30</v>
      </c>
      <c r="D664">
        <v>3</v>
      </c>
      <c r="E664">
        <v>1</v>
      </c>
      <c r="F664">
        <v>0</v>
      </c>
      <c r="G664">
        <v>0</v>
      </c>
      <c r="H664">
        <v>4</v>
      </c>
      <c r="I664" s="1">
        <v>45870</v>
      </c>
      <c r="J664">
        <v>0</v>
      </c>
      <c r="K664" t="s">
        <v>26</v>
      </c>
    </row>
    <row r="665" spans="1:11">
      <c r="A665" s="1">
        <v>45897</v>
      </c>
      <c r="B665" t="s">
        <v>21</v>
      </c>
      <c r="C665" t="s">
        <v>29</v>
      </c>
      <c r="D665">
        <v>8</v>
      </c>
      <c r="E665">
        <v>1</v>
      </c>
      <c r="F665">
        <v>0</v>
      </c>
      <c r="G665">
        <v>0</v>
      </c>
      <c r="H665">
        <v>9</v>
      </c>
      <c r="I665" s="1">
        <v>45870</v>
      </c>
      <c r="J665">
        <v>0</v>
      </c>
      <c r="K665" t="s">
        <v>26</v>
      </c>
    </row>
    <row r="666" spans="1:11">
      <c r="A666" s="1">
        <v>45897</v>
      </c>
      <c r="B666" t="s">
        <v>21</v>
      </c>
      <c r="C666" t="s">
        <v>32</v>
      </c>
      <c r="D666">
        <v>21</v>
      </c>
      <c r="E666">
        <v>1</v>
      </c>
      <c r="F666">
        <v>0</v>
      </c>
      <c r="G666">
        <v>0</v>
      </c>
      <c r="H666">
        <v>22</v>
      </c>
      <c r="I666" s="1">
        <v>45870</v>
      </c>
      <c r="J666">
        <v>0</v>
      </c>
      <c r="K666" t="s">
        <v>26</v>
      </c>
    </row>
    <row r="667" spans="1:11">
      <c r="A667" s="1">
        <v>45960</v>
      </c>
      <c r="B667" t="s">
        <v>21</v>
      </c>
      <c r="C667" t="s">
        <v>37</v>
      </c>
      <c r="D667">
        <v>2</v>
      </c>
      <c r="E667">
        <v>1</v>
      </c>
      <c r="F667">
        <v>0</v>
      </c>
      <c r="G667">
        <v>0</v>
      </c>
      <c r="H667">
        <v>3</v>
      </c>
      <c r="I667" s="1">
        <v>45931</v>
      </c>
      <c r="J667">
        <v>0</v>
      </c>
      <c r="K667" t="s">
        <v>26</v>
      </c>
    </row>
    <row r="668" spans="1:11">
      <c r="A668" s="1">
        <v>45960</v>
      </c>
      <c r="B668" t="s">
        <v>21</v>
      </c>
      <c r="C668" t="s">
        <v>31</v>
      </c>
      <c r="D668">
        <v>3</v>
      </c>
      <c r="E668">
        <v>1</v>
      </c>
      <c r="F668">
        <v>0</v>
      </c>
      <c r="G668">
        <v>0</v>
      </c>
      <c r="H668">
        <v>4</v>
      </c>
      <c r="I668" s="1">
        <v>45931</v>
      </c>
      <c r="J668">
        <v>0</v>
      </c>
      <c r="K668" t="s">
        <v>26</v>
      </c>
    </row>
    <row r="669" spans="1:11">
      <c r="A669" s="1">
        <v>45960</v>
      </c>
      <c r="B669" t="s">
        <v>21</v>
      </c>
      <c r="C669" t="s">
        <v>44</v>
      </c>
      <c r="D669">
        <v>7</v>
      </c>
      <c r="E669">
        <v>1</v>
      </c>
      <c r="F669">
        <v>0</v>
      </c>
      <c r="G669">
        <v>0</v>
      </c>
      <c r="H669">
        <v>8</v>
      </c>
      <c r="I669" s="1">
        <v>45931</v>
      </c>
      <c r="J669">
        <v>0</v>
      </c>
      <c r="K669" t="s">
        <v>26</v>
      </c>
    </row>
    <row r="670" spans="1:11">
      <c r="A670" s="1">
        <v>45988</v>
      </c>
      <c r="B670" t="s">
        <v>21</v>
      </c>
      <c r="C670" t="s">
        <v>31</v>
      </c>
      <c r="D670">
        <v>3</v>
      </c>
      <c r="E670">
        <v>1</v>
      </c>
      <c r="F670">
        <v>0</v>
      </c>
      <c r="G670">
        <v>0</v>
      </c>
      <c r="H670">
        <v>4</v>
      </c>
      <c r="I670" s="1">
        <v>45962</v>
      </c>
      <c r="J670">
        <v>0</v>
      </c>
      <c r="K670" t="s">
        <v>26</v>
      </c>
    </row>
    <row r="671" spans="1:11">
      <c r="A671" s="1">
        <v>45988</v>
      </c>
      <c r="B671" t="s">
        <v>21</v>
      </c>
      <c r="C671" t="s">
        <v>29</v>
      </c>
      <c r="D671">
        <v>6</v>
      </c>
      <c r="E671">
        <v>1</v>
      </c>
      <c r="F671">
        <v>0</v>
      </c>
      <c r="G671">
        <v>0</v>
      </c>
      <c r="H671">
        <v>7</v>
      </c>
      <c r="I671" s="1">
        <v>45962</v>
      </c>
      <c r="J671">
        <v>0</v>
      </c>
      <c r="K671" t="s">
        <v>26</v>
      </c>
    </row>
    <row r="672" spans="1:11">
      <c r="A672" s="1">
        <v>46051</v>
      </c>
      <c r="B672" t="s">
        <v>40</v>
      </c>
      <c r="C672" t="s">
        <v>33</v>
      </c>
      <c r="D672">
        <v>32</v>
      </c>
      <c r="E672">
        <v>1</v>
      </c>
      <c r="F672">
        <v>0</v>
      </c>
      <c r="G672">
        <v>0</v>
      </c>
      <c r="H672">
        <v>33</v>
      </c>
      <c r="I672" s="1">
        <v>46023</v>
      </c>
      <c r="J672">
        <v>0</v>
      </c>
      <c r="K672" t="s">
        <v>26</v>
      </c>
    </row>
    <row r="673" spans="1:11">
      <c r="A673" s="1">
        <v>46051</v>
      </c>
      <c r="B673" t="s">
        <v>21</v>
      </c>
      <c r="C673" t="s">
        <v>47</v>
      </c>
      <c r="D673">
        <v>4</v>
      </c>
      <c r="E673">
        <v>1</v>
      </c>
      <c r="F673">
        <v>0</v>
      </c>
      <c r="G673">
        <v>0</v>
      </c>
      <c r="H673">
        <v>5</v>
      </c>
      <c r="I673" s="1">
        <v>46023</v>
      </c>
      <c r="J673">
        <v>0</v>
      </c>
      <c r="K673" t="s">
        <v>26</v>
      </c>
    </row>
    <row r="674" spans="1:11">
      <c r="A674" s="1">
        <v>46079</v>
      </c>
      <c r="B674" t="s">
        <v>21</v>
      </c>
      <c r="C674" t="s">
        <v>31</v>
      </c>
      <c r="D674">
        <v>5</v>
      </c>
      <c r="E674">
        <v>1</v>
      </c>
      <c r="F674">
        <v>0</v>
      </c>
      <c r="G674">
        <v>0</v>
      </c>
      <c r="H674">
        <v>6</v>
      </c>
      <c r="I674" s="1">
        <v>46054</v>
      </c>
      <c r="J674">
        <v>0</v>
      </c>
      <c r="K674" t="s">
        <v>26</v>
      </c>
    </row>
    <row r="675" spans="1:11">
      <c r="A675" s="1">
        <v>46107</v>
      </c>
      <c r="B675" t="s">
        <v>21</v>
      </c>
      <c r="C675" t="s">
        <v>51</v>
      </c>
      <c r="D675">
        <v>16</v>
      </c>
      <c r="E675">
        <v>1</v>
      </c>
      <c r="F675">
        <v>0</v>
      </c>
      <c r="G675">
        <v>0</v>
      </c>
      <c r="H675">
        <v>17</v>
      </c>
      <c r="I675" s="1">
        <v>46082</v>
      </c>
      <c r="J675">
        <v>0</v>
      </c>
      <c r="K675" t="s">
        <v>26</v>
      </c>
    </row>
    <row r="676" spans="1:11">
      <c r="A676" s="1">
        <v>46170</v>
      </c>
      <c r="B676" t="s">
        <v>40</v>
      </c>
      <c r="C676" t="s">
        <v>50</v>
      </c>
      <c r="D676">
        <v>116</v>
      </c>
      <c r="E676">
        <v>1</v>
      </c>
      <c r="F676">
        <v>0</v>
      </c>
      <c r="G676">
        <v>0</v>
      </c>
      <c r="H676">
        <v>117</v>
      </c>
      <c r="I676" s="1">
        <v>46143</v>
      </c>
      <c r="J676">
        <v>0</v>
      </c>
      <c r="K676" t="s">
        <v>26</v>
      </c>
    </row>
    <row r="677" spans="1:11">
      <c r="A677" s="1">
        <v>46198</v>
      </c>
      <c r="B677" t="s">
        <v>21</v>
      </c>
      <c r="C677" t="s">
        <v>51</v>
      </c>
      <c r="D677">
        <v>19</v>
      </c>
      <c r="E677">
        <v>1</v>
      </c>
      <c r="F677">
        <v>0</v>
      </c>
      <c r="G677">
        <v>0</v>
      </c>
      <c r="H677">
        <v>20</v>
      </c>
      <c r="I677" s="1">
        <v>46174</v>
      </c>
      <c r="J677">
        <v>0</v>
      </c>
      <c r="K677" t="s">
        <v>26</v>
      </c>
    </row>
    <row r="678" spans="1:11">
      <c r="A678" s="1">
        <v>46198</v>
      </c>
      <c r="B678" t="s">
        <v>21</v>
      </c>
      <c r="C678" t="s">
        <v>45</v>
      </c>
      <c r="D678">
        <v>6</v>
      </c>
      <c r="E678">
        <v>1</v>
      </c>
      <c r="F678">
        <v>0</v>
      </c>
      <c r="G678">
        <v>0</v>
      </c>
      <c r="H678">
        <v>7</v>
      </c>
      <c r="I678" s="1">
        <v>46174</v>
      </c>
      <c r="J678">
        <v>0</v>
      </c>
      <c r="K678" t="s">
        <v>26</v>
      </c>
    </row>
    <row r="679" spans="1:11">
      <c r="A679" s="1">
        <v>46261</v>
      </c>
      <c r="B679" t="s">
        <v>21</v>
      </c>
      <c r="C679" t="s">
        <v>51</v>
      </c>
      <c r="D679">
        <v>23</v>
      </c>
      <c r="E679">
        <v>1</v>
      </c>
      <c r="F679">
        <v>0</v>
      </c>
      <c r="G679">
        <v>0</v>
      </c>
      <c r="H679">
        <v>24</v>
      </c>
      <c r="I679" s="1">
        <v>46235</v>
      </c>
      <c r="J679">
        <v>0</v>
      </c>
      <c r="K679" t="s">
        <v>26</v>
      </c>
    </row>
    <row r="680" spans="1:11">
      <c r="A680" s="1">
        <v>46261</v>
      </c>
      <c r="B680" t="s">
        <v>21</v>
      </c>
      <c r="C680" t="s">
        <v>54</v>
      </c>
      <c r="D680">
        <v>48</v>
      </c>
      <c r="E680">
        <v>1</v>
      </c>
      <c r="F680">
        <v>0</v>
      </c>
      <c r="G680">
        <v>0</v>
      </c>
      <c r="H680">
        <v>49</v>
      </c>
      <c r="I680" s="1">
        <v>46235</v>
      </c>
      <c r="J680">
        <v>0</v>
      </c>
      <c r="K680" t="s">
        <v>26</v>
      </c>
    </row>
    <row r="681" spans="1:11">
      <c r="A681" s="1">
        <v>44952</v>
      </c>
      <c r="B681" t="s">
        <v>21</v>
      </c>
      <c r="C681" t="s">
        <v>30</v>
      </c>
      <c r="D681">
        <v>43</v>
      </c>
      <c r="E681">
        <v>12</v>
      </c>
      <c r="F681">
        <v>0</v>
      </c>
      <c r="G681">
        <v>0</v>
      </c>
      <c r="H681">
        <v>55</v>
      </c>
      <c r="I681" s="1">
        <v>44927</v>
      </c>
      <c r="J681">
        <v>0</v>
      </c>
      <c r="K681" t="s">
        <v>23</v>
      </c>
    </row>
    <row r="682" spans="1:11">
      <c r="A682" s="1">
        <v>44952</v>
      </c>
      <c r="B682" t="s">
        <v>21</v>
      </c>
      <c r="C682" t="s">
        <v>38</v>
      </c>
      <c r="D682">
        <v>58</v>
      </c>
      <c r="E682">
        <v>13</v>
      </c>
      <c r="F682">
        <v>0</v>
      </c>
      <c r="G682">
        <v>0</v>
      </c>
      <c r="H682">
        <v>71</v>
      </c>
      <c r="I682" s="1">
        <v>44927</v>
      </c>
      <c r="J682">
        <v>0</v>
      </c>
      <c r="K682" t="s">
        <v>23</v>
      </c>
    </row>
    <row r="683" spans="1:11">
      <c r="A683" s="1">
        <v>44952</v>
      </c>
      <c r="B683" t="s">
        <v>21</v>
      </c>
      <c r="C683" t="s">
        <v>34</v>
      </c>
      <c r="D683">
        <v>28</v>
      </c>
      <c r="E683">
        <v>4</v>
      </c>
      <c r="F683">
        <v>0</v>
      </c>
      <c r="G683">
        <v>0</v>
      </c>
      <c r="H683">
        <v>32</v>
      </c>
      <c r="I683" s="1">
        <v>44927</v>
      </c>
      <c r="J683">
        <v>0</v>
      </c>
      <c r="K683" t="s">
        <v>23</v>
      </c>
    </row>
    <row r="684" spans="1:11">
      <c r="A684" s="1">
        <v>44952</v>
      </c>
      <c r="B684" t="s">
        <v>21</v>
      </c>
      <c r="C684" t="s">
        <v>49</v>
      </c>
      <c r="D684">
        <v>530</v>
      </c>
      <c r="E684">
        <v>263</v>
      </c>
      <c r="F684">
        <v>0</v>
      </c>
      <c r="G684">
        <v>0</v>
      </c>
      <c r="H684">
        <v>792</v>
      </c>
      <c r="I684" s="1">
        <v>44927</v>
      </c>
      <c r="J684">
        <v>0</v>
      </c>
      <c r="K684" t="s">
        <v>23</v>
      </c>
    </row>
    <row r="685" spans="1:11">
      <c r="A685" s="1">
        <v>44980</v>
      </c>
      <c r="B685" t="s">
        <v>21</v>
      </c>
      <c r="C685" t="s">
        <v>33</v>
      </c>
      <c r="D685">
        <v>29</v>
      </c>
      <c r="E685">
        <v>5</v>
      </c>
      <c r="F685">
        <v>0</v>
      </c>
      <c r="G685">
        <v>0</v>
      </c>
      <c r="H685">
        <v>34</v>
      </c>
      <c r="I685" s="1">
        <v>44958</v>
      </c>
      <c r="J685">
        <v>0</v>
      </c>
      <c r="K685" t="s">
        <v>23</v>
      </c>
    </row>
    <row r="686" spans="1:11">
      <c r="A686" s="1">
        <v>44980</v>
      </c>
      <c r="B686" t="s">
        <v>21</v>
      </c>
      <c r="C686" t="s">
        <v>38</v>
      </c>
      <c r="D686">
        <v>61</v>
      </c>
      <c r="E686">
        <v>13</v>
      </c>
      <c r="F686">
        <v>0</v>
      </c>
      <c r="G686">
        <v>0</v>
      </c>
      <c r="H686">
        <v>74</v>
      </c>
      <c r="I686" s="1">
        <v>44958</v>
      </c>
      <c r="J686">
        <v>0</v>
      </c>
      <c r="K686" t="s">
        <v>23</v>
      </c>
    </row>
    <row r="687" spans="1:11">
      <c r="A687" s="1">
        <v>45015</v>
      </c>
      <c r="B687" t="s">
        <v>21</v>
      </c>
      <c r="C687" t="s">
        <v>33</v>
      </c>
      <c r="D687">
        <v>30</v>
      </c>
      <c r="E687">
        <v>7</v>
      </c>
      <c r="F687">
        <v>0</v>
      </c>
      <c r="G687">
        <v>0</v>
      </c>
      <c r="H687">
        <v>37</v>
      </c>
      <c r="I687" s="1">
        <v>44986</v>
      </c>
      <c r="J687">
        <v>0</v>
      </c>
      <c r="K687" t="s">
        <v>23</v>
      </c>
    </row>
    <row r="688" spans="1:11">
      <c r="A688" s="1">
        <v>45015</v>
      </c>
      <c r="B688" t="s">
        <v>21</v>
      </c>
      <c r="C688" t="s">
        <v>30</v>
      </c>
      <c r="D688">
        <v>45</v>
      </c>
      <c r="E688">
        <v>4</v>
      </c>
      <c r="F688">
        <v>0</v>
      </c>
      <c r="G688">
        <v>0</v>
      </c>
      <c r="H688">
        <v>49</v>
      </c>
      <c r="I688" s="1">
        <v>44986</v>
      </c>
      <c r="J688">
        <v>0</v>
      </c>
      <c r="K688" t="s">
        <v>23</v>
      </c>
    </row>
    <row r="689" spans="1:11">
      <c r="A689" s="1">
        <v>45015</v>
      </c>
      <c r="B689" t="s">
        <v>21</v>
      </c>
      <c r="C689" t="s">
        <v>38</v>
      </c>
      <c r="D689">
        <v>61</v>
      </c>
      <c r="E689">
        <v>12</v>
      </c>
      <c r="F689">
        <v>0</v>
      </c>
      <c r="G689">
        <v>0</v>
      </c>
      <c r="H689">
        <v>73</v>
      </c>
      <c r="I689" s="1">
        <v>44986</v>
      </c>
      <c r="J689">
        <v>0</v>
      </c>
      <c r="K689" t="s">
        <v>23</v>
      </c>
    </row>
    <row r="690" spans="1:11">
      <c r="A690" s="1">
        <v>45015</v>
      </c>
      <c r="B690" t="s">
        <v>21</v>
      </c>
      <c r="C690" t="s">
        <v>35</v>
      </c>
      <c r="D690">
        <v>19</v>
      </c>
      <c r="E690">
        <v>4</v>
      </c>
      <c r="F690">
        <v>0</v>
      </c>
      <c r="G690">
        <v>0</v>
      </c>
      <c r="H690">
        <v>23</v>
      </c>
      <c r="I690" s="1">
        <v>44986</v>
      </c>
      <c r="J690">
        <v>0</v>
      </c>
      <c r="K690" t="s">
        <v>23</v>
      </c>
    </row>
    <row r="691" spans="1:11">
      <c r="A691" s="1">
        <v>45043</v>
      </c>
      <c r="B691" t="s">
        <v>40</v>
      </c>
      <c r="C691" t="s">
        <v>34</v>
      </c>
      <c r="D691">
        <v>2843</v>
      </c>
      <c r="E691">
        <v>114</v>
      </c>
      <c r="F691">
        <v>0</v>
      </c>
      <c r="G691">
        <v>0</v>
      </c>
      <c r="H691">
        <v>2957</v>
      </c>
      <c r="I691" s="1">
        <v>45017</v>
      </c>
      <c r="J691">
        <v>0</v>
      </c>
      <c r="K691" t="s">
        <v>23</v>
      </c>
    </row>
    <row r="692" spans="1:11">
      <c r="A692" s="1">
        <v>45043</v>
      </c>
      <c r="B692" t="s">
        <v>21</v>
      </c>
      <c r="C692" t="s">
        <v>33</v>
      </c>
      <c r="D692">
        <v>30</v>
      </c>
      <c r="E692">
        <v>10</v>
      </c>
      <c r="F692">
        <v>0</v>
      </c>
      <c r="G692">
        <v>0</v>
      </c>
      <c r="H692">
        <v>40</v>
      </c>
      <c r="I692" s="1">
        <v>45017</v>
      </c>
      <c r="J692">
        <v>0</v>
      </c>
      <c r="K692" t="s">
        <v>23</v>
      </c>
    </row>
    <row r="693" spans="1:11">
      <c r="A693" s="1">
        <v>45043</v>
      </c>
      <c r="B693" t="s">
        <v>21</v>
      </c>
      <c r="C693" t="s">
        <v>30</v>
      </c>
      <c r="D693">
        <v>49</v>
      </c>
      <c r="E693">
        <v>7</v>
      </c>
      <c r="F693">
        <v>0</v>
      </c>
      <c r="G693">
        <v>0</v>
      </c>
      <c r="H693">
        <v>56</v>
      </c>
      <c r="I693" s="1">
        <v>45017</v>
      </c>
      <c r="J693">
        <v>0</v>
      </c>
      <c r="K693" t="s">
        <v>23</v>
      </c>
    </row>
    <row r="694" spans="1:11">
      <c r="A694" s="1">
        <v>45043</v>
      </c>
      <c r="B694" t="s">
        <v>21</v>
      </c>
      <c r="C694" t="s">
        <v>35</v>
      </c>
      <c r="D694">
        <v>18</v>
      </c>
      <c r="E694">
        <v>4</v>
      </c>
      <c r="F694">
        <v>0</v>
      </c>
      <c r="G694">
        <v>0</v>
      </c>
      <c r="H694">
        <v>22</v>
      </c>
      <c r="I694" s="1">
        <v>45017</v>
      </c>
      <c r="J694">
        <v>0</v>
      </c>
      <c r="K694" t="s">
        <v>23</v>
      </c>
    </row>
    <row r="695" spans="1:11">
      <c r="A695" s="1">
        <v>45043</v>
      </c>
      <c r="B695" t="s">
        <v>21</v>
      </c>
      <c r="C695" t="s">
        <v>34</v>
      </c>
      <c r="D695">
        <v>29</v>
      </c>
      <c r="E695">
        <v>6</v>
      </c>
      <c r="F695">
        <v>0</v>
      </c>
      <c r="G695">
        <v>0</v>
      </c>
      <c r="H695">
        <v>35</v>
      </c>
      <c r="I695" s="1">
        <v>45017</v>
      </c>
      <c r="J695">
        <v>0</v>
      </c>
      <c r="K695" t="s">
        <v>23</v>
      </c>
    </row>
    <row r="696" spans="1:11">
      <c r="A696" s="1">
        <v>45071</v>
      </c>
      <c r="B696" t="s">
        <v>40</v>
      </c>
      <c r="C696" t="s">
        <v>34</v>
      </c>
      <c r="D696">
        <v>2926</v>
      </c>
      <c r="E696">
        <v>68</v>
      </c>
      <c r="F696">
        <v>0</v>
      </c>
      <c r="G696">
        <v>0</v>
      </c>
      <c r="H696">
        <v>2994</v>
      </c>
      <c r="I696" s="1">
        <v>45047</v>
      </c>
      <c r="J696">
        <v>0</v>
      </c>
      <c r="K696" t="s">
        <v>23</v>
      </c>
    </row>
    <row r="697" spans="1:11">
      <c r="A697" s="1">
        <v>45071</v>
      </c>
      <c r="B697" t="s">
        <v>21</v>
      </c>
      <c r="C697" t="s">
        <v>48</v>
      </c>
      <c r="D697">
        <v>67</v>
      </c>
      <c r="E697">
        <v>11</v>
      </c>
      <c r="F697">
        <v>0</v>
      </c>
      <c r="G697">
        <v>0</v>
      </c>
      <c r="H697">
        <v>79</v>
      </c>
      <c r="I697" s="1">
        <v>45047</v>
      </c>
      <c r="J697">
        <v>0</v>
      </c>
      <c r="K697" t="s">
        <v>23</v>
      </c>
    </row>
    <row r="698" spans="1:11">
      <c r="A698" s="1">
        <v>45071</v>
      </c>
      <c r="B698" t="s">
        <v>21</v>
      </c>
      <c r="C698" t="s">
        <v>33</v>
      </c>
      <c r="D698">
        <v>35</v>
      </c>
      <c r="E698">
        <v>9</v>
      </c>
      <c r="F698">
        <v>0</v>
      </c>
      <c r="G698">
        <v>0</v>
      </c>
      <c r="H698">
        <v>44</v>
      </c>
      <c r="I698" s="1">
        <v>45047</v>
      </c>
      <c r="J698">
        <v>0</v>
      </c>
      <c r="K698" t="s">
        <v>23</v>
      </c>
    </row>
    <row r="699" spans="1:11">
      <c r="A699" s="1">
        <v>45071</v>
      </c>
      <c r="B699" t="s">
        <v>21</v>
      </c>
      <c r="C699" t="s">
        <v>30</v>
      </c>
      <c r="D699">
        <v>48</v>
      </c>
      <c r="E699">
        <v>7</v>
      </c>
      <c r="F699">
        <v>0</v>
      </c>
      <c r="G699">
        <v>0</v>
      </c>
      <c r="H699">
        <v>55</v>
      </c>
      <c r="I699" s="1">
        <v>45047</v>
      </c>
      <c r="J699">
        <v>0</v>
      </c>
      <c r="K699" t="s">
        <v>23</v>
      </c>
    </row>
    <row r="700" spans="1:11">
      <c r="A700" s="1">
        <v>45071</v>
      </c>
      <c r="B700" t="s">
        <v>21</v>
      </c>
      <c r="C700" t="s">
        <v>35</v>
      </c>
      <c r="D700">
        <v>20</v>
      </c>
      <c r="E700">
        <v>4</v>
      </c>
      <c r="F700">
        <v>0</v>
      </c>
      <c r="G700">
        <v>0</v>
      </c>
      <c r="H700">
        <v>23</v>
      </c>
      <c r="I700" s="1">
        <v>45047</v>
      </c>
      <c r="J700">
        <v>0</v>
      </c>
      <c r="K700" t="s">
        <v>23</v>
      </c>
    </row>
    <row r="701" spans="1:11">
      <c r="A701" s="1">
        <v>45106</v>
      </c>
      <c r="B701" t="s">
        <v>40</v>
      </c>
      <c r="C701" t="s">
        <v>34</v>
      </c>
      <c r="D701">
        <v>3126</v>
      </c>
      <c r="E701">
        <v>48</v>
      </c>
      <c r="F701">
        <v>0</v>
      </c>
      <c r="G701">
        <v>0</v>
      </c>
      <c r="H701">
        <v>3174</v>
      </c>
      <c r="I701" s="1">
        <v>45078</v>
      </c>
      <c r="J701">
        <v>0</v>
      </c>
      <c r="K701" t="s">
        <v>23</v>
      </c>
    </row>
    <row r="702" spans="1:11">
      <c r="A702" s="1">
        <v>45106</v>
      </c>
      <c r="B702" t="s">
        <v>21</v>
      </c>
      <c r="C702" t="s">
        <v>48</v>
      </c>
      <c r="D702">
        <v>65</v>
      </c>
      <c r="E702">
        <v>15</v>
      </c>
      <c r="F702">
        <v>0</v>
      </c>
      <c r="G702">
        <v>0</v>
      </c>
      <c r="H702">
        <v>79</v>
      </c>
      <c r="I702" s="1">
        <v>45078</v>
      </c>
      <c r="J702">
        <v>0</v>
      </c>
      <c r="K702" t="s">
        <v>23</v>
      </c>
    </row>
    <row r="703" spans="1:11">
      <c r="A703" s="1">
        <v>45106</v>
      </c>
      <c r="B703" t="s">
        <v>21</v>
      </c>
      <c r="C703" t="s">
        <v>33</v>
      </c>
      <c r="D703">
        <v>40</v>
      </c>
      <c r="E703">
        <v>9</v>
      </c>
      <c r="F703">
        <v>0</v>
      </c>
      <c r="G703">
        <v>0</v>
      </c>
      <c r="H703">
        <v>49</v>
      </c>
      <c r="I703" s="1">
        <v>45078</v>
      </c>
      <c r="J703">
        <v>0</v>
      </c>
      <c r="K703" t="s">
        <v>23</v>
      </c>
    </row>
    <row r="704" spans="1:11">
      <c r="A704" s="1">
        <v>45134</v>
      </c>
      <c r="B704" t="s">
        <v>21</v>
      </c>
      <c r="C704" t="s">
        <v>48</v>
      </c>
      <c r="D704">
        <v>61</v>
      </c>
      <c r="E704">
        <v>16</v>
      </c>
      <c r="F704">
        <v>0</v>
      </c>
      <c r="G704">
        <v>0</v>
      </c>
      <c r="H704">
        <v>77</v>
      </c>
      <c r="I704" s="1">
        <v>45108</v>
      </c>
      <c r="J704">
        <v>0</v>
      </c>
      <c r="K704" t="s">
        <v>23</v>
      </c>
    </row>
    <row r="705" spans="1:11">
      <c r="A705" s="1">
        <v>45134</v>
      </c>
      <c r="B705" t="s">
        <v>21</v>
      </c>
      <c r="C705" t="s">
        <v>33</v>
      </c>
      <c r="D705">
        <v>38</v>
      </c>
      <c r="E705">
        <v>16</v>
      </c>
      <c r="F705">
        <v>0</v>
      </c>
      <c r="G705">
        <v>0</v>
      </c>
      <c r="H705">
        <v>54</v>
      </c>
      <c r="I705" s="1">
        <v>45108</v>
      </c>
      <c r="J705">
        <v>0</v>
      </c>
      <c r="K705" t="s">
        <v>23</v>
      </c>
    </row>
    <row r="706" spans="1:11">
      <c r="A706" s="1">
        <v>45134</v>
      </c>
      <c r="B706" t="s">
        <v>21</v>
      </c>
      <c r="C706" t="s">
        <v>37</v>
      </c>
      <c r="D706">
        <v>61</v>
      </c>
      <c r="E706">
        <v>4</v>
      </c>
      <c r="F706">
        <v>0</v>
      </c>
      <c r="G706">
        <v>0</v>
      </c>
      <c r="H706">
        <v>65</v>
      </c>
      <c r="I706" s="1">
        <v>45108</v>
      </c>
      <c r="J706">
        <v>0</v>
      </c>
      <c r="K706" t="s">
        <v>23</v>
      </c>
    </row>
    <row r="707" spans="1:11">
      <c r="A707" s="1">
        <v>45134</v>
      </c>
      <c r="B707" t="s">
        <v>21</v>
      </c>
      <c r="C707" t="s">
        <v>38</v>
      </c>
      <c r="D707">
        <v>54</v>
      </c>
      <c r="E707">
        <v>19</v>
      </c>
      <c r="F707">
        <v>0</v>
      </c>
      <c r="G707">
        <v>0</v>
      </c>
      <c r="H707">
        <v>73</v>
      </c>
      <c r="I707" s="1">
        <v>45108</v>
      </c>
      <c r="J707">
        <v>0</v>
      </c>
      <c r="K707" t="s">
        <v>23</v>
      </c>
    </row>
    <row r="708" spans="1:11">
      <c r="A708" s="1">
        <v>45134</v>
      </c>
      <c r="B708" t="s">
        <v>21</v>
      </c>
      <c r="C708" t="s">
        <v>36</v>
      </c>
      <c r="D708">
        <v>28</v>
      </c>
      <c r="E708">
        <v>5</v>
      </c>
      <c r="F708">
        <v>0</v>
      </c>
      <c r="G708">
        <v>0</v>
      </c>
      <c r="H708">
        <v>33</v>
      </c>
      <c r="I708" s="1">
        <v>45108</v>
      </c>
      <c r="J708">
        <v>0</v>
      </c>
      <c r="K708" t="s">
        <v>23</v>
      </c>
    </row>
    <row r="709" spans="1:11">
      <c r="A709" s="1">
        <v>45169</v>
      </c>
      <c r="B709" t="s">
        <v>40</v>
      </c>
      <c r="C709" t="s">
        <v>34</v>
      </c>
      <c r="D709">
        <v>3335</v>
      </c>
      <c r="E709">
        <v>188</v>
      </c>
      <c r="F709">
        <v>0</v>
      </c>
      <c r="G709">
        <v>0</v>
      </c>
      <c r="H709">
        <v>3523</v>
      </c>
      <c r="I709" s="1">
        <v>45139</v>
      </c>
      <c r="J709">
        <v>0</v>
      </c>
      <c r="K709" t="s">
        <v>23</v>
      </c>
    </row>
    <row r="710" spans="1:11">
      <c r="A710" s="1">
        <v>45169</v>
      </c>
      <c r="B710" t="s">
        <v>21</v>
      </c>
      <c r="C710" t="s">
        <v>33</v>
      </c>
      <c r="D710">
        <v>31</v>
      </c>
      <c r="E710">
        <v>16</v>
      </c>
      <c r="F710">
        <v>0</v>
      </c>
      <c r="G710">
        <v>0</v>
      </c>
      <c r="H710">
        <v>47</v>
      </c>
      <c r="I710" s="1">
        <v>45139</v>
      </c>
      <c r="J710">
        <v>0</v>
      </c>
      <c r="K710" t="s">
        <v>23</v>
      </c>
    </row>
    <row r="711" spans="1:11">
      <c r="A711" s="1">
        <v>45169</v>
      </c>
      <c r="B711" t="s">
        <v>21</v>
      </c>
      <c r="C711" t="s">
        <v>37</v>
      </c>
      <c r="D711">
        <v>50</v>
      </c>
      <c r="E711">
        <v>15</v>
      </c>
      <c r="F711">
        <v>0</v>
      </c>
      <c r="G711">
        <v>0</v>
      </c>
      <c r="H711">
        <v>65</v>
      </c>
      <c r="I711" s="1">
        <v>45139</v>
      </c>
      <c r="J711">
        <v>0</v>
      </c>
      <c r="K711" t="s">
        <v>23</v>
      </c>
    </row>
    <row r="712" spans="1:11">
      <c r="A712" s="1">
        <v>45169</v>
      </c>
      <c r="B712" t="s">
        <v>21</v>
      </c>
      <c r="C712" t="s">
        <v>53</v>
      </c>
      <c r="D712">
        <v>11</v>
      </c>
      <c r="E712">
        <v>7</v>
      </c>
      <c r="F712">
        <v>0</v>
      </c>
      <c r="G712">
        <v>0</v>
      </c>
      <c r="H712">
        <v>18</v>
      </c>
      <c r="I712" s="1">
        <v>45139</v>
      </c>
      <c r="J712">
        <v>0</v>
      </c>
      <c r="K712" t="s">
        <v>23</v>
      </c>
    </row>
    <row r="713" spans="1:11">
      <c r="A713" s="1">
        <v>45197</v>
      </c>
      <c r="B713" t="s">
        <v>40</v>
      </c>
      <c r="C713" t="s">
        <v>34</v>
      </c>
      <c r="D713">
        <v>3283</v>
      </c>
      <c r="E713">
        <v>231</v>
      </c>
      <c r="F713">
        <v>0</v>
      </c>
      <c r="G713">
        <v>0</v>
      </c>
      <c r="H713">
        <v>3514</v>
      </c>
      <c r="I713" s="1">
        <v>45170</v>
      </c>
      <c r="J713">
        <v>0</v>
      </c>
      <c r="K713" t="s">
        <v>23</v>
      </c>
    </row>
    <row r="714" spans="1:11">
      <c r="A714" s="1">
        <v>45197</v>
      </c>
      <c r="B714" t="s">
        <v>21</v>
      </c>
      <c r="C714" t="s">
        <v>48</v>
      </c>
      <c r="D714">
        <v>40</v>
      </c>
      <c r="E714">
        <v>15</v>
      </c>
      <c r="F714">
        <v>0</v>
      </c>
      <c r="G714">
        <v>0</v>
      </c>
      <c r="H714">
        <v>55</v>
      </c>
      <c r="I714" s="1">
        <v>45170</v>
      </c>
      <c r="J714">
        <v>0</v>
      </c>
      <c r="K714" t="s">
        <v>23</v>
      </c>
    </row>
    <row r="715" spans="1:11">
      <c r="A715" s="1">
        <v>45197</v>
      </c>
      <c r="B715" t="s">
        <v>21</v>
      </c>
      <c r="C715" t="s">
        <v>33</v>
      </c>
      <c r="D715">
        <v>31</v>
      </c>
      <c r="E715">
        <v>19</v>
      </c>
      <c r="F715">
        <v>0</v>
      </c>
      <c r="G715">
        <v>0</v>
      </c>
      <c r="H715">
        <v>50</v>
      </c>
      <c r="I715" s="1">
        <v>45170</v>
      </c>
      <c r="J715">
        <v>0</v>
      </c>
      <c r="K715" t="s">
        <v>23</v>
      </c>
    </row>
    <row r="716" spans="1:11">
      <c r="A716" s="1">
        <v>45197</v>
      </c>
      <c r="B716" t="s">
        <v>21</v>
      </c>
      <c r="C716" t="s">
        <v>37</v>
      </c>
      <c r="D716">
        <v>36</v>
      </c>
      <c r="E716">
        <v>14</v>
      </c>
      <c r="F716">
        <v>0</v>
      </c>
      <c r="G716">
        <v>0</v>
      </c>
      <c r="H716">
        <v>50</v>
      </c>
      <c r="I716" s="1">
        <v>45170</v>
      </c>
      <c r="J716">
        <v>0</v>
      </c>
      <c r="K716" t="s">
        <v>23</v>
      </c>
    </row>
    <row r="717" spans="1:11">
      <c r="A717" s="1">
        <v>45197</v>
      </c>
      <c r="B717" t="s">
        <v>21</v>
      </c>
      <c r="C717" t="s">
        <v>38</v>
      </c>
      <c r="D717">
        <v>57</v>
      </c>
      <c r="E717">
        <v>16</v>
      </c>
      <c r="F717">
        <v>0</v>
      </c>
      <c r="G717">
        <v>0</v>
      </c>
      <c r="H717">
        <v>73</v>
      </c>
      <c r="I717" s="1">
        <v>45170</v>
      </c>
      <c r="J717">
        <v>0</v>
      </c>
      <c r="K717" t="s">
        <v>23</v>
      </c>
    </row>
    <row r="718" spans="1:11">
      <c r="A718" s="1">
        <v>45197</v>
      </c>
      <c r="B718" t="s">
        <v>21</v>
      </c>
      <c r="C718" t="s">
        <v>35</v>
      </c>
      <c r="D718">
        <v>18</v>
      </c>
      <c r="E718">
        <v>5</v>
      </c>
      <c r="F718">
        <v>0</v>
      </c>
      <c r="G718">
        <v>0</v>
      </c>
      <c r="H718">
        <v>24</v>
      </c>
      <c r="I718" s="1">
        <v>45170</v>
      </c>
      <c r="J718">
        <v>0</v>
      </c>
      <c r="K718" t="s">
        <v>23</v>
      </c>
    </row>
    <row r="719" spans="1:11">
      <c r="A719" s="1">
        <v>45197</v>
      </c>
      <c r="B719" t="s">
        <v>21</v>
      </c>
      <c r="C719" t="s">
        <v>53</v>
      </c>
      <c r="D719">
        <v>14</v>
      </c>
      <c r="E719">
        <v>5</v>
      </c>
      <c r="F719">
        <v>0</v>
      </c>
      <c r="G719">
        <v>0</v>
      </c>
      <c r="H719">
        <v>19</v>
      </c>
      <c r="I719" s="1">
        <v>45170</v>
      </c>
      <c r="J719">
        <v>0</v>
      </c>
      <c r="K719" t="s">
        <v>23</v>
      </c>
    </row>
    <row r="720" spans="1:11">
      <c r="A720" s="1">
        <v>45197</v>
      </c>
      <c r="B720" t="s">
        <v>21</v>
      </c>
      <c r="C720" t="s">
        <v>36</v>
      </c>
      <c r="D720">
        <v>17</v>
      </c>
      <c r="E720">
        <v>3</v>
      </c>
      <c r="F720">
        <v>0</v>
      </c>
      <c r="G720">
        <v>0</v>
      </c>
      <c r="H720">
        <v>20</v>
      </c>
      <c r="I720" s="1">
        <v>45170</v>
      </c>
      <c r="J720">
        <v>0</v>
      </c>
      <c r="K720" t="s">
        <v>23</v>
      </c>
    </row>
    <row r="721" spans="1:11">
      <c r="A721" s="1">
        <v>45225</v>
      </c>
      <c r="B721" t="s">
        <v>21</v>
      </c>
      <c r="C721" t="s">
        <v>48</v>
      </c>
      <c r="D721">
        <v>39</v>
      </c>
      <c r="E721">
        <v>12</v>
      </c>
      <c r="F721">
        <v>0</v>
      </c>
      <c r="G721">
        <v>0</v>
      </c>
      <c r="H721">
        <v>51</v>
      </c>
      <c r="I721" s="1">
        <v>45200</v>
      </c>
      <c r="J721">
        <v>0</v>
      </c>
      <c r="K721" t="s">
        <v>23</v>
      </c>
    </row>
    <row r="722" spans="1:11">
      <c r="A722" s="1">
        <v>45225</v>
      </c>
      <c r="B722" t="s">
        <v>21</v>
      </c>
      <c r="C722" t="s">
        <v>33</v>
      </c>
      <c r="D722">
        <v>37</v>
      </c>
      <c r="E722">
        <v>18</v>
      </c>
      <c r="F722">
        <v>0</v>
      </c>
      <c r="G722">
        <v>0</v>
      </c>
      <c r="H722">
        <v>55</v>
      </c>
      <c r="I722" s="1">
        <v>45200</v>
      </c>
      <c r="J722">
        <v>0</v>
      </c>
      <c r="K722" t="s">
        <v>23</v>
      </c>
    </row>
    <row r="723" spans="1:11">
      <c r="A723" s="1">
        <v>45225</v>
      </c>
      <c r="B723" t="s">
        <v>21</v>
      </c>
      <c r="C723" t="s">
        <v>38</v>
      </c>
      <c r="D723">
        <v>57</v>
      </c>
      <c r="E723">
        <v>17</v>
      </c>
      <c r="F723">
        <v>0</v>
      </c>
      <c r="G723">
        <v>0</v>
      </c>
      <c r="H723">
        <v>74</v>
      </c>
      <c r="I723" s="1">
        <v>45200</v>
      </c>
      <c r="J723">
        <v>0</v>
      </c>
      <c r="K723" t="s">
        <v>23</v>
      </c>
    </row>
    <row r="724" spans="1:11">
      <c r="A724" s="1">
        <v>45225</v>
      </c>
      <c r="B724" t="s">
        <v>21</v>
      </c>
      <c r="C724" t="s">
        <v>36</v>
      </c>
      <c r="D724">
        <v>16</v>
      </c>
      <c r="E724">
        <v>7</v>
      </c>
      <c r="F724">
        <v>0</v>
      </c>
      <c r="G724">
        <v>0</v>
      </c>
      <c r="H724">
        <v>23</v>
      </c>
      <c r="I724" s="1">
        <v>45200</v>
      </c>
      <c r="J724">
        <v>0</v>
      </c>
      <c r="K724" t="s">
        <v>23</v>
      </c>
    </row>
    <row r="725" spans="1:11">
      <c r="A725" s="1">
        <v>45260</v>
      </c>
      <c r="B725" t="s">
        <v>40</v>
      </c>
      <c r="C725" t="s">
        <v>34</v>
      </c>
      <c r="D725">
        <v>3620</v>
      </c>
      <c r="E725">
        <v>418</v>
      </c>
      <c r="F725">
        <v>0</v>
      </c>
      <c r="G725">
        <v>0</v>
      </c>
      <c r="H725">
        <v>4038</v>
      </c>
      <c r="I725" s="1">
        <v>45231</v>
      </c>
      <c r="J725">
        <v>0</v>
      </c>
      <c r="K725" t="s">
        <v>23</v>
      </c>
    </row>
    <row r="726" spans="1:11">
      <c r="A726" s="1">
        <v>45260</v>
      </c>
      <c r="B726" t="s">
        <v>21</v>
      </c>
      <c r="C726" t="s">
        <v>48</v>
      </c>
      <c r="D726">
        <v>50</v>
      </c>
      <c r="E726">
        <v>7</v>
      </c>
      <c r="F726">
        <v>0</v>
      </c>
      <c r="G726">
        <v>0</v>
      </c>
      <c r="H726">
        <v>57</v>
      </c>
      <c r="I726" s="1">
        <v>45231</v>
      </c>
      <c r="J726">
        <v>0</v>
      </c>
      <c r="K726" t="s">
        <v>23</v>
      </c>
    </row>
    <row r="727" spans="1:11">
      <c r="A727" s="1">
        <v>45260</v>
      </c>
      <c r="B727" t="s">
        <v>21</v>
      </c>
      <c r="C727" t="s">
        <v>38</v>
      </c>
      <c r="D727">
        <v>50</v>
      </c>
      <c r="E727">
        <v>21</v>
      </c>
      <c r="F727">
        <v>0</v>
      </c>
      <c r="G727">
        <v>0</v>
      </c>
      <c r="H727">
        <v>71</v>
      </c>
      <c r="I727" s="1">
        <v>45231</v>
      </c>
      <c r="J727">
        <v>0</v>
      </c>
      <c r="K727" t="s">
        <v>23</v>
      </c>
    </row>
    <row r="728" spans="1:11">
      <c r="A728" s="1">
        <v>45260</v>
      </c>
      <c r="B728" t="s">
        <v>21</v>
      </c>
      <c r="C728" t="s">
        <v>34</v>
      </c>
      <c r="D728">
        <v>37</v>
      </c>
      <c r="E728">
        <v>6</v>
      </c>
      <c r="F728">
        <v>0</v>
      </c>
      <c r="G728">
        <v>0</v>
      </c>
      <c r="H728">
        <v>43</v>
      </c>
      <c r="I728" s="1">
        <v>45231</v>
      </c>
      <c r="J728">
        <v>0</v>
      </c>
      <c r="K728" t="s">
        <v>23</v>
      </c>
    </row>
    <row r="729" spans="1:11">
      <c r="A729" s="1">
        <v>45260</v>
      </c>
      <c r="B729" t="s">
        <v>21</v>
      </c>
      <c r="C729" t="s">
        <v>36</v>
      </c>
      <c r="D729">
        <v>21</v>
      </c>
      <c r="E729">
        <v>7</v>
      </c>
      <c r="F729">
        <v>0</v>
      </c>
      <c r="G729">
        <v>0</v>
      </c>
      <c r="H729">
        <v>28</v>
      </c>
      <c r="I729" s="1">
        <v>45231</v>
      </c>
      <c r="J729">
        <v>0</v>
      </c>
      <c r="K729" t="s">
        <v>23</v>
      </c>
    </row>
    <row r="730" spans="1:11">
      <c r="A730" s="1">
        <v>45288</v>
      </c>
      <c r="B730" t="s">
        <v>40</v>
      </c>
      <c r="C730" t="s">
        <v>41</v>
      </c>
      <c r="D730">
        <v>5460</v>
      </c>
      <c r="E730">
        <v>1254</v>
      </c>
      <c r="F730">
        <v>0</v>
      </c>
      <c r="G730">
        <v>0</v>
      </c>
      <c r="H730">
        <v>6714</v>
      </c>
      <c r="I730" s="1">
        <v>45261</v>
      </c>
      <c r="J730">
        <v>0</v>
      </c>
      <c r="K730" t="s">
        <v>23</v>
      </c>
    </row>
    <row r="731" spans="1:11">
      <c r="A731" s="1">
        <v>45288</v>
      </c>
      <c r="B731" t="s">
        <v>40</v>
      </c>
      <c r="C731" t="s">
        <v>55</v>
      </c>
      <c r="D731">
        <v>4545</v>
      </c>
      <c r="E731">
        <v>206</v>
      </c>
      <c r="F731">
        <v>0</v>
      </c>
      <c r="G731">
        <v>0</v>
      </c>
      <c r="H731">
        <v>4751</v>
      </c>
      <c r="I731" s="1">
        <v>45261</v>
      </c>
      <c r="J731">
        <v>0</v>
      </c>
      <c r="K731" t="s">
        <v>23</v>
      </c>
    </row>
    <row r="732" spans="1:11">
      <c r="A732" s="1">
        <v>45288</v>
      </c>
      <c r="B732" t="s">
        <v>40</v>
      </c>
      <c r="C732" t="s">
        <v>42</v>
      </c>
      <c r="D732">
        <v>1569</v>
      </c>
      <c r="E732">
        <v>411</v>
      </c>
      <c r="F732">
        <v>0</v>
      </c>
      <c r="G732">
        <v>0</v>
      </c>
      <c r="H732">
        <v>1980</v>
      </c>
      <c r="I732" s="1">
        <v>45261</v>
      </c>
      <c r="J732">
        <v>0</v>
      </c>
      <c r="K732" t="s">
        <v>23</v>
      </c>
    </row>
    <row r="733" spans="1:11">
      <c r="A733" s="1">
        <v>45288</v>
      </c>
      <c r="B733" t="s">
        <v>40</v>
      </c>
      <c r="C733" t="s">
        <v>34</v>
      </c>
      <c r="D733">
        <v>3527</v>
      </c>
      <c r="E733">
        <v>533</v>
      </c>
      <c r="F733">
        <v>0</v>
      </c>
      <c r="G733">
        <v>0</v>
      </c>
      <c r="H733">
        <v>4060</v>
      </c>
      <c r="I733" s="1">
        <v>45261</v>
      </c>
      <c r="J733">
        <v>0</v>
      </c>
      <c r="K733" t="s">
        <v>23</v>
      </c>
    </row>
    <row r="734" spans="1:11">
      <c r="A734" s="1">
        <v>45288</v>
      </c>
      <c r="B734" t="s">
        <v>21</v>
      </c>
      <c r="C734" t="s">
        <v>48</v>
      </c>
      <c r="D734">
        <v>54</v>
      </c>
      <c r="E734">
        <v>9</v>
      </c>
      <c r="F734">
        <v>0</v>
      </c>
      <c r="G734">
        <v>0</v>
      </c>
      <c r="H734">
        <v>63</v>
      </c>
      <c r="I734" s="1">
        <v>45261</v>
      </c>
      <c r="J734">
        <v>0</v>
      </c>
      <c r="K734" t="s">
        <v>23</v>
      </c>
    </row>
    <row r="735" spans="1:11">
      <c r="A735" s="1">
        <v>45288</v>
      </c>
      <c r="B735" t="s">
        <v>21</v>
      </c>
      <c r="C735" t="s">
        <v>41</v>
      </c>
      <c r="D735">
        <v>833</v>
      </c>
      <c r="E735">
        <v>125</v>
      </c>
      <c r="F735">
        <v>0</v>
      </c>
      <c r="G735">
        <v>0</v>
      </c>
      <c r="H735">
        <v>958</v>
      </c>
      <c r="I735" s="1">
        <v>45261</v>
      </c>
      <c r="J735">
        <v>0</v>
      </c>
      <c r="K735" t="s">
        <v>23</v>
      </c>
    </row>
    <row r="736" spans="1:11">
      <c r="A736" s="1">
        <v>45288</v>
      </c>
      <c r="B736" t="s">
        <v>21</v>
      </c>
      <c r="C736" t="s">
        <v>38</v>
      </c>
      <c r="D736">
        <v>51</v>
      </c>
      <c r="E736">
        <v>19</v>
      </c>
      <c r="F736">
        <v>0</v>
      </c>
      <c r="G736">
        <v>0</v>
      </c>
      <c r="H736">
        <v>70</v>
      </c>
      <c r="I736" s="1">
        <v>45261</v>
      </c>
      <c r="J736">
        <v>0</v>
      </c>
      <c r="K736" t="s">
        <v>23</v>
      </c>
    </row>
    <row r="737" spans="1:11">
      <c r="A737" s="1">
        <v>45288</v>
      </c>
      <c r="B737" t="s">
        <v>21</v>
      </c>
      <c r="C737" t="s">
        <v>34</v>
      </c>
      <c r="D737">
        <v>36</v>
      </c>
      <c r="E737">
        <v>5</v>
      </c>
      <c r="F737">
        <v>0</v>
      </c>
      <c r="G737">
        <v>0</v>
      </c>
      <c r="H737">
        <v>41</v>
      </c>
      <c r="I737" s="1">
        <v>45261</v>
      </c>
      <c r="J737">
        <v>0</v>
      </c>
      <c r="K737" t="s">
        <v>23</v>
      </c>
    </row>
    <row r="738" spans="1:11">
      <c r="A738" s="1">
        <v>45288</v>
      </c>
      <c r="B738" t="s">
        <v>21</v>
      </c>
      <c r="C738" t="s">
        <v>36</v>
      </c>
      <c r="D738">
        <v>20</v>
      </c>
      <c r="E738">
        <v>5</v>
      </c>
      <c r="F738">
        <v>0</v>
      </c>
      <c r="G738">
        <v>0</v>
      </c>
      <c r="H738">
        <v>25</v>
      </c>
      <c r="I738" s="1">
        <v>45261</v>
      </c>
      <c r="J738">
        <v>0</v>
      </c>
      <c r="K738" t="s">
        <v>23</v>
      </c>
    </row>
    <row r="739" spans="1:11">
      <c r="A739" s="1">
        <v>45316</v>
      </c>
      <c r="B739" t="s">
        <v>40</v>
      </c>
      <c r="C739" t="s">
        <v>55</v>
      </c>
      <c r="D739">
        <v>4498</v>
      </c>
      <c r="E739">
        <v>239</v>
      </c>
      <c r="F739">
        <v>0</v>
      </c>
      <c r="G739">
        <v>0</v>
      </c>
      <c r="H739">
        <v>4737</v>
      </c>
      <c r="I739" s="1">
        <v>45292</v>
      </c>
      <c r="J739">
        <v>0</v>
      </c>
      <c r="K739" t="s">
        <v>23</v>
      </c>
    </row>
    <row r="740" spans="1:11">
      <c r="A740" s="1">
        <v>45316</v>
      </c>
      <c r="B740" t="s">
        <v>40</v>
      </c>
      <c r="C740" t="s">
        <v>34</v>
      </c>
      <c r="D740">
        <v>3522</v>
      </c>
      <c r="E740">
        <v>648</v>
      </c>
      <c r="F740">
        <v>0</v>
      </c>
      <c r="G740">
        <v>0</v>
      </c>
      <c r="H740">
        <v>4170</v>
      </c>
      <c r="I740" s="1">
        <v>45292</v>
      </c>
      <c r="J740">
        <v>0</v>
      </c>
      <c r="K740" t="s">
        <v>23</v>
      </c>
    </row>
    <row r="741" spans="1:11">
      <c r="A741" s="1">
        <v>45316</v>
      </c>
      <c r="B741" t="s">
        <v>21</v>
      </c>
      <c r="C741" t="s">
        <v>41</v>
      </c>
      <c r="D741">
        <v>867</v>
      </c>
      <c r="E741">
        <v>194</v>
      </c>
      <c r="F741">
        <v>0</v>
      </c>
      <c r="G741">
        <v>0</v>
      </c>
      <c r="H741">
        <v>1061</v>
      </c>
      <c r="I741" s="1">
        <v>45292</v>
      </c>
      <c r="J741">
        <v>0</v>
      </c>
      <c r="K741" t="s">
        <v>23</v>
      </c>
    </row>
    <row r="742" spans="1:11">
      <c r="A742" s="1">
        <v>45316</v>
      </c>
      <c r="B742" t="s">
        <v>21</v>
      </c>
      <c r="C742" t="s">
        <v>38</v>
      </c>
      <c r="D742">
        <v>49</v>
      </c>
      <c r="E742">
        <v>20</v>
      </c>
      <c r="F742">
        <v>0</v>
      </c>
      <c r="G742">
        <v>0</v>
      </c>
      <c r="H742">
        <v>69</v>
      </c>
      <c r="I742" s="1">
        <v>45292</v>
      </c>
      <c r="J742">
        <v>0</v>
      </c>
      <c r="K742" t="s">
        <v>23</v>
      </c>
    </row>
    <row r="743" spans="1:11">
      <c r="A743" s="1">
        <v>45316</v>
      </c>
      <c r="B743" t="s">
        <v>21</v>
      </c>
      <c r="C743" t="s">
        <v>35</v>
      </c>
      <c r="D743">
        <v>8</v>
      </c>
      <c r="E743">
        <v>3</v>
      </c>
      <c r="F743">
        <v>0</v>
      </c>
      <c r="G743">
        <v>0</v>
      </c>
      <c r="H743">
        <v>10</v>
      </c>
      <c r="I743" s="1">
        <v>45292</v>
      </c>
      <c r="J743">
        <v>0</v>
      </c>
      <c r="K743" t="s">
        <v>23</v>
      </c>
    </row>
    <row r="744" spans="1:11">
      <c r="A744" s="1">
        <v>45316</v>
      </c>
      <c r="B744" t="s">
        <v>21</v>
      </c>
      <c r="C744" t="s">
        <v>36</v>
      </c>
      <c r="D744">
        <v>25</v>
      </c>
      <c r="E744">
        <v>4</v>
      </c>
      <c r="F744">
        <v>0</v>
      </c>
      <c r="G744">
        <v>0</v>
      </c>
      <c r="H744">
        <v>29</v>
      </c>
      <c r="I744" s="1">
        <v>45292</v>
      </c>
      <c r="J744">
        <v>0</v>
      </c>
      <c r="K744" t="s">
        <v>23</v>
      </c>
    </row>
    <row r="745" spans="1:11">
      <c r="A745" s="1">
        <v>45351</v>
      </c>
      <c r="B745" t="s">
        <v>40</v>
      </c>
      <c r="C745" t="s">
        <v>55</v>
      </c>
      <c r="D745">
        <v>4827</v>
      </c>
      <c r="E745">
        <v>301</v>
      </c>
      <c r="F745">
        <v>0</v>
      </c>
      <c r="G745">
        <v>0</v>
      </c>
      <c r="H745">
        <v>5128</v>
      </c>
      <c r="I745" s="1">
        <v>45323</v>
      </c>
      <c r="J745">
        <v>0</v>
      </c>
      <c r="K745" t="s">
        <v>23</v>
      </c>
    </row>
    <row r="746" spans="1:11">
      <c r="A746" s="1">
        <v>45351</v>
      </c>
      <c r="B746" t="s">
        <v>40</v>
      </c>
      <c r="C746" t="s">
        <v>30</v>
      </c>
      <c r="D746">
        <v>2281</v>
      </c>
      <c r="E746">
        <v>23</v>
      </c>
      <c r="F746">
        <v>0</v>
      </c>
      <c r="G746">
        <v>0</v>
      </c>
      <c r="H746">
        <v>2304</v>
      </c>
      <c r="I746" s="1">
        <v>45323</v>
      </c>
      <c r="J746">
        <v>0</v>
      </c>
      <c r="K746" t="s">
        <v>23</v>
      </c>
    </row>
    <row r="747" spans="1:11">
      <c r="A747" s="1">
        <v>45351</v>
      </c>
      <c r="B747" t="s">
        <v>40</v>
      </c>
      <c r="C747" t="s">
        <v>34</v>
      </c>
      <c r="D747">
        <v>3659</v>
      </c>
      <c r="E747">
        <v>671</v>
      </c>
      <c r="F747">
        <v>0</v>
      </c>
      <c r="G747">
        <v>0</v>
      </c>
      <c r="H747">
        <v>4330</v>
      </c>
      <c r="I747" s="1">
        <v>45323</v>
      </c>
      <c r="J747">
        <v>0</v>
      </c>
      <c r="K747" t="s">
        <v>23</v>
      </c>
    </row>
    <row r="748" spans="1:11">
      <c r="A748" s="1">
        <v>45351</v>
      </c>
      <c r="B748" t="s">
        <v>21</v>
      </c>
      <c r="C748" t="s">
        <v>36</v>
      </c>
      <c r="D748">
        <v>21</v>
      </c>
      <c r="E748">
        <v>5</v>
      </c>
      <c r="F748">
        <v>0</v>
      </c>
      <c r="G748">
        <v>0</v>
      </c>
      <c r="H748">
        <v>26</v>
      </c>
      <c r="I748" s="1">
        <v>45323</v>
      </c>
      <c r="J748">
        <v>0</v>
      </c>
      <c r="K748" t="s">
        <v>23</v>
      </c>
    </row>
    <row r="749" spans="1:11">
      <c r="A749" s="1">
        <v>45379</v>
      </c>
      <c r="B749" t="s">
        <v>40</v>
      </c>
      <c r="C749" t="s">
        <v>55</v>
      </c>
      <c r="D749">
        <v>4882</v>
      </c>
      <c r="E749">
        <v>347</v>
      </c>
      <c r="F749">
        <v>0</v>
      </c>
      <c r="G749">
        <v>0</v>
      </c>
      <c r="H749">
        <v>5229</v>
      </c>
      <c r="I749" s="1">
        <v>45352</v>
      </c>
      <c r="J749">
        <v>0</v>
      </c>
      <c r="K749" t="s">
        <v>23</v>
      </c>
    </row>
    <row r="750" spans="1:11">
      <c r="A750" s="1">
        <v>45379</v>
      </c>
      <c r="B750" t="s">
        <v>40</v>
      </c>
      <c r="C750" t="s">
        <v>42</v>
      </c>
      <c r="D750">
        <v>1536</v>
      </c>
      <c r="E750">
        <v>389</v>
      </c>
      <c r="F750">
        <v>0</v>
      </c>
      <c r="G750">
        <v>0</v>
      </c>
      <c r="H750">
        <v>1925</v>
      </c>
      <c r="I750" s="1">
        <v>45352</v>
      </c>
      <c r="J750">
        <v>0</v>
      </c>
      <c r="K750" t="s">
        <v>23</v>
      </c>
    </row>
    <row r="751" spans="1:11">
      <c r="A751" s="1">
        <v>45379</v>
      </c>
      <c r="B751" t="s">
        <v>21</v>
      </c>
      <c r="C751" t="s">
        <v>38</v>
      </c>
      <c r="D751">
        <v>49</v>
      </c>
      <c r="E751">
        <v>19</v>
      </c>
      <c r="F751">
        <v>0</v>
      </c>
      <c r="G751">
        <v>0</v>
      </c>
      <c r="H751">
        <v>68</v>
      </c>
      <c r="I751" s="1">
        <v>45352</v>
      </c>
      <c r="J751">
        <v>0</v>
      </c>
      <c r="K751" t="s">
        <v>23</v>
      </c>
    </row>
    <row r="752" spans="1:11">
      <c r="A752" s="1">
        <v>45379</v>
      </c>
      <c r="B752" t="s">
        <v>21</v>
      </c>
      <c r="C752" t="s">
        <v>36</v>
      </c>
      <c r="D752">
        <v>20</v>
      </c>
      <c r="E752">
        <v>3</v>
      </c>
      <c r="F752">
        <v>0</v>
      </c>
      <c r="G752">
        <v>0</v>
      </c>
      <c r="H752">
        <v>23</v>
      </c>
      <c r="I752" s="1">
        <v>45352</v>
      </c>
      <c r="J752">
        <v>0</v>
      </c>
      <c r="K752" t="s">
        <v>23</v>
      </c>
    </row>
    <row r="753" spans="1:11">
      <c r="A753" s="1">
        <v>45407</v>
      </c>
      <c r="B753" t="s">
        <v>21</v>
      </c>
      <c r="C753" t="s">
        <v>38</v>
      </c>
      <c r="D753">
        <v>54</v>
      </c>
      <c r="E753">
        <v>17</v>
      </c>
      <c r="F753">
        <v>0</v>
      </c>
      <c r="G753">
        <v>0</v>
      </c>
      <c r="H753">
        <v>71</v>
      </c>
      <c r="I753" s="1">
        <v>45383</v>
      </c>
      <c r="J753">
        <v>0</v>
      </c>
      <c r="K753" t="s">
        <v>23</v>
      </c>
    </row>
    <row r="754" spans="1:11">
      <c r="A754" s="1">
        <v>45407</v>
      </c>
      <c r="B754" t="s">
        <v>21</v>
      </c>
      <c r="C754" t="s">
        <v>36</v>
      </c>
      <c r="D754">
        <v>20</v>
      </c>
      <c r="E754">
        <v>6</v>
      </c>
      <c r="F754">
        <v>0</v>
      </c>
      <c r="G754">
        <v>0</v>
      </c>
      <c r="H754">
        <v>26</v>
      </c>
      <c r="I754" s="1">
        <v>45383</v>
      </c>
      <c r="J754">
        <v>0</v>
      </c>
      <c r="K754" t="s">
        <v>23</v>
      </c>
    </row>
    <row r="755" spans="1:11">
      <c r="A755" s="1">
        <v>45442</v>
      </c>
      <c r="B755" t="s">
        <v>21</v>
      </c>
      <c r="C755" t="s">
        <v>38</v>
      </c>
      <c r="D755">
        <v>56</v>
      </c>
      <c r="E755">
        <v>15</v>
      </c>
      <c r="F755">
        <v>0</v>
      </c>
      <c r="G755">
        <v>0</v>
      </c>
      <c r="H755">
        <v>71</v>
      </c>
      <c r="I755" s="1">
        <v>45413</v>
      </c>
      <c r="J755">
        <v>0</v>
      </c>
      <c r="K755" t="s">
        <v>23</v>
      </c>
    </row>
    <row r="756" spans="1:11">
      <c r="A756" s="1">
        <v>45470</v>
      </c>
      <c r="B756" t="s">
        <v>21</v>
      </c>
      <c r="C756" t="s">
        <v>25</v>
      </c>
      <c r="D756">
        <v>137</v>
      </c>
      <c r="E756">
        <v>44</v>
      </c>
      <c r="F756">
        <v>0</v>
      </c>
      <c r="G756">
        <v>0</v>
      </c>
      <c r="H756">
        <v>181</v>
      </c>
      <c r="I756" s="1">
        <v>45444</v>
      </c>
      <c r="J756">
        <v>0</v>
      </c>
      <c r="K756" t="s">
        <v>23</v>
      </c>
    </row>
    <row r="757" spans="1:11">
      <c r="A757" s="1">
        <v>45470</v>
      </c>
      <c r="B757" t="s">
        <v>21</v>
      </c>
      <c r="C757" t="s">
        <v>38</v>
      </c>
      <c r="D757">
        <v>54</v>
      </c>
      <c r="E757">
        <v>17</v>
      </c>
      <c r="F757">
        <v>0</v>
      </c>
      <c r="G757">
        <v>0</v>
      </c>
      <c r="H757">
        <v>71</v>
      </c>
      <c r="I757" s="1">
        <v>45444</v>
      </c>
      <c r="J757">
        <v>0</v>
      </c>
      <c r="K757" t="s">
        <v>23</v>
      </c>
    </row>
    <row r="758" spans="1:11">
      <c r="A758" s="1">
        <v>45470</v>
      </c>
      <c r="B758" t="s">
        <v>21</v>
      </c>
      <c r="C758" t="s">
        <v>36</v>
      </c>
      <c r="D758">
        <v>10</v>
      </c>
      <c r="E758">
        <v>8</v>
      </c>
      <c r="F758">
        <v>0</v>
      </c>
      <c r="G758">
        <v>0</v>
      </c>
      <c r="H758">
        <v>18</v>
      </c>
      <c r="I758" s="1">
        <v>45444</v>
      </c>
      <c r="J758">
        <v>0</v>
      </c>
      <c r="K758" t="s">
        <v>23</v>
      </c>
    </row>
    <row r="759" spans="1:11">
      <c r="A759" s="1">
        <v>45498</v>
      </c>
      <c r="B759" t="s">
        <v>21</v>
      </c>
      <c r="C759" t="s">
        <v>35</v>
      </c>
      <c r="D759">
        <v>7</v>
      </c>
      <c r="E759">
        <v>3</v>
      </c>
      <c r="F759">
        <v>0</v>
      </c>
      <c r="G759">
        <v>0</v>
      </c>
      <c r="H759">
        <v>10</v>
      </c>
      <c r="I759" s="1">
        <v>45474</v>
      </c>
      <c r="J759">
        <v>0</v>
      </c>
      <c r="K759" t="s">
        <v>23</v>
      </c>
    </row>
    <row r="760" spans="1:11">
      <c r="A760" s="1">
        <v>45498</v>
      </c>
      <c r="B760" t="s">
        <v>21</v>
      </c>
      <c r="C760" t="s">
        <v>36</v>
      </c>
      <c r="D760">
        <v>8</v>
      </c>
      <c r="E760">
        <v>8</v>
      </c>
      <c r="F760">
        <v>0</v>
      </c>
      <c r="G760">
        <v>0</v>
      </c>
      <c r="H760">
        <v>15</v>
      </c>
      <c r="I760" s="1">
        <v>45474</v>
      </c>
      <c r="J760">
        <v>0</v>
      </c>
      <c r="K760" t="s">
        <v>23</v>
      </c>
    </row>
    <row r="761" spans="1:11">
      <c r="A761" s="1">
        <v>45533</v>
      </c>
      <c r="B761" t="s">
        <v>21</v>
      </c>
      <c r="C761" t="s">
        <v>36</v>
      </c>
      <c r="D761">
        <v>6</v>
      </c>
      <c r="E761">
        <v>8</v>
      </c>
      <c r="F761">
        <v>0</v>
      </c>
      <c r="G761">
        <v>0</v>
      </c>
      <c r="H761">
        <v>14</v>
      </c>
      <c r="I761" s="1">
        <v>45505</v>
      </c>
      <c r="J761">
        <v>0</v>
      </c>
      <c r="K761" t="s">
        <v>23</v>
      </c>
    </row>
    <row r="762" spans="1:11">
      <c r="A762" s="1">
        <v>45533</v>
      </c>
      <c r="B762" t="s">
        <v>21</v>
      </c>
      <c r="C762" t="s">
        <v>49</v>
      </c>
      <c r="D762">
        <v>725</v>
      </c>
      <c r="E762">
        <v>238</v>
      </c>
      <c r="F762">
        <v>0</v>
      </c>
      <c r="G762">
        <v>0</v>
      </c>
      <c r="H762">
        <v>963</v>
      </c>
      <c r="I762" s="1">
        <v>45505</v>
      </c>
      <c r="J762">
        <v>0</v>
      </c>
      <c r="K762" t="s">
        <v>23</v>
      </c>
    </row>
    <row r="763" spans="1:11">
      <c r="A763" s="1">
        <v>45561</v>
      </c>
      <c r="B763" t="s">
        <v>21</v>
      </c>
      <c r="C763" t="s">
        <v>36</v>
      </c>
      <c r="D763">
        <v>8</v>
      </c>
      <c r="E763">
        <v>4</v>
      </c>
      <c r="F763">
        <v>0</v>
      </c>
      <c r="G763">
        <v>0</v>
      </c>
      <c r="H763">
        <v>12</v>
      </c>
      <c r="I763" s="1">
        <v>45536</v>
      </c>
      <c r="J763">
        <v>0</v>
      </c>
      <c r="K763" t="s">
        <v>23</v>
      </c>
    </row>
    <row r="764" spans="1:11">
      <c r="A764" s="1">
        <v>45561</v>
      </c>
      <c r="B764" t="s">
        <v>21</v>
      </c>
      <c r="C764" t="s">
        <v>49</v>
      </c>
      <c r="D764">
        <v>705</v>
      </c>
      <c r="E764">
        <v>245</v>
      </c>
      <c r="F764">
        <v>0</v>
      </c>
      <c r="G764">
        <v>0</v>
      </c>
      <c r="H764">
        <v>950</v>
      </c>
      <c r="I764" s="1">
        <v>45536</v>
      </c>
      <c r="J764">
        <v>0</v>
      </c>
      <c r="K764" t="s">
        <v>23</v>
      </c>
    </row>
    <row r="765" spans="1:11">
      <c r="A765" s="1">
        <v>45596</v>
      </c>
      <c r="B765" t="s">
        <v>21</v>
      </c>
      <c r="C765" t="s">
        <v>48</v>
      </c>
      <c r="D765">
        <v>40</v>
      </c>
      <c r="E765">
        <v>13</v>
      </c>
      <c r="F765">
        <v>0</v>
      </c>
      <c r="G765">
        <v>0</v>
      </c>
      <c r="H765">
        <v>53</v>
      </c>
      <c r="I765" s="1">
        <v>45566</v>
      </c>
      <c r="J765">
        <v>0</v>
      </c>
      <c r="K765" t="s">
        <v>23</v>
      </c>
    </row>
    <row r="766" spans="1:11">
      <c r="A766" s="1">
        <v>45596</v>
      </c>
      <c r="B766" t="s">
        <v>21</v>
      </c>
      <c r="C766" t="s">
        <v>36</v>
      </c>
      <c r="D766">
        <v>8</v>
      </c>
      <c r="E766">
        <v>5</v>
      </c>
      <c r="F766">
        <v>0</v>
      </c>
      <c r="G766">
        <v>0</v>
      </c>
      <c r="H766">
        <v>13</v>
      </c>
      <c r="I766" s="1">
        <v>45566</v>
      </c>
      <c r="J766">
        <v>0</v>
      </c>
      <c r="K766" t="s">
        <v>23</v>
      </c>
    </row>
    <row r="767" spans="1:11">
      <c r="A767" s="1">
        <v>45596</v>
      </c>
      <c r="B767" t="s">
        <v>21</v>
      </c>
      <c r="C767" t="s">
        <v>49</v>
      </c>
      <c r="D767">
        <v>679</v>
      </c>
      <c r="E767">
        <v>234</v>
      </c>
      <c r="F767">
        <v>0</v>
      </c>
      <c r="G767">
        <v>0</v>
      </c>
      <c r="H767">
        <v>913</v>
      </c>
      <c r="I767" s="1">
        <v>45566</v>
      </c>
      <c r="J767">
        <v>0</v>
      </c>
      <c r="K767" t="s">
        <v>23</v>
      </c>
    </row>
    <row r="768" spans="1:11">
      <c r="A768" s="1">
        <v>45624</v>
      </c>
      <c r="B768" t="s">
        <v>40</v>
      </c>
      <c r="C768" t="s">
        <v>50</v>
      </c>
      <c r="D768">
        <v>535</v>
      </c>
      <c r="E768">
        <v>105</v>
      </c>
      <c r="F768">
        <v>0</v>
      </c>
      <c r="G768">
        <v>0</v>
      </c>
      <c r="H768">
        <v>640</v>
      </c>
      <c r="I768" s="1">
        <v>45597</v>
      </c>
      <c r="J768">
        <v>0</v>
      </c>
      <c r="K768" t="s">
        <v>23</v>
      </c>
    </row>
    <row r="769" spans="1:11">
      <c r="A769" s="1">
        <v>45624</v>
      </c>
      <c r="B769" t="s">
        <v>40</v>
      </c>
      <c r="C769" t="s">
        <v>30</v>
      </c>
      <c r="D769">
        <v>2031</v>
      </c>
      <c r="E769">
        <v>108</v>
      </c>
      <c r="F769">
        <v>0</v>
      </c>
      <c r="G769">
        <v>0</v>
      </c>
      <c r="H769">
        <v>2139</v>
      </c>
      <c r="I769" s="1">
        <v>45597</v>
      </c>
      <c r="J769">
        <v>0</v>
      </c>
      <c r="K769" t="s">
        <v>23</v>
      </c>
    </row>
    <row r="770" spans="1:11">
      <c r="A770" s="1">
        <v>45624</v>
      </c>
      <c r="B770" t="s">
        <v>21</v>
      </c>
      <c r="C770" t="s">
        <v>48</v>
      </c>
      <c r="D770">
        <v>42</v>
      </c>
      <c r="E770">
        <v>8</v>
      </c>
      <c r="F770">
        <v>0</v>
      </c>
      <c r="G770">
        <v>0</v>
      </c>
      <c r="H770">
        <v>50</v>
      </c>
      <c r="I770" s="1">
        <v>45597</v>
      </c>
      <c r="J770">
        <v>0</v>
      </c>
      <c r="K770" t="s">
        <v>23</v>
      </c>
    </row>
    <row r="771" spans="1:11">
      <c r="A771" s="1">
        <v>45624</v>
      </c>
      <c r="B771" t="s">
        <v>21</v>
      </c>
      <c r="C771" t="s">
        <v>43</v>
      </c>
      <c r="D771">
        <v>824</v>
      </c>
      <c r="E771">
        <v>481</v>
      </c>
      <c r="F771">
        <v>0</v>
      </c>
      <c r="G771">
        <v>0</v>
      </c>
      <c r="H771">
        <v>1305</v>
      </c>
      <c r="I771" s="1">
        <v>45597</v>
      </c>
      <c r="J771">
        <v>0</v>
      </c>
      <c r="K771" t="s">
        <v>23</v>
      </c>
    </row>
    <row r="772" spans="1:11">
      <c r="A772" s="1">
        <v>45624</v>
      </c>
      <c r="B772" t="s">
        <v>21</v>
      </c>
      <c r="C772" t="s">
        <v>49</v>
      </c>
      <c r="D772">
        <v>688</v>
      </c>
      <c r="E772">
        <v>239</v>
      </c>
      <c r="F772">
        <v>0</v>
      </c>
      <c r="G772">
        <v>0</v>
      </c>
      <c r="H772">
        <v>927</v>
      </c>
      <c r="I772" s="1">
        <v>45597</v>
      </c>
      <c r="J772">
        <v>0</v>
      </c>
      <c r="K772" t="s">
        <v>23</v>
      </c>
    </row>
    <row r="773" spans="1:11">
      <c r="A773" s="1">
        <v>45645</v>
      </c>
      <c r="B773" t="s">
        <v>40</v>
      </c>
      <c r="C773" t="s">
        <v>50</v>
      </c>
      <c r="D773">
        <v>569</v>
      </c>
      <c r="E773">
        <v>101</v>
      </c>
      <c r="F773">
        <v>0</v>
      </c>
      <c r="G773">
        <v>0</v>
      </c>
      <c r="H773">
        <v>670</v>
      </c>
      <c r="I773" s="1">
        <v>45627</v>
      </c>
      <c r="J773">
        <v>0</v>
      </c>
      <c r="K773" t="s">
        <v>23</v>
      </c>
    </row>
    <row r="774" spans="1:11">
      <c r="A774" s="1">
        <v>45645</v>
      </c>
      <c r="B774" t="s">
        <v>40</v>
      </c>
      <c r="C774" t="s">
        <v>55</v>
      </c>
      <c r="D774">
        <v>5822</v>
      </c>
      <c r="E774">
        <v>372</v>
      </c>
      <c r="F774">
        <v>0</v>
      </c>
      <c r="G774">
        <v>0</v>
      </c>
      <c r="H774">
        <v>6194</v>
      </c>
      <c r="I774" s="1">
        <v>45627</v>
      </c>
      <c r="J774">
        <v>0</v>
      </c>
      <c r="K774" t="s">
        <v>23</v>
      </c>
    </row>
    <row r="775" spans="1:11">
      <c r="A775" s="1">
        <v>45645</v>
      </c>
      <c r="B775" t="s">
        <v>21</v>
      </c>
      <c r="C775" t="s">
        <v>33</v>
      </c>
      <c r="D775">
        <v>26</v>
      </c>
      <c r="E775">
        <v>8</v>
      </c>
      <c r="F775">
        <v>0</v>
      </c>
      <c r="G775">
        <v>0</v>
      </c>
      <c r="H775">
        <v>34</v>
      </c>
      <c r="I775" s="1">
        <v>45627</v>
      </c>
      <c r="J775">
        <v>0</v>
      </c>
      <c r="K775" t="s">
        <v>23</v>
      </c>
    </row>
    <row r="776" spans="1:11">
      <c r="A776" s="1">
        <v>45645</v>
      </c>
      <c r="B776" t="s">
        <v>21</v>
      </c>
      <c r="C776" t="s">
        <v>43</v>
      </c>
      <c r="D776">
        <v>685</v>
      </c>
      <c r="E776">
        <v>510</v>
      </c>
      <c r="F776">
        <v>0</v>
      </c>
      <c r="G776">
        <v>0</v>
      </c>
      <c r="H776">
        <v>1195</v>
      </c>
      <c r="I776" s="1">
        <v>45627</v>
      </c>
      <c r="J776">
        <v>0</v>
      </c>
      <c r="K776" t="s">
        <v>23</v>
      </c>
    </row>
    <row r="777" spans="1:11">
      <c r="A777" s="1">
        <v>45645</v>
      </c>
      <c r="B777" t="s">
        <v>21</v>
      </c>
      <c r="C777" t="s">
        <v>49</v>
      </c>
      <c r="D777">
        <v>656</v>
      </c>
      <c r="E777">
        <v>283</v>
      </c>
      <c r="F777">
        <v>0</v>
      </c>
      <c r="G777">
        <v>0</v>
      </c>
      <c r="H777">
        <v>939</v>
      </c>
      <c r="I777" s="1">
        <v>45627</v>
      </c>
      <c r="J777">
        <v>0</v>
      </c>
      <c r="K777" t="s">
        <v>23</v>
      </c>
    </row>
    <row r="778" spans="1:11">
      <c r="A778" s="1">
        <v>45687</v>
      </c>
      <c r="B778" t="s">
        <v>40</v>
      </c>
      <c r="C778" t="s">
        <v>50</v>
      </c>
      <c r="D778">
        <v>593</v>
      </c>
      <c r="E778">
        <v>116</v>
      </c>
      <c r="F778">
        <v>0</v>
      </c>
      <c r="G778">
        <v>0</v>
      </c>
      <c r="H778">
        <v>709</v>
      </c>
      <c r="I778" s="1">
        <v>45658</v>
      </c>
      <c r="J778">
        <v>0</v>
      </c>
      <c r="K778" t="s">
        <v>23</v>
      </c>
    </row>
    <row r="779" spans="1:11">
      <c r="A779" s="1">
        <v>45687</v>
      </c>
      <c r="B779" t="s">
        <v>21</v>
      </c>
      <c r="C779" t="s">
        <v>48</v>
      </c>
      <c r="D779">
        <v>48</v>
      </c>
      <c r="E779">
        <v>12</v>
      </c>
      <c r="F779">
        <v>0</v>
      </c>
      <c r="G779">
        <v>0</v>
      </c>
      <c r="H779">
        <v>60</v>
      </c>
      <c r="I779" s="1">
        <v>45658</v>
      </c>
      <c r="J779">
        <v>0</v>
      </c>
      <c r="K779" t="s">
        <v>23</v>
      </c>
    </row>
    <row r="780" spans="1:11">
      <c r="A780" s="1">
        <v>45687</v>
      </c>
      <c r="B780" t="s">
        <v>21</v>
      </c>
      <c r="C780" t="s">
        <v>33</v>
      </c>
      <c r="D780">
        <v>21</v>
      </c>
      <c r="E780">
        <v>8</v>
      </c>
      <c r="F780">
        <v>0</v>
      </c>
      <c r="G780">
        <v>0</v>
      </c>
      <c r="H780">
        <v>29</v>
      </c>
      <c r="I780" s="1">
        <v>45658</v>
      </c>
      <c r="J780">
        <v>0</v>
      </c>
      <c r="K780" t="s">
        <v>23</v>
      </c>
    </row>
    <row r="781" spans="1:11">
      <c r="A781" s="1">
        <v>45687</v>
      </c>
      <c r="B781" t="s">
        <v>21</v>
      </c>
      <c r="C781" t="s">
        <v>46</v>
      </c>
      <c r="D781">
        <v>435</v>
      </c>
      <c r="E781">
        <v>12</v>
      </c>
      <c r="F781">
        <v>0</v>
      </c>
      <c r="G781">
        <v>0</v>
      </c>
      <c r="H781">
        <v>447</v>
      </c>
      <c r="I781" s="1">
        <v>45658</v>
      </c>
      <c r="J781">
        <v>0</v>
      </c>
      <c r="K781" t="s">
        <v>23</v>
      </c>
    </row>
    <row r="782" spans="1:11">
      <c r="A782" s="1">
        <v>45687</v>
      </c>
      <c r="B782" t="s">
        <v>21</v>
      </c>
      <c r="C782" t="s">
        <v>49</v>
      </c>
      <c r="D782">
        <v>653</v>
      </c>
      <c r="E782">
        <v>324</v>
      </c>
      <c r="F782">
        <v>0</v>
      </c>
      <c r="G782">
        <v>0</v>
      </c>
      <c r="H782">
        <v>977</v>
      </c>
      <c r="I782" s="1">
        <v>45658</v>
      </c>
      <c r="J782">
        <v>0</v>
      </c>
      <c r="K782" t="s">
        <v>23</v>
      </c>
    </row>
    <row r="783" spans="1:11">
      <c r="A783" s="1">
        <v>45715</v>
      </c>
      <c r="B783" t="s">
        <v>21</v>
      </c>
      <c r="C783" t="s">
        <v>48</v>
      </c>
      <c r="D783">
        <v>44</v>
      </c>
      <c r="E783">
        <v>12</v>
      </c>
      <c r="F783">
        <v>0</v>
      </c>
      <c r="G783">
        <v>0</v>
      </c>
      <c r="H783">
        <v>56</v>
      </c>
      <c r="I783" s="1">
        <v>45689</v>
      </c>
      <c r="J783">
        <v>0</v>
      </c>
      <c r="K783" t="s">
        <v>23</v>
      </c>
    </row>
    <row r="784" spans="1:11">
      <c r="A784" s="1">
        <v>45715</v>
      </c>
      <c r="B784" t="s">
        <v>21</v>
      </c>
      <c r="C784" t="s">
        <v>46</v>
      </c>
      <c r="D784">
        <v>449</v>
      </c>
      <c r="E784">
        <v>13</v>
      </c>
      <c r="F784">
        <v>0</v>
      </c>
      <c r="G784">
        <v>0</v>
      </c>
      <c r="H784">
        <v>462</v>
      </c>
      <c r="I784" s="1">
        <v>45689</v>
      </c>
      <c r="J784">
        <v>0</v>
      </c>
      <c r="K784" t="s">
        <v>23</v>
      </c>
    </row>
    <row r="785" spans="1:11">
      <c r="A785" s="1">
        <v>45715</v>
      </c>
      <c r="B785" t="s">
        <v>21</v>
      </c>
      <c r="C785" t="s">
        <v>49</v>
      </c>
      <c r="D785">
        <v>682</v>
      </c>
      <c r="E785">
        <v>307</v>
      </c>
      <c r="F785">
        <v>0</v>
      </c>
      <c r="G785">
        <v>0</v>
      </c>
      <c r="H785">
        <v>989</v>
      </c>
      <c r="I785" s="1">
        <v>45689</v>
      </c>
      <c r="J785">
        <v>0</v>
      </c>
      <c r="K785" t="s">
        <v>23</v>
      </c>
    </row>
    <row r="786" spans="1:11">
      <c r="A786" s="1">
        <v>45743</v>
      </c>
      <c r="B786" t="s">
        <v>21</v>
      </c>
      <c r="C786" t="s">
        <v>48</v>
      </c>
      <c r="D786">
        <v>39</v>
      </c>
      <c r="E786">
        <v>12</v>
      </c>
      <c r="F786">
        <v>0</v>
      </c>
      <c r="G786">
        <v>0</v>
      </c>
      <c r="H786">
        <v>51</v>
      </c>
      <c r="I786" s="1">
        <v>45717</v>
      </c>
      <c r="J786">
        <v>0</v>
      </c>
      <c r="K786" t="s">
        <v>23</v>
      </c>
    </row>
    <row r="787" spans="1:11">
      <c r="A787" s="1">
        <v>45743</v>
      </c>
      <c r="B787" t="s">
        <v>21</v>
      </c>
      <c r="C787" t="s">
        <v>33</v>
      </c>
      <c r="D787">
        <v>26</v>
      </c>
      <c r="E787">
        <v>3</v>
      </c>
      <c r="F787">
        <v>0</v>
      </c>
      <c r="G787">
        <v>0</v>
      </c>
      <c r="H787">
        <v>28</v>
      </c>
      <c r="I787" s="1">
        <v>45717</v>
      </c>
      <c r="J787">
        <v>0</v>
      </c>
      <c r="K787" t="s">
        <v>23</v>
      </c>
    </row>
    <row r="788" spans="1:11">
      <c r="A788" s="1">
        <v>45743</v>
      </c>
      <c r="B788" t="s">
        <v>21</v>
      </c>
      <c r="C788" t="s">
        <v>46</v>
      </c>
      <c r="D788">
        <v>499</v>
      </c>
      <c r="E788">
        <v>22</v>
      </c>
      <c r="F788">
        <v>0</v>
      </c>
      <c r="G788">
        <v>0</v>
      </c>
      <c r="H788">
        <v>521</v>
      </c>
      <c r="I788" s="1">
        <v>45717</v>
      </c>
      <c r="J788">
        <v>0</v>
      </c>
      <c r="K788" t="s">
        <v>23</v>
      </c>
    </row>
    <row r="789" spans="1:11">
      <c r="A789" s="1">
        <v>45743</v>
      </c>
      <c r="B789" t="s">
        <v>21</v>
      </c>
      <c r="C789" t="s">
        <v>49</v>
      </c>
      <c r="D789">
        <v>703</v>
      </c>
      <c r="E789">
        <v>292</v>
      </c>
      <c r="F789">
        <v>0</v>
      </c>
      <c r="G789">
        <v>0</v>
      </c>
      <c r="H789">
        <v>995</v>
      </c>
      <c r="I789" s="1">
        <v>45717</v>
      </c>
      <c r="J789">
        <v>0</v>
      </c>
      <c r="K789" t="s">
        <v>23</v>
      </c>
    </row>
    <row r="790" spans="1:11">
      <c r="A790" s="1">
        <v>45771</v>
      </c>
      <c r="B790" t="s">
        <v>21</v>
      </c>
      <c r="C790" t="s">
        <v>48</v>
      </c>
      <c r="D790">
        <v>28</v>
      </c>
      <c r="E790">
        <v>13</v>
      </c>
      <c r="F790">
        <v>0</v>
      </c>
      <c r="G790">
        <v>0</v>
      </c>
      <c r="H790">
        <v>41</v>
      </c>
      <c r="I790" s="1">
        <v>45748</v>
      </c>
      <c r="J790">
        <v>0</v>
      </c>
      <c r="K790" t="s">
        <v>23</v>
      </c>
    </row>
    <row r="791" spans="1:11">
      <c r="A791" s="1">
        <v>45771</v>
      </c>
      <c r="B791" t="s">
        <v>21</v>
      </c>
      <c r="C791" t="s">
        <v>46</v>
      </c>
      <c r="D791">
        <v>537</v>
      </c>
      <c r="E791">
        <v>16</v>
      </c>
      <c r="F791">
        <v>0</v>
      </c>
      <c r="G791">
        <v>0</v>
      </c>
      <c r="H791">
        <v>553</v>
      </c>
      <c r="I791" s="1">
        <v>45748</v>
      </c>
      <c r="J791">
        <v>0</v>
      </c>
      <c r="K791" t="s">
        <v>23</v>
      </c>
    </row>
    <row r="792" spans="1:11">
      <c r="A792" s="1">
        <v>45771</v>
      </c>
      <c r="B792" t="s">
        <v>21</v>
      </c>
      <c r="C792" t="s">
        <v>49</v>
      </c>
      <c r="D792">
        <v>745</v>
      </c>
      <c r="E792">
        <v>277</v>
      </c>
      <c r="F792">
        <v>0</v>
      </c>
      <c r="G792">
        <v>0</v>
      </c>
      <c r="H792">
        <v>1022</v>
      </c>
      <c r="I792" s="1">
        <v>45748</v>
      </c>
      <c r="J792">
        <v>0</v>
      </c>
      <c r="K792" t="s">
        <v>23</v>
      </c>
    </row>
    <row r="793" spans="1:11">
      <c r="A793" s="1">
        <v>45806</v>
      </c>
      <c r="B793" t="s">
        <v>21</v>
      </c>
      <c r="C793" t="s">
        <v>33</v>
      </c>
      <c r="D793">
        <v>24</v>
      </c>
      <c r="E793">
        <v>3</v>
      </c>
      <c r="F793">
        <v>0</v>
      </c>
      <c r="G793">
        <v>0</v>
      </c>
      <c r="H793">
        <v>27</v>
      </c>
      <c r="I793" s="1">
        <v>45778</v>
      </c>
      <c r="J793">
        <v>0</v>
      </c>
      <c r="K793" t="s">
        <v>23</v>
      </c>
    </row>
    <row r="794" spans="1:11">
      <c r="A794" s="1">
        <v>45806</v>
      </c>
      <c r="B794" t="s">
        <v>21</v>
      </c>
      <c r="C794" t="s">
        <v>46</v>
      </c>
      <c r="D794">
        <v>561</v>
      </c>
      <c r="E794">
        <v>15</v>
      </c>
      <c r="F794">
        <v>0</v>
      </c>
      <c r="G794">
        <v>0</v>
      </c>
      <c r="H794">
        <v>575</v>
      </c>
      <c r="I794" s="1">
        <v>45778</v>
      </c>
      <c r="J794">
        <v>0</v>
      </c>
      <c r="K794" t="s">
        <v>23</v>
      </c>
    </row>
    <row r="795" spans="1:11">
      <c r="A795" s="1">
        <v>45806</v>
      </c>
      <c r="B795" t="s">
        <v>21</v>
      </c>
      <c r="C795" t="s">
        <v>49</v>
      </c>
      <c r="D795">
        <v>767</v>
      </c>
      <c r="E795">
        <v>274</v>
      </c>
      <c r="F795">
        <v>0</v>
      </c>
      <c r="G795">
        <v>0</v>
      </c>
      <c r="H795">
        <v>1041</v>
      </c>
      <c r="I795" s="1">
        <v>45778</v>
      </c>
      <c r="J795">
        <v>0</v>
      </c>
      <c r="K795" t="s">
        <v>23</v>
      </c>
    </row>
    <row r="796" spans="1:11">
      <c r="A796" s="1">
        <v>45834</v>
      </c>
      <c r="B796" t="s">
        <v>40</v>
      </c>
      <c r="C796" t="s">
        <v>50</v>
      </c>
      <c r="D796">
        <v>857</v>
      </c>
      <c r="E796">
        <v>16</v>
      </c>
      <c r="F796">
        <v>0</v>
      </c>
      <c r="G796">
        <v>0</v>
      </c>
      <c r="H796">
        <v>873</v>
      </c>
      <c r="I796" s="1">
        <v>45809</v>
      </c>
      <c r="J796">
        <v>0</v>
      </c>
      <c r="K796" t="s">
        <v>23</v>
      </c>
    </row>
    <row r="797" spans="1:11">
      <c r="A797" s="1">
        <v>45834</v>
      </c>
      <c r="B797" t="s">
        <v>21</v>
      </c>
      <c r="C797" t="s">
        <v>46</v>
      </c>
      <c r="D797">
        <v>547</v>
      </c>
      <c r="E797">
        <v>14</v>
      </c>
      <c r="F797">
        <v>0</v>
      </c>
      <c r="G797">
        <v>0</v>
      </c>
      <c r="H797">
        <v>561</v>
      </c>
      <c r="I797" s="1">
        <v>45809</v>
      </c>
      <c r="J797">
        <v>0</v>
      </c>
      <c r="K797" t="s">
        <v>23</v>
      </c>
    </row>
    <row r="798" spans="1:11">
      <c r="A798" s="1">
        <v>45869</v>
      </c>
      <c r="B798" t="s">
        <v>40</v>
      </c>
      <c r="C798" t="s">
        <v>50</v>
      </c>
      <c r="D798">
        <v>877</v>
      </c>
      <c r="E798">
        <v>36</v>
      </c>
      <c r="F798">
        <v>0</v>
      </c>
      <c r="G798">
        <v>0</v>
      </c>
      <c r="H798">
        <v>913</v>
      </c>
      <c r="I798" s="1">
        <v>45839</v>
      </c>
      <c r="J798">
        <v>0</v>
      </c>
      <c r="K798" t="s">
        <v>23</v>
      </c>
    </row>
    <row r="799" spans="1:11">
      <c r="A799" s="1">
        <v>45869</v>
      </c>
      <c r="B799" t="s">
        <v>21</v>
      </c>
      <c r="C799" t="s">
        <v>46</v>
      </c>
      <c r="D799">
        <v>547</v>
      </c>
      <c r="E799">
        <v>19</v>
      </c>
      <c r="F799">
        <v>0</v>
      </c>
      <c r="G799">
        <v>0</v>
      </c>
      <c r="H799">
        <v>566</v>
      </c>
      <c r="I799" s="1">
        <v>45839</v>
      </c>
      <c r="J799">
        <v>0</v>
      </c>
      <c r="K799" t="s">
        <v>23</v>
      </c>
    </row>
    <row r="800" spans="1:11">
      <c r="A800" s="1">
        <v>45897</v>
      </c>
      <c r="B800" t="s">
        <v>40</v>
      </c>
      <c r="C800" t="s">
        <v>50</v>
      </c>
      <c r="D800">
        <v>907</v>
      </c>
      <c r="E800">
        <v>104</v>
      </c>
      <c r="F800">
        <v>0</v>
      </c>
      <c r="G800">
        <v>0</v>
      </c>
      <c r="H800">
        <v>1011</v>
      </c>
      <c r="I800" s="1">
        <v>45870</v>
      </c>
      <c r="J800">
        <v>0</v>
      </c>
      <c r="K800" t="s">
        <v>23</v>
      </c>
    </row>
    <row r="801" spans="1:11">
      <c r="A801" s="1">
        <v>45897</v>
      </c>
      <c r="B801" t="s">
        <v>21</v>
      </c>
      <c r="C801" t="s">
        <v>46</v>
      </c>
      <c r="D801">
        <v>526</v>
      </c>
      <c r="E801">
        <v>29</v>
      </c>
      <c r="F801">
        <v>0</v>
      </c>
      <c r="G801">
        <v>0</v>
      </c>
      <c r="H801">
        <v>555</v>
      </c>
      <c r="I801" s="1">
        <v>45870</v>
      </c>
      <c r="J801">
        <v>0</v>
      </c>
      <c r="K801" t="s">
        <v>23</v>
      </c>
    </row>
    <row r="802" spans="1:11">
      <c r="A802" s="1">
        <v>45925</v>
      </c>
      <c r="B802" t="s">
        <v>21</v>
      </c>
      <c r="C802" t="s">
        <v>46</v>
      </c>
      <c r="D802">
        <v>525</v>
      </c>
      <c r="E802">
        <v>39</v>
      </c>
      <c r="F802">
        <v>0</v>
      </c>
      <c r="G802">
        <v>0</v>
      </c>
      <c r="H802">
        <v>564</v>
      </c>
      <c r="I802" s="1">
        <v>45901</v>
      </c>
      <c r="J802">
        <v>0</v>
      </c>
      <c r="K802" t="s">
        <v>23</v>
      </c>
    </row>
    <row r="803" spans="1:11">
      <c r="A803" s="1">
        <v>45925</v>
      </c>
      <c r="B803" t="s">
        <v>21</v>
      </c>
      <c r="C803" t="s">
        <v>34</v>
      </c>
      <c r="D803">
        <v>26</v>
      </c>
      <c r="E803">
        <v>3</v>
      </c>
      <c r="F803">
        <v>0</v>
      </c>
      <c r="G803">
        <v>0</v>
      </c>
      <c r="H803">
        <v>29</v>
      </c>
      <c r="I803" s="1">
        <v>45901</v>
      </c>
      <c r="J803">
        <v>0</v>
      </c>
      <c r="K803" t="s">
        <v>23</v>
      </c>
    </row>
    <row r="804" spans="1:11">
      <c r="A804" s="1">
        <v>45960</v>
      </c>
      <c r="B804" t="s">
        <v>40</v>
      </c>
      <c r="C804" t="s">
        <v>50</v>
      </c>
      <c r="D804">
        <v>770</v>
      </c>
      <c r="E804">
        <v>221</v>
      </c>
      <c r="F804">
        <v>0</v>
      </c>
      <c r="G804">
        <v>0</v>
      </c>
      <c r="H804">
        <v>991</v>
      </c>
      <c r="I804" s="1">
        <v>45931</v>
      </c>
      <c r="J804">
        <v>0</v>
      </c>
      <c r="K804" t="s">
        <v>23</v>
      </c>
    </row>
    <row r="805" spans="1:11">
      <c r="A805" s="1">
        <v>45960</v>
      </c>
      <c r="B805" t="s">
        <v>21</v>
      </c>
      <c r="C805" t="s">
        <v>39</v>
      </c>
      <c r="D805">
        <v>8</v>
      </c>
      <c r="E805">
        <v>3</v>
      </c>
      <c r="F805">
        <v>0</v>
      </c>
      <c r="G805">
        <v>0</v>
      </c>
      <c r="H805">
        <v>11</v>
      </c>
      <c r="I805" s="1">
        <v>45931</v>
      </c>
      <c r="J805">
        <v>0</v>
      </c>
      <c r="K805" t="s">
        <v>23</v>
      </c>
    </row>
    <row r="806" spans="1:11">
      <c r="A806" s="1">
        <v>45960</v>
      </c>
      <c r="B806" t="s">
        <v>21</v>
      </c>
      <c r="C806" t="s">
        <v>46</v>
      </c>
      <c r="D806">
        <v>486</v>
      </c>
      <c r="E806">
        <v>48</v>
      </c>
      <c r="F806">
        <v>0</v>
      </c>
      <c r="G806">
        <v>0</v>
      </c>
      <c r="H806">
        <v>534</v>
      </c>
      <c r="I806" s="1">
        <v>45931</v>
      </c>
      <c r="J806">
        <v>0</v>
      </c>
      <c r="K806" t="s">
        <v>23</v>
      </c>
    </row>
    <row r="807" spans="1:11">
      <c r="A807" s="1">
        <v>45960</v>
      </c>
      <c r="B807" t="s">
        <v>21</v>
      </c>
      <c r="C807" t="s">
        <v>49</v>
      </c>
      <c r="D807">
        <v>683</v>
      </c>
      <c r="E807">
        <v>322</v>
      </c>
      <c r="F807">
        <v>0</v>
      </c>
      <c r="G807">
        <v>0</v>
      </c>
      <c r="H807">
        <v>1004</v>
      </c>
      <c r="I807" s="1">
        <v>45931</v>
      </c>
      <c r="J807">
        <v>0</v>
      </c>
      <c r="K807" t="s">
        <v>23</v>
      </c>
    </row>
    <row r="808" spans="1:11">
      <c r="A808" s="1">
        <v>45988</v>
      </c>
      <c r="B808" t="s">
        <v>40</v>
      </c>
      <c r="C808" t="s">
        <v>50</v>
      </c>
      <c r="D808">
        <v>663</v>
      </c>
      <c r="E808">
        <v>179</v>
      </c>
      <c r="F808">
        <v>0</v>
      </c>
      <c r="G808">
        <v>0</v>
      </c>
      <c r="H808">
        <v>841</v>
      </c>
      <c r="I808" s="1">
        <v>45962</v>
      </c>
      <c r="J808">
        <v>0</v>
      </c>
      <c r="K808" t="s">
        <v>23</v>
      </c>
    </row>
    <row r="809" spans="1:11">
      <c r="A809" s="1">
        <v>45988</v>
      </c>
      <c r="B809" t="s">
        <v>40</v>
      </c>
      <c r="C809" t="s">
        <v>30</v>
      </c>
      <c r="D809">
        <v>2234</v>
      </c>
      <c r="E809">
        <v>135</v>
      </c>
      <c r="F809">
        <v>0</v>
      </c>
      <c r="G809">
        <v>0</v>
      </c>
      <c r="H809">
        <v>2369</v>
      </c>
      <c r="I809" s="1">
        <v>45962</v>
      </c>
      <c r="J809">
        <v>0</v>
      </c>
      <c r="K809" t="s">
        <v>23</v>
      </c>
    </row>
    <row r="810" spans="1:11">
      <c r="A810" s="1">
        <v>45988</v>
      </c>
      <c r="B810" t="s">
        <v>21</v>
      </c>
      <c r="C810" t="s">
        <v>39</v>
      </c>
      <c r="D810">
        <v>10</v>
      </c>
      <c r="E810">
        <v>3</v>
      </c>
      <c r="F810">
        <v>0</v>
      </c>
      <c r="G810">
        <v>0</v>
      </c>
      <c r="H810">
        <v>13</v>
      </c>
      <c r="I810" s="1">
        <v>45962</v>
      </c>
      <c r="J810">
        <v>0</v>
      </c>
      <c r="K810" t="s">
        <v>23</v>
      </c>
    </row>
    <row r="811" spans="1:11">
      <c r="A811" s="1">
        <v>45988</v>
      </c>
      <c r="B811" t="s">
        <v>21</v>
      </c>
      <c r="C811" t="s">
        <v>46</v>
      </c>
      <c r="D811">
        <v>473</v>
      </c>
      <c r="E811">
        <v>54</v>
      </c>
      <c r="F811">
        <v>0</v>
      </c>
      <c r="G811">
        <v>0</v>
      </c>
      <c r="H811">
        <v>527</v>
      </c>
      <c r="I811" s="1">
        <v>45962</v>
      </c>
      <c r="J811">
        <v>0</v>
      </c>
      <c r="K811" t="s">
        <v>23</v>
      </c>
    </row>
    <row r="812" spans="1:11">
      <c r="A812" s="1">
        <v>45988</v>
      </c>
      <c r="B812" t="s">
        <v>21</v>
      </c>
      <c r="C812" t="s">
        <v>49</v>
      </c>
      <c r="D812">
        <v>720</v>
      </c>
      <c r="E812">
        <v>317</v>
      </c>
      <c r="F812">
        <v>0</v>
      </c>
      <c r="G812">
        <v>0</v>
      </c>
      <c r="H812">
        <v>1037</v>
      </c>
      <c r="I812" s="1">
        <v>45962</v>
      </c>
      <c r="J812">
        <v>0</v>
      </c>
      <c r="K812" t="s">
        <v>23</v>
      </c>
    </row>
    <row r="813" spans="1:11">
      <c r="A813" s="1">
        <v>46009</v>
      </c>
      <c r="B813" t="s">
        <v>40</v>
      </c>
      <c r="C813" t="s">
        <v>50</v>
      </c>
      <c r="D813">
        <v>617</v>
      </c>
      <c r="E813">
        <v>126</v>
      </c>
      <c r="F813">
        <v>0</v>
      </c>
      <c r="G813">
        <v>0</v>
      </c>
      <c r="H813">
        <v>743</v>
      </c>
      <c r="I813" s="1">
        <v>45992</v>
      </c>
      <c r="J813">
        <v>0</v>
      </c>
      <c r="K813" t="s">
        <v>23</v>
      </c>
    </row>
    <row r="814" spans="1:11">
      <c r="A814" s="1">
        <v>46009</v>
      </c>
      <c r="B814" t="s">
        <v>21</v>
      </c>
      <c r="C814" t="s">
        <v>39</v>
      </c>
      <c r="D814">
        <v>9</v>
      </c>
      <c r="E814">
        <v>3</v>
      </c>
      <c r="F814">
        <v>0</v>
      </c>
      <c r="G814">
        <v>0</v>
      </c>
      <c r="H814">
        <v>12</v>
      </c>
      <c r="I814" s="1">
        <v>45992</v>
      </c>
      <c r="J814">
        <v>0</v>
      </c>
      <c r="K814" t="s">
        <v>23</v>
      </c>
    </row>
    <row r="815" spans="1:11">
      <c r="A815" s="1">
        <v>46009</v>
      </c>
      <c r="B815" t="s">
        <v>21</v>
      </c>
      <c r="C815" t="s">
        <v>49</v>
      </c>
      <c r="D815">
        <v>734</v>
      </c>
      <c r="E815">
        <v>313</v>
      </c>
      <c r="F815">
        <v>0</v>
      </c>
      <c r="G815">
        <v>0</v>
      </c>
      <c r="H815">
        <v>1047</v>
      </c>
      <c r="I815" s="1">
        <v>45992</v>
      </c>
      <c r="J815">
        <v>0</v>
      </c>
      <c r="K815" t="s">
        <v>23</v>
      </c>
    </row>
    <row r="816" spans="1:11">
      <c r="A816" s="1">
        <v>46051</v>
      </c>
      <c r="B816" t="s">
        <v>21</v>
      </c>
      <c r="C816" t="s">
        <v>41</v>
      </c>
      <c r="D816">
        <v>487</v>
      </c>
      <c r="E816">
        <v>16</v>
      </c>
      <c r="F816">
        <v>0</v>
      </c>
      <c r="G816">
        <v>0</v>
      </c>
      <c r="H816">
        <v>503</v>
      </c>
      <c r="I816" s="1">
        <v>46023</v>
      </c>
      <c r="J816">
        <v>0</v>
      </c>
      <c r="K816" t="s">
        <v>23</v>
      </c>
    </row>
    <row r="817" spans="1:11">
      <c r="A817" s="1">
        <v>46051</v>
      </c>
      <c r="B817" t="s">
        <v>21</v>
      </c>
      <c r="C817" t="s">
        <v>46</v>
      </c>
      <c r="D817">
        <v>435</v>
      </c>
      <c r="E817">
        <v>68</v>
      </c>
      <c r="F817">
        <v>0</v>
      </c>
      <c r="G817">
        <v>0</v>
      </c>
      <c r="H817">
        <v>503</v>
      </c>
      <c r="I817" s="1">
        <v>46023</v>
      </c>
      <c r="J817">
        <v>0</v>
      </c>
      <c r="K817" t="s">
        <v>23</v>
      </c>
    </row>
    <row r="818" spans="1:11">
      <c r="A818" s="1">
        <v>46079</v>
      </c>
      <c r="B818" t="s">
        <v>40</v>
      </c>
      <c r="C818" t="s">
        <v>30</v>
      </c>
      <c r="D818">
        <v>2499</v>
      </c>
      <c r="E818">
        <v>107</v>
      </c>
      <c r="F818">
        <v>0</v>
      </c>
      <c r="G818">
        <v>0</v>
      </c>
      <c r="H818">
        <v>2606</v>
      </c>
      <c r="I818" s="1">
        <v>46054</v>
      </c>
      <c r="J818">
        <v>0</v>
      </c>
      <c r="K818" t="s">
        <v>23</v>
      </c>
    </row>
    <row r="819" spans="1:11">
      <c r="A819" s="1">
        <v>46079</v>
      </c>
      <c r="B819" t="s">
        <v>21</v>
      </c>
      <c r="C819" t="s">
        <v>39</v>
      </c>
      <c r="D819">
        <v>5</v>
      </c>
      <c r="E819">
        <v>4</v>
      </c>
      <c r="F819">
        <v>0</v>
      </c>
      <c r="G819">
        <v>0</v>
      </c>
      <c r="H819">
        <v>9</v>
      </c>
      <c r="I819" s="1">
        <v>46054</v>
      </c>
      <c r="J819">
        <v>0</v>
      </c>
      <c r="K819" t="s">
        <v>23</v>
      </c>
    </row>
    <row r="820" spans="1:11">
      <c r="A820" s="1">
        <v>46079</v>
      </c>
      <c r="B820" t="s">
        <v>21</v>
      </c>
      <c r="C820" t="s">
        <v>38</v>
      </c>
      <c r="D820">
        <v>58</v>
      </c>
      <c r="E820">
        <v>6</v>
      </c>
      <c r="F820">
        <v>0</v>
      </c>
      <c r="G820">
        <v>0</v>
      </c>
      <c r="H820">
        <v>64</v>
      </c>
      <c r="I820" s="1">
        <v>46054</v>
      </c>
      <c r="J820">
        <v>0</v>
      </c>
      <c r="K820" t="s">
        <v>23</v>
      </c>
    </row>
    <row r="821" spans="1:11">
      <c r="A821" s="1">
        <v>46107</v>
      </c>
      <c r="B821" t="s">
        <v>40</v>
      </c>
      <c r="C821" t="s">
        <v>30</v>
      </c>
      <c r="D821">
        <v>2552</v>
      </c>
      <c r="E821">
        <v>104</v>
      </c>
      <c r="F821">
        <v>0</v>
      </c>
      <c r="G821">
        <v>0</v>
      </c>
      <c r="H821">
        <v>2656</v>
      </c>
      <c r="I821" s="1">
        <v>46082</v>
      </c>
      <c r="J821">
        <v>0</v>
      </c>
      <c r="K821" t="s">
        <v>23</v>
      </c>
    </row>
    <row r="822" spans="1:11">
      <c r="A822" s="1">
        <v>46107</v>
      </c>
      <c r="B822" t="s">
        <v>21</v>
      </c>
      <c r="C822" t="s">
        <v>39</v>
      </c>
      <c r="D822">
        <v>5</v>
      </c>
      <c r="E822">
        <v>3</v>
      </c>
      <c r="F822">
        <v>0</v>
      </c>
      <c r="G822">
        <v>0</v>
      </c>
      <c r="H822">
        <v>8</v>
      </c>
      <c r="I822" s="1">
        <v>46082</v>
      </c>
      <c r="J822">
        <v>0</v>
      </c>
      <c r="K822" t="s">
        <v>23</v>
      </c>
    </row>
    <row r="823" spans="1:11">
      <c r="A823" s="1">
        <v>46107</v>
      </c>
      <c r="B823" t="s">
        <v>21</v>
      </c>
      <c r="C823" t="s">
        <v>38</v>
      </c>
      <c r="D823">
        <v>53</v>
      </c>
      <c r="E823">
        <v>12</v>
      </c>
      <c r="F823">
        <v>0</v>
      </c>
      <c r="G823">
        <v>0</v>
      </c>
      <c r="H823">
        <v>65</v>
      </c>
      <c r="I823" s="1">
        <v>46082</v>
      </c>
      <c r="J823">
        <v>0</v>
      </c>
      <c r="K823" t="s">
        <v>23</v>
      </c>
    </row>
    <row r="824" spans="1:11">
      <c r="A824" s="1">
        <v>46107</v>
      </c>
      <c r="B824" t="s">
        <v>21</v>
      </c>
      <c r="C824" t="s">
        <v>34</v>
      </c>
      <c r="D824">
        <v>36</v>
      </c>
      <c r="E824">
        <v>5</v>
      </c>
      <c r="F824">
        <v>0</v>
      </c>
      <c r="G824">
        <v>0</v>
      </c>
      <c r="H824">
        <v>41</v>
      </c>
      <c r="I824" s="1">
        <v>46082</v>
      </c>
      <c r="J824">
        <v>0</v>
      </c>
      <c r="K824" t="s">
        <v>23</v>
      </c>
    </row>
    <row r="825" spans="1:11">
      <c r="A825" s="1">
        <v>46142</v>
      </c>
      <c r="B825" t="s">
        <v>40</v>
      </c>
      <c r="C825" t="s">
        <v>30</v>
      </c>
      <c r="D825">
        <v>2834</v>
      </c>
      <c r="E825">
        <v>112</v>
      </c>
      <c r="F825">
        <v>0</v>
      </c>
      <c r="G825">
        <v>0</v>
      </c>
      <c r="H825">
        <v>2946</v>
      </c>
      <c r="I825" s="1">
        <v>46113</v>
      </c>
      <c r="J825">
        <v>0</v>
      </c>
      <c r="K825" t="s">
        <v>23</v>
      </c>
    </row>
    <row r="826" spans="1:11">
      <c r="A826" s="1">
        <v>46142</v>
      </c>
      <c r="B826" t="s">
        <v>21</v>
      </c>
      <c r="C826" t="s">
        <v>39</v>
      </c>
      <c r="D826">
        <v>1</v>
      </c>
      <c r="E826">
        <v>5</v>
      </c>
      <c r="F826">
        <v>0</v>
      </c>
      <c r="G826">
        <v>0</v>
      </c>
      <c r="H826">
        <v>6</v>
      </c>
      <c r="I826" s="1">
        <v>46113</v>
      </c>
      <c r="J826">
        <v>0</v>
      </c>
      <c r="K826" t="s">
        <v>23</v>
      </c>
    </row>
    <row r="827" spans="1:11">
      <c r="A827" s="1">
        <v>46142</v>
      </c>
      <c r="B827" t="s">
        <v>21</v>
      </c>
      <c r="C827" t="s">
        <v>38</v>
      </c>
      <c r="D827">
        <v>61</v>
      </c>
      <c r="E827">
        <v>12</v>
      </c>
      <c r="F827">
        <v>0</v>
      </c>
      <c r="G827">
        <v>0</v>
      </c>
      <c r="H827">
        <v>73</v>
      </c>
      <c r="I827" s="1">
        <v>46113</v>
      </c>
      <c r="J827">
        <v>0</v>
      </c>
      <c r="K827" t="s">
        <v>23</v>
      </c>
    </row>
    <row r="828" spans="1:11">
      <c r="A828" s="1">
        <v>46142</v>
      </c>
      <c r="B828" t="s">
        <v>21</v>
      </c>
      <c r="C828" t="s">
        <v>35</v>
      </c>
      <c r="D828">
        <v>15</v>
      </c>
      <c r="E828">
        <v>3</v>
      </c>
      <c r="F828">
        <v>0</v>
      </c>
      <c r="G828">
        <v>0</v>
      </c>
      <c r="H828">
        <v>18</v>
      </c>
      <c r="I828" s="1">
        <v>46113</v>
      </c>
      <c r="J828">
        <v>0</v>
      </c>
      <c r="K828" t="s">
        <v>23</v>
      </c>
    </row>
    <row r="829" spans="1:11">
      <c r="A829" s="1">
        <v>46142</v>
      </c>
      <c r="B829" t="s">
        <v>21</v>
      </c>
      <c r="C829" t="s">
        <v>34</v>
      </c>
      <c r="D829">
        <v>40</v>
      </c>
      <c r="E829">
        <v>9</v>
      </c>
      <c r="F829">
        <v>0</v>
      </c>
      <c r="G829">
        <v>0</v>
      </c>
      <c r="H829">
        <v>48</v>
      </c>
      <c r="I829" s="1">
        <v>46113</v>
      </c>
      <c r="J829">
        <v>0</v>
      </c>
      <c r="K829" t="s">
        <v>23</v>
      </c>
    </row>
    <row r="830" spans="1:11">
      <c r="A830" s="1">
        <v>46170</v>
      </c>
      <c r="B830" t="s">
        <v>21</v>
      </c>
      <c r="C830" t="s">
        <v>39</v>
      </c>
      <c r="D830">
        <v>2</v>
      </c>
      <c r="E830">
        <v>3</v>
      </c>
      <c r="F830">
        <v>0</v>
      </c>
      <c r="G830">
        <v>0</v>
      </c>
      <c r="H830">
        <v>5</v>
      </c>
      <c r="I830" s="1">
        <v>46143</v>
      </c>
      <c r="J830">
        <v>0</v>
      </c>
      <c r="K830" t="s">
        <v>23</v>
      </c>
    </row>
    <row r="831" spans="1:11">
      <c r="A831" s="1">
        <v>46170</v>
      </c>
      <c r="B831" t="s">
        <v>21</v>
      </c>
      <c r="C831" t="s">
        <v>38</v>
      </c>
      <c r="D831">
        <v>57</v>
      </c>
      <c r="E831">
        <v>15</v>
      </c>
      <c r="F831">
        <v>0</v>
      </c>
      <c r="G831">
        <v>0</v>
      </c>
      <c r="H831">
        <v>72</v>
      </c>
      <c r="I831" s="1">
        <v>46143</v>
      </c>
      <c r="J831">
        <v>0</v>
      </c>
      <c r="K831" t="s">
        <v>23</v>
      </c>
    </row>
    <row r="832" spans="1:11">
      <c r="A832" s="1">
        <v>46170</v>
      </c>
      <c r="B832" t="s">
        <v>21</v>
      </c>
      <c r="C832" t="s">
        <v>34</v>
      </c>
      <c r="D832">
        <v>43</v>
      </c>
      <c r="E832">
        <v>12</v>
      </c>
      <c r="F832">
        <v>0</v>
      </c>
      <c r="G832">
        <v>0</v>
      </c>
      <c r="H832">
        <v>55</v>
      </c>
      <c r="I832" s="1">
        <v>46143</v>
      </c>
      <c r="J832">
        <v>0</v>
      </c>
      <c r="K832" t="s">
        <v>23</v>
      </c>
    </row>
    <row r="833" spans="1:11">
      <c r="A833" s="1">
        <v>46198</v>
      </c>
      <c r="B833" t="s">
        <v>21</v>
      </c>
      <c r="C833" t="s">
        <v>33</v>
      </c>
      <c r="D833">
        <v>30</v>
      </c>
      <c r="E833">
        <v>3</v>
      </c>
      <c r="F833">
        <v>0</v>
      </c>
      <c r="G833">
        <v>0</v>
      </c>
      <c r="H833">
        <v>33</v>
      </c>
      <c r="I833" s="1">
        <v>46174</v>
      </c>
      <c r="J833">
        <v>0</v>
      </c>
      <c r="K833" t="s">
        <v>23</v>
      </c>
    </row>
    <row r="834" spans="1:11">
      <c r="A834" s="1">
        <v>46198</v>
      </c>
      <c r="B834" t="s">
        <v>21</v>
      </c>
      <c r="C834" t="s">
        <v>39</v>
      </c>
      <c r="D834">
        <v>1</v>
      </c>
      <c r="E834">
        <v>3</v>
      </c>
      <c r="F834">
        <v>0</v>
      </c>
      <c r="G834">
        <v>0</v>
      </c>
      <c r="H834">
        <v>4</v>
      </c>
      <c r="I834" s="1">
        <v>46174</v>
      </c>
      <c r="J834">
        <v>0</v>
      </c>
      <c r="K834" t="s">
        <v>23</v>
      </c>
    </row>
    <row r="835" spans="1:11">
      <c r="A835" s="1">
        <v>46198</v>
      </c>
      <c r="B835" t="s">
        <v>21</v>
      </c>
      <c r="C835" t="s">
        <v>38</v>
      </c>
      <c r="D835">
        <v>56</v>
      </c>
      <c r="E835">
        <v>18</v>
      </c>
      <c r="F835">
        <v>0</v>
      </c>
      <c r="G835">
        <v>0</v>
      </c>
      <c r="H835">
        <v>74</v>
      </c>
      <c r="I835" s="1">
        <v>46174</v>
      </c>
      <c r="J835">
        <v>0</v>
      </c>
      <c r="K835" t="s">
        <v>23</v>
      </c>
    </row>
    <row r="836" spans="1:11">
      <c r="A836" s="1">
        <v>46198</v>
      </c>
      <c r="B836" t="s">
        <v>21</v>
      </c>
      <c r="C836" t="s">
        <v>34</v>
      </c>
      <c r="D836">
        <v>46</v>
      </c>
      <c r="E836">
        <v>14</v>
      </c>
      <c r="F836">
        <v>0</v>
      </c>
      <c r="G836">
        <v>0</v>
      </c>
      <c r="H836">
        <v>60</v>
      </c>
      <c r="I836" s="1">
        <v>46174</v>
      </c>
      <c r="J836">
        <v>0</v>
      </c>
      <c r="K836" t="s">
        <v>23</v>
      </c>
    </row>
    <row r="837" spans="1:11">
      <c r="A837" s="1">
        <v>46233</v>
      </c>
      <c r="B837" t="s">
        <v>40</v>
      </c>
      <c r="C837" t="s">
        <v>30</v>
      </c>
      <c r="D837">
        <v>2644</v>
      </c>
      <c r="E837">
        <v>132</v>
      </c>
      <c r="F837">
        <v>0</v>
      </c>
      <c r="G837">
        <v>0</v>
      </c>
      <c r="H837">
        <v>2776</v>
      </c>
      <c r="I837" s="1">
        <v>46204</v>
      </c>
      <c r="J837">
        <v>0</v>
      </c>
      <c r="K837" t="s">
        <v>23</v>
      </c>
    </row>
    <row r="838" spans="1:11">
      <c r="A838" s="1">
        <v>46233</v>
      </c>
      <c r="B838" t="s">
        <v>21</v>
      </c>
      <c r="C838" t="s">
        <v>39</v>
      </c>
      <c r="D838">
        <v>0</v>
      </c>
      <c r="E838">
        <v>3</v>
      </c>
      <c r="F838">
        <v>0</v>
      </c>
      <c r="G838">
        <v>0</v>
      </c>
      <c r="H838">
        <v>3</v>
      </c>
      <c r="I838" s="1">
        <v>46204</v>
      </c>
      <c r="J838">
        <v>0</v>
      </c>
      <c r="K838" t="s">
        <v>23</v>
      </c>
    </row>
    <row r="839" spans="1:11">
      <c r="A839" s="1">
        <v>46233</v>
      </c>
      <c r="B839" t="s">
        <v>21</v>
      </c>
      <c r="C839" t="s">
        <v>38</v>
      </c>
      <c r="D839">
        <v>57</v>
      </c>
      <c r="E839">
        <v>19</v>
      </c>
      <c r="F839">
        <v>0</v>
      </c>
      <c r="G839">
        <v>0</v>
      </c>
      <c r="H839">
        <v>76</v>
      </c>
      <c r="I839" s="1">
        <v>46204</v>
      </c>
      <c r="J839">
        <v>0</v>
      </c>
      <c r="K839" t="s">
        <v>23</v>
      </c>
    </row>
    <row r="840" spans="1:11">
      <c r="A840" s="1">
        <v>46233</v>
      </c>
      <c r="B840" t="s">
        <v>21</v>
      </c>
      <c r="C840" t="s">
        <v>35</v>
      </c>
      <c r="D840">
        <v>15</v>
      </c>
      <c r="E840">
        <v>4</v>
      </c>
      <c r="F840">
        <v>0</v>
      </c>
      <c r="G840">
        <v>0</v>
      </c>
      <c r="H840">
        <v>19</v>
      </c>
      <c r="I840" s="1">
        <v>46204</v>
      </c>
      <c r="J840">
        <v>0</v>
      </c>
      <c r="K840" t="s">
        <v>23</v>
      </c>
    </row>
    <row r="841" spans="1:11">
      <c r="A841" s="1">
        <v>46233</v>
      </c>
      <c r="B841" t="s">
        <v>21</v>
      </c>
      <c r="C841" t="s">
        <v>34</v>
      </c>
      <c r="D841">
        <v>48</v>
      </c>
      <c r="E841">
        <v>18</v>
      </c>
      <c r="F841">
        <v>0</v>
      </c>
      <c r="G841">
        <v>0</v>
      </c>
      <c r="H841">
        <v>66</v>
      </c>
      <c r="I841" s="1">
        <v>46204</v>
      </c>
      <c r="J841">
        <v>0</v>
      </c>
      <c r="K841" t="s">
        <v>23</v>
      </c>
    </row>
    <row r="842" spans="1:11">
      <c r="A842" s="1">
        <v>46233</v>
      </c>
      <c r="B842" t="s">
        <v>21</v>
      </c>
      <c r="C842" t="s">
        <v>36</v>
      </c>
      <c r="D842">
        <v>9</v>
      </c>
      <c r="E842">
        <v>3</v>
      </c>
      <c r="F842">
        <v>0</v>
      </c>
      <c r="G842">
        <v>0</v>
      </c>
      <c r="H842">
        <v>12</v>
      </c>
      <c r="I842" s="1">
        <v>46204</v>
      </c>
      <c r="J842">
        <v>0</v>
      </c>
      <c r="K842" t="s">
        <v>23</v>
      </c>
    </row>
    <row r="843" spans="1:11">
      <c r="A843" s="1">
        <v>46233</v>
      </c>
      <c r="B843" t="s">
        <v>21</v>
      </c>
      <c r="C843" t="s">
        <v>49</v>
      </c>
      <c r="D843">
        <v>814</v>
      </c>
      <c r="E843">
        <v>346</v>
      </c>
      <c r="F843">
        <v>0</v>
      </c>
      <c r="G843">
        <v>0</v>
      </c>
      <c r="H843">
        <v>1160</v>
      </c>
      <c r="I843" s="1">
        <v>46204</v>
      </c>
      <c r="J843">
        <v>0</v>
      </c>
      <c r="K843" t="s">
        <v>23</v>
      </c>
    </row>
    <row r="844" spans="1:11">
      <c r="A844" s="1">
        <v>46261</v>
      </c>
      <c r="B844" t="s">
        <v>21</v>
      </c>
      <c r="C844" t="s">
        <v>38</v>
      </c>
      <c r="D844">
        <v>45</v>
      </c>
      <c r="E844">
        <v>25</v>
      </c>
      <c r="F844">
        <v>0</v>
      </c>
      <c r="G844">
        <v>0</v>
      </c>
      <c r="H844">
        <v>70</v>
      </c>
      <c r="I844" s="1">
        <v>46235</v>
      </c>
      <c r="J844">
        <v>0</v>
      </c>
      <c r="K844" t="s">
        <v>23</v>
      </c>
    </row>
    <row r="845" spans="1:11">
      <c r="A845" s="1">
        <v>46261</v>
      </c>
      <c r="B845" t="s">
        <v>21</v>
      </c>
      <c r="C845" t="s">
        <v>34</v>
      </c>
      <c r="D845">
        <v>41</v>
      </c>
      <c r="E845">
        <v>18</v>
      </c>
      <c r="F845">
        <v>0</v>
      </c>
      <c r="G845">
        <v>0</v>
      </c>
      <c r="H845">
        <v>59</v>
      </c>
      <c r="I845" s="1">
        <v>46235</v>
      </c>
      <c r="J845">
        <v>0</v>
      </c>
      <c r="K845" t="s">
        <v>23</v>
      </c>
    </row>
    <row r="846" spans="1:11">
      <c r="A846" s="1">
        <v>46261</v>
      </c>
      <c r="B846" t="s">
        <v>21</v>
      </c>
      <c r="C846" t="s">
        <v>36</v>
      </c>
      <c r="D846">
        <v>11</v>
      </c>
      <c r="E846">
        <v>3</v>
      </c>
      <c r="F846">
        <v>0</v>
      </c>
      <c r="G846">
        <v>0</v>
      </c>
      <c r="H846">
        <v>14</v>
      </c>
      <c r="I846" s="1">
        <v>46235</v>
      </c>
      <c r="J846">
        <v>0</v>
      </c>
      <c r="K846" t="s">
        <v>23</v>
      </c>
    </row>
    <row r="847" spans="1:11">
      <c r="A847" s="1">
        <v>46261</v>
      </c>
      <c r="B847" t="s">
        <v>21</v>
      </c>
      <c r="C847" t="s">
        <v>49</v>
      </c>
      <c r="D847">
        <v>769</v>
      </c>
      <c r="E847">
        <v>385</v>
      </c>
      <c r="F847">
        <v>0</v>
      </c>
      <c r="G847">
        <v>0</v>
      </c>
      <c r="H847">
        <v>1154</v>
      </c>
      <c r="I847" s="1">
        <v>46235</v>
      </c>
      <c r="J847">
        <v>0</v>
      </c>
      <c r="K847" t="s">
        <v>23</v>
      </c>
    </row>
    <row r="848" spans="1:11">
      <c r="A848" s="1">
        <v>44952</v>
      </c>
      <c r="B848" t="s">
        <v>40</v>
      </c>
      <c r="C848" t="s">
        <v>41</v>
      </c>
      <c r="D848">
        <v>406</v>
      </c>
      <c r="E848">
        <v>11</v>
      </c>
      <c r="F848">
        <v>0</v>
      </c>
      <c r="G848">
        <v>0</v>
      </c>
      <c r="H848">
        <v>417</v>
      </c>
      <c r="I848" s="1">
        <v>44927</v>
      </c>
      <c r="J848">
        <v>0</v>
      </c>
      <c r="K848" t="s">
        <v>26</v>
      </c>
    </row>
    <row r="849" spans="1:11">
      <c r="A849" s="1">
        <v>44952</v>
      </c>
      <c r="B849" t="s">
        <v>40</v>
      </c>
      <c r="C849" t="s">
        <v>35</v>
      </c>
      <c r="D849">
        <v>615</v>
      </c>
      <c r="E849">
        <v>24</v>
      </c>
      <c r="F849">
        <v>0</v>
      </c>
      <c r="G849">
        <v>0</v>
      </c>
      <c r="H849">
        <v>639</v>
      </c>
      <c r="I849" s="1">
        <v>44927</v>
      </c>
      <c r="J849">
        <v>0</v>
      </c>
      <c r="K849" t="s">
        <v>26</v>
      </c>
    </row>
    <row r="850" spans="1:11">
      <c r="A850" s="1">
        <v>44952</v>
      </c>
      <c r="B850" t="s">
        <v>40</v>
      </c>
      <c r="C850" t="s">
        <v>52</v>
      </c>
      <c r="D850">
        <v>532</v>
      </c>
      <c r="E850">
        <v>134</v>
      </c>
      <c r="F850">
        <v>0</v>
      </c>
      <c r="G850">
        <v>0</v>
      </c>
      <c r="H850">
        <v>666</v>
      </c>
      <c r="I850" s="1">
        <v>44927</v>
      </c>
      <c r="J850">
        <v>0</v>
      </c>
      <c r="K850" t="s">
        <v>26</v>
      </c>
    </row>
    <row r="851" spans="1:11">
      <c r="A851" s="1">
        <v>44952</v>
      </c>
      <c r="B851" t="s">
        <v>40</v>
      </c>
      <c r="C851" t="s">
        <v>24</v>
      </c>
      <c r="D851">
        <v>702</v>
      </c>
      <c r="E851">
        <v>108</v>
      </c>
      <c r="F851">
        <v>0</v>
      </c>
      <c r="G851">
        <v>0</v>
      </c>
      <c r="H851">
        <v>810</v>
      </c>
      <c r="I851" s="1">
        <v>44927</v>
      </c>
      <c r="J851">
        <v>0</v>
      </c>
      <c r="K851" t="s">
        <v>26</v>
      </c>
    </row>
    <row r="852" spans="1:11">
      <c r="A852" s="1">
        <v>44952</v>
      </c>
      <c r="B852" t="s">
        <v>21</v>
      </c>
      <c r="C852" t="s">
        <v>51</v>
      </c>
      <c r="D852">
        <v>30</v>
      </c>
      <c r="E852">
        <v>14</v>
      </c>
      <c r="F852">
        <v>0</v>
      </c>
      <c r="G852">
        <v>0</v>
      </c>
      <c r="H852">
        <v>44</v>
      </c>
      <c r="I852" s="1">
        <v>44927</v>
      </c>
      <c r="J852">
        <v>0</v>
      </c>
      <c r="K852" t="s">
        <v>26</v>
      </c>
    </row>
    <row r="853" spans="1:11">
      <c r="A853" s="1">
        <v>44952</v>
      </c>
      <c r="B853" t="s">
        <v>21</v>
      </c>
      <c r="C853" t="s">
        <v>44</v>
      </c>
      <c r="D853">
        <v>28</v>
      </c>
      <c r="E853">
        <v>6</v>
      </c>
      <c r="F853">
        <v>0</v>
      </c>
      <c r="G853">
        <v>0</v>
      </c>
      <c r="H853">
        <v>33</v>
      </c>
      <c r="I853" s="1">
        <v>44927</v>
      </c>
      <c r="J853">
        <v>0</v>
      </c>
      <c r="K853" t="s">
        <v>26</v>
      </c>
    </row>
    <row r="854" spans="1:11">
      <c r="A854" s="1">
        <v>44980</v>
      </c>
      <c r="B854" t="s">
        <v>40</v>
      </c>
      <c r="C854" t="s">
        <v>41</v>
      </c>
      <c r="D854">
        <v>373</v>
      </c>
      <c r="E854">
        <v>7</v>
      </c>
      <c r="F854">
        <v>0</v>
      </c>
      <c r="G854">
        <v>0</v>
      </c>
      <c r="H854">
        <v>380</v>
      </c>
      <c r="I854" s="1">
        <v>44958</v>
      </c>
      <c r="J854">
        <v>0</v>
      </c>
      <c r="K854" t="s">
        <v>26</v>
      </c>
    </row>
    <row r="855" spans="1:11">
      <c r="A855" s="1">
        <v>44980</v>
      </c>
      <c r="B855" t="s">
        <v>40</v>
      </c>
      <c r="C855" t="s">
        <v>37</v>
      </c>
      <c r="D855">
        <v>311</v>
      </c>
      <c r="E855">
        <v>50</v>
      </c>
      <c r="F855">
        <v>0</v>
      </c>
      <c r="G855">
        <v>0</v>
      </c>
      <c r="H855">
        <v>361</v>
      </c>
      <c r="I855" s="1">
        <v>44958</v>
      </c>
      <c r="J855">
        <v>0</v>
      </c>
      <c r="K855" t="s">
        <v>26</v>
      </c>
    </row>
    <row r="856" spans="1:11">
      <c r="A856" s="1">
        <v>44980</v>
      </c>
      <c r="B856" t="s">
        <v>40</v>
      </c>
      <c r="C856" t="s">
        <v>42</v>
      </c>
      <c r="D856">
        <v>370</v>
      </c>
      <c r="E856">
        <v>10</v>
      </c>
      <c r="F856">
        <v>0</v>
      </c>
      <c r="G856">
        <v>0</v>
      </c>
      <c r="H856">
        <v>380</v>
      </c>
      <c r="I856" s="1">
        <v>44958</v>
      </c>
      <c r="J856">
        <v>0</v>
      </c>
      <c r="K856" t="s">
        <v>26</v>
      </c>
    </row>
    <row r="857" spans="1:11">
      <c r="A857" s="1">
        <v>44980</v>
      </c>
      <c r="B857" t="s">
        <v>40</v>
      </c>
      <c r="C857" t="s">
        <v>35</v>
      </c>
      <c r="D857">
        <v>623</v>
      </c>
      <c r="E857">
        <v>12</v>
      </c>
      <c r="F857">
        <v>0</v>
      </c>
      <c r="G857">
        <v>0</v>
      </c>
      <c r="H857">
        <v>635</v>
      </c>
      <c r="I857" s="1">
        <v>44958</v>
      </c>
      <c r="J857">
        <v>0</v>
      </c>
      <c r="K857" t="s">
        <v>26</v>
      </c>
    </row>
    <row r="858" spans="1:11">
      <c r="A858" s="1">
        <v>44980</v>
      </c>
      <c r="B858" t="s">
        <v>21</v>
      </c>
      <c r="C858" t="s">
        <v>43</v>
      </c>
      <c r="D858">
        <v>133</v>
      </c>
      <c r="E858">
        <v>52</v>
      </c>
      <c r="F858">
        <v>0</v>
      </c>
      <c r="G858">
        <v>0</v>
      </c>
      <c r="H858">
        <v>185</v>
      </c>
      <c r="I858" s="1">
        <v>44958</v>
      </c>
      <c r="J858">
        <v>0</v>
      </c>
      <c r="K858" t="s">
        <v>26</v>
      </c>
    </row>
    <row r="859" spans="1:11">
      <c r="A859" s="1">
        <v>44980</v>
      </c>
      <c r="B859" t="s">
        <v>21</v>
      </c>
      <c r="C859" t="s">
        <v>52</v>
      </c>
      <c r="D859">
        <v>39</v>
      </c>
      <c r="E859">
        <v>8</v>
      </c>
      <c r="F859">
        <v>0</v>
      </c>
      <c r="G859">
        <v>0</v>
      </c>
      <c r="H859">
        <v>47</v>
      </c>
      <c r="I859" s="1">
        <v>44958</v>
      </c>
      <c r="J859">
        <v>0</v>
      </c>
      <c r="K859" t="s">
        <v>26</v>
      </c>
    </row>
    <row r="860" spans="1:11">
      <c r="A860" s="1">
        <v>44980</v>
      </c>
      <c r="B860" t="s">
        <v>21</v>
      </c>
      <c r="C860" t="s">
        <v>44</v>
      </c>
      <c r="D860">
        <v>21</v>
      </c>
      <c r="E860">
        <v>8</v>
      </c>
      <c r="F860">
        <v>0</v>
      </c>
      <c r="G860">
        <v>0</v>
      </c>
      <c r="H860">
        <v>29</v>
      </c>
      <c r="I860" s="1">
        <v>44958</v>
      </c>
      <c r="J860">
        <v>0</v>
      </c>
      <c r="K860" t="s">
        <v>26</v>
      </c>
    </row>
    <row r="861" spans="1:11">
      <c r="A861" s="1">
        <v>45015</v>
      </c>
      <c r="B861" t="s">
        <v>40</v>
      </c>
      <c r="C861" t="s">
        <v>41</v>
      </c>
      <c r="D861">
        <v>408</v>
      </c>
      <c r="E861">
        <v>11</v>
      </c>
      <c r="F861">
        <v>0</v>
      </c>
      <c r="G861">
        <v>0</v>
      </c>
      <c r="H861">
        <v>419</v>
      </c>
      <c r="I861" s="1">
        <v>44986</v>
      </c>
      <c r="J861">
        <v>0</v>
      </c>
      <c r="K861" t="s">
        <v>26</v>
      </c>
    </row>
    <row r="862" spans="1:11">
      <c r="A862" s="1">
        <v>45015</v>
      </c>
      <c r="B862" t="s">
        <v>40</v>
      </c>
      <c r="C862" t="s">
        <v>37</v>
      </c>
      <c r="D862">
        <v>325</v>
      </c>
      <c r="E862">
        <v>28</v>
      </c>
      <c r="F862">
        <v>0</v>
      </c>
      <c r="G862">
        <v>0</v>
      </c>
      <c r="H862">
        <v>353</v>
      </c>
      <c r="I862" s="1">
        <v>44986</v>
      </c>
      <c r="J862">
        <v>0</v>
      </c>
      <c r="K862" t="s">
        <v>26</v>
      </c>
    </row>
    <row r="863" spans="1:11">
      <c r="A863" s="1">
        <v>45015</v>
      </c>
      <c r="B863" t="s">
        <v>40</v>
      </c>
      <c r="C863" t="s">
        <v>56</v>
      </c>
      <c r="D863">
        <v>558</v>
      </c>
      <c r="E863">
        <v>46</v>
      </c>
      <c r="F863">
        <v>0</v>
      </c>
      <c r="G863">
        <v>0</v>
      </c>
      <c r="H863">
        <v>604</v>
      </c>
      <c r="I863" s="1">
        <v>44986</v>
      </c>
      <c r="J863">
        <v>0</v>
      </c>
      <c r="K863" t="s">
        <v>26</v>
      </c>
    </row>
    <row r="864" spans="1:11">
      <c r="A864" s="1">
        <v>45015</v>
      </c>
      <c r="B864" t="s">
        <v>40</v>
      </c>
      <c r="C864" t="s">
        <v>42</v>
      </c>
      <c r="D864">
        <v>396</v>
      </c>
      <c r="E864">
        <v>8</v>
      </c>
      <c r="F864">
        <v>0</v>
      </c>
      <c r="G864">
        <v>0</v>
      </c>
      <c r="H864">
        <v>404</v>
      </c>
      <c r="I864" s="1">
        <v>44986</v>
      </c>
      <c r="J864">
        <v>0</v>
      </c>
      <c r="K864" t="s">
        <v>26</v>
      </c>
    </row>
    <row r="865" spans="1:11">
      <c r="A865" s="1">
        <v>45015</v>
      </c>
      <c r="B865" t="s">
        <v>40</v>
      </c>
      <c r="C865" t="s">
        <v>35</v>
      </c>
      <c r="D865">
        <v>639</v>
      </c>
      <c r="E865">
        <v>21</v>
      </c>
      <c r="F865">
        <v>0</v>
      </c>
      <c r="G865">
        <v>0</v>
      </c>
      <c r="H865">
        <v>660</v>
      </c>
      <c r="I865" s="1">
        <v>44986</v>
      </c>
      <c r="J865">
        <v>0</v>
      </c>
      <c r="K865" t="s">
        <v>26</v>
      </c>
    </row>
    <row r="866" spans="1:11">
      <c r="A866" s="1">
        <v>45015</v>
      </c>
      <c r="B866" t="s">
        <v>40</v>
      </c>
      <c r="C866" t="s">
        <v>32</v>
      </c>
      <c r="D866">
        <v>225</v>
      </c>
      <c r="E866">
        <v>49</v>
      </c>
      <c r="F866">
        <v>0</v>
      </c>
      <c r="G866">
        <v>0</v>
      </c>
      <c r="H866">
        <v>274</v>
      </c>
      <c r="I866" s="1">
        <v>44986</v>
      </c>
      <c r="J866">
        <v>0</v>
      </c>
      <c r="K866" t="s">
        <v>26</v>
      </c>
    </row>
    <row r="867" spans="1:11">
      <c r="A867" s="1">
        <v>45015</v>
      </c>
      <c r="B867" t="s">
        <v>21</v>
      </c>
      <c r="C867" t="s">
        <v>51</v>
      </c>
      <c r="D867">
        <v>17</v>
      </c>
      <c r="E867">
        <v>8</v>
      </c>
      <c r="F867">
        <v>0</v>
      </c>
      <c r="G867">
        <v>0</v>
      </c>
      <c r="H867">
        <v>25</v>
      </c>
      <c r="I867" s="1">
        <v>44986</v>
      </c>
      <c r="J867">
        <v>0</v>
      </c>
      <c r="K867" t="s">
        <v>26</v>
      </c>
    </row>
    <row r="868" spans="1:11">
      <c r="A868" s="1">
        <v>45015</v>
      </c>
      <c r="B868" t="s">
        <v>21</v>
      </c>
      <c r="C868" t="s">
        <v>43</v>
      </c>
      <c r="D868">
        <v>110</v>
      </c>
      <c r="E868">
        <v>43</v>
      </c>
      <c r="F868">
        <v>0</v>
      </c>
      <c r="G868">
        <v>0</v>
      </c>
      <c r="H868">
        <v>153</v>
      </c>
      <c r="I868" s="1">
        <v>44986</v>
      </c>
      <c r="J868">
        <v>0</v>
      </c>
      <c r="K868" t="s">
        <v>26</v>
      </c>
    </row>
    <row r="869" spans="1:11">
      <c r="A869" s="1">
        <v>45015</v>
      </c>
      <c r="B869" t="s">
        <v>21</v>
      </c>
      <c r="C869" t="s">
        <v>52</v>
      </c>
      <c r="D869">
        <v>53</v>
      </c>
      <c r="E869">
        <v>10</v>
      </c>
      <c r="F869">
        <v>0</v>
      </c>
      <c r="G869">
        <v>0</v>
      </c>
      <c r="H869">
        <v>64</v>
      </c>
      <c r="I869" s="1">
        <v>44986</v>
      </c>
      <c r="J869">
        <v>0</v>
      </c>
      <c r="K869" t="s">
        <v>26</v>
      </c>
    </row>
    <row r="870" spans="1:11">
      <c r="A870" s="1">
        <v>45015</v>
      </c>
      <c r="B870" t="s">
        <v>21</v>
      </c>
      <c r="C870" t="s">
        <v>44</v>
      </c>
      <c r="D870">
        <v>9</v>
      </c>
      <c r="E870">
        <v>12</v>
      </c>
      <c r="F870">
        <v>0</v>
      </c>
      <c r="G870">
        <v>0</v>
      </c>
      <c r="H870">
        <v>21</v>
      </c>
      <c r="I870" s="1">
        <v>44986</v>
      </c>
      <c r="J870">
        <v>0</v>
      </c>
      <c r="K870" t="s">
        <v>26</v>
      </c>
    </row>
    <row r="871" spans="1:11">
      <c r="A871" s="1">
        <v>45043</v>
      </c>
      <c r="B871" t="s">
        <v>40</v>
      </c>
      <c r="C871" t="s">
        <v>37</v>
      </c>
      <c r="D871">
        <v>343</v>
      </c>
      <c r="E871">
        <v>25</v>
      </c>
      <c r="F871">
        <v>0</v>
      </c>
      <c r="G871">
        <v>0</v>
      </c>
      <c r="H871">
        <v>368</v>
      </c>
      <c r="I871" s="1">
        <v>45017</v>
      </c>
      <c r="J871">
        <v>0</v>
      </c>
      <c r="K871" t="s">
        <v>26</v>
      </c>
    </row>
    <row r="872" spans="1:11">
      <c r="A872" s="1">
        <v>45043</v>
      </c>
      <c r="B872" t="s">
        <v>40</v>
      </c>
      <c r="C872" t="s">
        <v>39</v>
      </c>
      <c r="D872">
        <v>139</v>
      </c>
      <c r="E872">
        <v>45</v>
      </c>
      <c r="F872">
        <v>0</v>
      </c>
      <c r="G872">
        <v>0</v>
      </c>
      <c r="H872">
        <v>184</v>
      </c>
      <c r="I872" s="1">
        <v>45017</v>
      </c>
      <c r="J872">
        <v>0</v>
      </c>
      <c r="K872" t="s">
        <v>26</v>
      </c>
    </row>
    <row r="873" spans="1:11">
      <c r="A873" s="1">
        <v>45043</v>
      </c>
      <c r="B873" t="s">
        <v>40</v>
      </c>
      <c r="C873" t="s">
        <v>35</v>
      </c>
      <c r="D873">
        <v>553</v>
      </c>
      <c r="E873">
        <v>9</v>
      </c>
      <c r="F873">
        <v>0</v>
      </c>
      <c r="G873">
        <v>0</v>
      </c>
      <c r="H873">
        <v>562</v>
      </c>
      <c r="I873" s="1">
        <v>45017</v>
      </c>
      <c r="J873">
        <v>0</v>
      </c>
      <c r="K873" t="s">
        <v>26</v>
      </c>
    </row>
    <row r="874" spans="1:11">
      <c r="A874" s="1">
        <v>45043</v>
      </c>
      <c r="B874" t="s">
        <v>40</v>
      </c>
      <c r="C874" t="s">
        <v>32</v>
      </c>
      <c r="D874">
        <v>244</v>
      </c>
      <c r="E874">
        <v>47</v>
      </c>
      <c r="F874">
        <v>0</v>
      </c>
      <c r="G874">
        <v>0</v>
      </c>
      <c r="H874">
        <v>291</v>
      </c>
      <c r="I874" s="1">
        <v>45017</v>
      </c>
      <c r="J874">
        <v>0</v>
      </c>
      <c r="K874" t="s">
        <v>26</v>
      </c>
    </row>
    <row r="875" spans="1:11">
      <c r="A875" s="1">
        <v>45043</v>
      </c>
      <c r="B875" t="s">
        <v>40</v>
      </c>
      <c r="C875" t="s">
        <v>44</v>
      </c>
      <c r="D875">
        <v>213</v>
      </c>
      <c r="E875">
        <v>39</v>
      </c>
      <c r="F875">
        <v>0</v>
      </c>
      <c r="G875">
        <v>0</v>
      </c>
      <c r="H875">
        <v>252</v>
      </c>
      <c r="I875" s="1">
        <v>45017</v>
      </c>
      <c r="J875">
        <v>0</v>
      </c>
      <c r="K875" t="s">
        <v>26</v>
      </c>
    </row>
    <row r="876" spans="1:11">
      <c r="A876" s="1">
        <v>45043</v>
      </c>
      <c r="B876" t="s">
        <v>21</v>
      </c>
      <c r="C876" t="s">
        <v>51</v>
      </c>
      <c r="D876">
        <v>22</v>
      </c>
      <c r="E876">
        <v>6</v>
      </c>
      <c r="F876">
        <v>0</v>
      </c>
      <c r="G876">
        <v>0</v>
      </c>
      <c r="H876">
        <v>28</v>
      </c>
      <c r="I876" s="1">
        <v>45017</v>
      </c>
      <c r="J876">
        <v>0</v>
      </c>
      <c r="K876" t="s">
        <v>26</v>
      </c>
    </row>
    <row r="877" spans="1:11">
      <c r="A877" s="1">
        <v>45043</v>
      </c>
      <c r="B877" t="s">
        <v>21</v>
      </c>
      <c r="C877" t="s">
        <v>43</v>
      </c>
      <c r="D877">
        <v>90</v>
      </c>
      <c r="E877">
        <v>50</v>
      </c>
      <c r="F877">
        <v>0</v>
      </c>
      <c r="G877">
        <v>0</v>
      </c>
      <c r="H877">
        <v>140</v>
      </c>
      <c r="I877" s="1">
        <v>45017</v>
      </c>
      <c r="J877">
        <v>0</v>
      </c>
      <c r="K877" t="s">
        <v>26</v>
      </c>
    </row>
    <row r="878" spans="1:11">
      <c r="A878" s="1">
        <v>45043</v>
      </c>
      <c r="B878" t="s">
        <v>21</v>
      </c>
      <c r="C878" t="s">
        <v>52</v>
      </c>
      <c r="D878">
        <v>67</v>
      </c>
      <c r="E878">
        <v>15</v>
      </c>
      <c r="F878">
        <v>0</v>
      </c>
      <c r="G878">
        <v>0</v>
      </c>
      <c r="H878">
        <v>82</v>
      </c>
      <c r="I878" s="1">
        <v>45017</v>
      </c>
      <c r="J878">
        <v>0</v>
      </c>
      <c r="K878" t="s">
        <v>26</v>
      </c>
    </row>
    <row r="879" spans="1:11">
      <c r="A879" s="1">
        <v>45043</v>
      </c>
      <c r="B879" t="s">
        <v>21</v>
      </c>
      <c r="C879" t="s">
        <v>44</v>
      </c>
      <c r="D879">
        <v>14</v>
      </c>
      <c r="E879">
        <v>9</v>
      </c>
      <c r="F879">
        <v>0</v>
      </c>
      <c r="G879">
        <v>0</v>
      </c>
      <c r="H879">
        <v>23</v>
      </c>
      <c r="I879" s="1">
        <v>45017</v>
      </c>
      <c r="J879">
        <v>0</v>
      </c>
      <c r="K879" t="s">
        <v>26</v>
      </c>
    </row>
    <row r="880" spans="1:11">
      <c r="A880" s="1">
        <v>45071</v>
      </c>
      <c r="B880" t="s">
        <v>40</v>
      </c>
      <c r="C880" t="s">
        <v>37</v>
      </c>
      <c r="D880">
        <v>308</v>
      </c>
      <c r="E880">
        <v>37</v>
      </c>
      <c r="F880">
        <v>0</v>
      </c>
      <c r="G880">
        <v>0</v>
      </c>
      <c r="H880">
        <v>345</v>
      </c>
      <c r="I880" s="1">
        <v>45047</v>
      </c>
      <c r="J880">
        <v>0</v>
      </c>
      <c r="K880" t="s">
        <v>26</v>
      </c>
    </row>
    <row r="881" spans="1:11">
      <c r="A881" s="1">
        <v>45071</v>
      </c>
      <c r="B881" t="s">
        <v>40</v>
      </c>
      <c r="C881" t="s">
        <v>39</v>
      </c>
      <c r="D881">
        <v>107</v>
      </c>
      <c r="E881">
        <v>51</v>
      </c>
      <c r="F881">
        <v>0</v>
      </c>
      <c r="G881">
        <v>0</v>
      </c>
      <c r="H881">
        <v>158</v>
      </c>
      <c r="I881" s="1">
        <v>45047</v>
      </c>
      <c r="J881">
        <v>0</v>
      </c>
      <c r="K881" t="s">
        <v>26</v>
      </c>
    </row>
    <row r="882" spans="1:11">
      <c r="A882" s="1">
        <v>45071</v>
      </c>
      <c r="B882" t="s">
        <v>40</v>
      </c>
      <c r="C882" t="s">
        <v>32</v>
      </c>
      <c r="D882">
        <v>302</v>
      </c>
      <c r="E882">
        <v>30</v>
      </c>
      <c r="F882">
        <v>0</v>
      </c>
      <c r="G882">
        <v>0</v>
      </c>
      <c r="H882">
        <v>333</v>
      </c>
      <c r="I882" s="1">
        <v>45047</v>
      </c>
      <c r="J882">
        <v>0</v>
      </c>
      <c r="K882" t="s">
        <v>26</v>
      </c>
    </row>
    <row r="883" spans="1:11">
      <c r="A883" s="1">
        <v>45071</v>
      </c>
      <c r="B883" t="s">
        <v>40</v>
      </c>
      <c r="C883" t="s">
        <v>44</v>
      </c>
      <c r="D883">
        <v>202</v>
      </c>
      <c r="E883">
        <v>20</v>
      </c>
      <c r="F883">
        <v>0</v>
      </c>
      <c r="G883">
        <v>0</v>
      </c>
      <c r="H883">
        <v>222</v>
      </c>
      <c r="I883" s="1">
        <v>45047</v>
      </c>
      <c r="J883">
        <v>0</v>
      </c>
      <c r="K883" t="s">
        <v>26</v>
      </c>
    </row>
    <row r="884" spans="1:11">
      <c r="A884" s="1">
        <v>45071</v>
      </c>
      <c r="B884" t="s">
        <v>21</v>
      </c>
      <c r="C884" t="s">
        <v>43</v>
      </c>
      <c r="D884">
        <v>91</v>
      </c>
      <c r="E884">
        <v>4</v>
      </c>
      <c r="F884">
        <v>0</v>
      </c>
      <c r="G884">
        <v>0</v>
      </c>
      <c r="H884">
        <v>95</v>
      </c>
      <c r="I884" s="1">
        <v>45047</v>
      </c>
      <c r="J884">
        <v>0</v>
      </c>
      <c r="K884" t="s">
        <v>26</v>
      </c>
    </row>
    <row r="885" spans="1:11">
      <c r="A885" s="1">
        <v>45071</v>
      </c>
      <c r="B885" t="s">
        <v>21</v>
      </c>
      <c r="C885" t="s">
        <v>52</v>
      </c>
      <c r="D885">
        <v>75</v>
      </c>
      <c r="E885">
        <v>14</v>
      </c>
      <c r="F885">
        <v>0</v>
      </c>
      <c r="G885">
        <v>0</v>
      </c>
      <c r="H885">
        <v>89</v>
      </c>
      <c r="I885" s="1">
        <v>45047</v>
      </c>
      <c r="J885">
        <v>0</v>
      </c>
      <c r="K885" t="s">
        <v>26</v>
      </c>
    </row>
    <row r="886" spans="1:11">
      <c r="A886" s="1">
        <v>45071</v>
      </c>
      <c r="B886" t="s">
        <v>21</v>
      </c>
      <c r="C886" t="s">
        <v>53</v>
      </c>
      <c r="D886">
        <v>49</v>
      </c>
      <c r="E886">
        <v>6</v>
      </c>
      <c r="F886">
        <v>0</v>
      </c>
      <c r="G886">
        <v>0</v>
      </c>
      <c r="H886">
        <v>56</v>
      </c>
      <c r="I886" s="1">
        <v>45047</v>
      </c>
      <c r="J886">
        <v>0</v>
      </c>
      <c r="K886" t="s">
        <v>26</v>
      </c>
    </row>
    <row r="887" spans="1:11">
      <c r="A887" s="1">
        <v>45106</v>
      </c>
      <c r="B887" t="s">
        <v>40</v>
      </c>
      <c r="C887" t="s">
        <v>33</v>
      </c>
      <c r="D887">
        <v>84</v>
      </c>
      <c r="E887">
        <v>31</v>
      </c>
      <c r="F887">
        <v>0</v>
      </c>
      <c r="G887">
        <v>0</v>
      </c>
      <c r="H887">
        <v>115</v>
      </c>
      <c r="I887" s="1">
        <v>45078</v>
      </c>
      <c r="J887">
        <v>0</v>
      </c>
      <c r="K887" t="s">
        <v>26</v>
      </c>
    </row>
    <row r="888" spans="1:11">
      <c r="A888" s="1">
        <v>45106</v>
      </c>
      <c r="B888" t="s">
        <v>40</v>
      </c>
      <c r="C888" t="s">
        <v>37</v>
      </c>
      <c r="D888">
        <v>289</v>
      </c>
      <c r="E888">
        <v>17</v>
      </c>
      <c r="F888">
        <v>0</v>
      </c>
      <c r="G888">
        <v>0</v>
      </c>
      <c r="H888">
        <v>306</v>
      </c>
      <c r="I888" s="1">
        <v>45078</v>
      </c>
      <c r="J888">
        <v>0</v>
      </c>
      <c r="K888" t="s">
        <v>26</v>
      </c>
    </row>
    <row r="889" spans="1:11">
      <c r="A889" s="1">
        <v>45106</v>
      </c>
      <c r="B889" t="s">
        <v>40</v>
      </c>
      <c r="C889" t="s">
        <v>28</v>
      </c>
      <c r="D889">
        <v>248</v>
      </c>
      <c r="E889">
        <v>53</v>
      </c>
      <c r="F889">
        <v>0</v>
      </c>
      <c r="G889">
        <v>0</v>
      </c>
      <c r="H889">
        <v>301</v>
      </c>
      <c r="I889" s="1">
        <v>45078</v>
      </c>
      <c r="J889">
        <v>0</v>
      </c>
      <c r="K889" t="s">
        <v>26</v>
      </c>
    </row>
    <row r="890" spans="1:11">
      <c r="A890" s="1">
        <v>45106</v>
      </c>
      <c r="B890" t="s">
        <v>40</v>
      </c>
      <c r="C890" t="s">
        <v>35</v>
      </c>
      <c r="D890">
        <v>362</v>
      </c>
      <c r="E890">
        <v>4</v>
      </c>
      <c r="F890">
        <v>0</v>
      </c>
      <c r="G890">
        <v>0</v>
      </c>
      <c r="H890">
        <v>366</v>
      </c>
      <c r="I890" s="1">
        <v>45078</v>
      </c>
      <c r="J890">
        <v>0</v>
      </c>
      <c r="K890" t="s">
        <v>26</v>
      </c>
    </row>
    <row r="891" spans="1:11">
      <c r="A891" s="1">
        <v>45106</v>
      </c>
      <c r="B891" t="s">
        <v>40</v>
      </c>
      <c r="C891" t="s">
        <v>32</v>
      </c>
      <c r="D891">
        <v>325</v>
      </c>
      <c r="E891">
        <v>32</v>
      </c>
      <c r="F891">
        <v>0</v>
      </c>
      <c r="G891">
        <v>0</v>
      </c>
      <c r="H891">
        <v>357</v>
      </c>
      <c r="I891" s="1">
        <v>45078</v>
      </c>
      <c r="J891">
        <v>0</v>
      </c>
      <c r="K891" t="s">
        <v>26</v>
      </c>
    </row>
    <row r="892" spans="1:11">
      <c r="A892" s="1">
        <v>45106</v>
      </c>
      <c r="B892" t="s">
        <v>40</v>
      </c>
      <c r="C892" t="s">
        <v>44</v>
      </c>
      <c r="D892">
        <v>174</v>
      </c>
      <c r="E892">
        <v>26</v>
      </c>
      <c r="F892">
        <v>0</v>
      </c>
      <c r="G892">
        <v>0</v>
      </c>
      <c r="H892">
        <v>200</v>
      </c>
      <c r="I892" s="1">
        <v>45078</v>
      </c>
      <c r="J892">
        <v>0</v>
      </c>
      <c r="K892" t="s">
        <v>26</v>
      </c>
    </row>
    <row r="893" spans="1:11">
      <c r="A893" s="1">
        <v>45106</v>
      </c>
      <c r="B893" t="s">
        <v>21</v>
      </c>
      <c r="C893" t="s">
        <v>51</v>
      </c>
      <c r="D893">
        <v>24</v>
      </c>
      <c r="E893">
        <v>8</v>
      </c>
      <c r="F893">
        <v>0</v>
      </c>
      <c r="G893">
        <v>0</v>
      </c>
      <c r="H893">
        <v>31</v>
      </c>
      <c r="I893" s="1">
        <v>45078</v>
      </c>
      <c r="J893">
        <v>0</v>
      </c>
      <c r="K893" t="s">
        <v>26</v>
      </c>
    </row>
    <row r="894" spans="1:11">
      <c r="A894" s="1">
        <v>45106</v>
      </c>
      <c r="B894" t="s">
        <v>21</v>
      </c>
      <c r="C894" t="s">
        <v>43</v>
      </c>
      <c r="D894">
        <v>109</v>
      </c>
      <c r="E894">
        <v>4</v>
      </c>
      <c r="F894">
        <v>0</v>
      </c>
      <c r="G894">
        <v>0</v>
      </c>
      <c r="H894">
        <v>112</v>
      </c>
      <c r="I894" s="1">
        <v>45078</v>
      </c>
      <c r="J894">
        <v>0</v>
      </c>
      <c r="K894" t="s">
        <v>26</v>
      </c>
    </row>
    <row r="895" spans="1:11">
      <c r="A895" s="1">
        <v>45106</v>
      </c>
      <c r="B895" t="s">
        <v>21</v>
      </c>
      <c r="C895" t="s">
        <v>52</v>
      </c>
      <c r="D895">
        <v>67</v>
      </c>
      <c r="E895">
        <v>8</v>
      </c>
      <c r="F895">
        <v>0</v>
      </c>
      <c r="G895">
        <v>0</v>
      </c>
      <c r="H895">
        <v>74</v>
      </c>
      <c r="I895" s="1">
        <v>45078</v>
      </c>
      <c r="J895">
        <v>0</v>
      </c>
      <c r="K895" t="s">
        <v>26</v>
      </c>
    </row>
    <row r="896" spans="1:11">
      <c r="A896" s="1">
        <v>45106</v>
      </c>
      <c r="B896" t="s">
        <v>21</v>
      </c>
      <c r="C896" t="s">
        <v>53</v>
      </c>
      <c r="D896">
        <v>58</v>
      </c>
      <c r="E896">
        <v>6</v>
      </c>
      <c r="F896">
        <v>0</v>
      </c>
      <c r="G896">
        <v>0</v>
      </c>
      <c r="H896">
        <v>63</v>
      </c>
      <c r="I896" s="1">
        <v>45078</v>
      </c>
      <c r="J896">
        <v>0</v>
      </c>
      <c r="K896" t="s">
        <v>26</v>
      </c>
    </row>
    <row r="897" spans="1:11">
      <c r="A897" s="1">
        <v>45134</v>
      </c>
      <c r="B897" t="s">
        <v>40</v>
      </c>
      <c r="C897" t="s">
        <v>37</v>
      </c>
      <c r="D897">
        <v>323</v>
      </c>
      <c r="E897">
        <v>13</v>
      </c>
      <c r="F897">
        <v>0</v>
      </c>
      <c r="G897">
        <v>0</v>
      </c>
      <c r="H897">
        <v>336</v>
      </c>
      <c r="I897" s="1">
        <v>45108</v>
      </c>
      <c r="J897">
        <v>0</v>
      </c>
      <c r="K897" t="s">
        <v>26</v>
      </c>
    </row>
    <row r="898" spans="1:11">
      <c r="A898" s="1">
        <v>45134</v>
      </c>
      <c r="B898" t="s">
        <v>40</v>
      </c>
      <c r="C898" t="s">
        <v>35</v>
      </c>
      <c r="D898">
        <v>446</v>
      </c>
      <c r="E898">
        <v>18</v>
      </c>
      <c r="F898">
        <v>0</v>
      </c>
      <c r="G898">
        <v>0</v>
      </c>
      <c r="H898">
        <v>464</v>
      </c>
      <c r="I898" s="1">
        <v>45108</v>
      </c>
      <c r="J898">
        <v>0</v>
      </c>
      <c r="K898" t="s">
        <v>26</v>
      </c>
    </row>
    <row r="899" spans="1:11">
      <c r="A899" s="1">
        <v>45134</v>
      </c>
      <c r="B899" t="s">
        <v>40</v>
      </c>
      <c r="C899" t="s">
        <v>32</v>
      </c>
      <c r="D899">
        <v>354</v>
      </c>
      <c r="E899">
        <v>19</v>
      </c>
      <c r="F899">
        <v>0</v>
      </c>
      <c r="G899">
        <v>0</v>
      </c>
      <c r="H899">
        <v>373</v>
      </c>
      <c r="I899" s="1">
        <v>45108</v>
      </c>
      <c r="J899">
        <v>0</v>
      </c>
      <c r="K899" t="s">
        <v>26</v>
      </c>
    </row>
    <row r="900" spans="1:11">
      <c r="A900" s="1">
        <v>45134</v>
      </c>
      <c r="B900" t="s">
        <v>40</v>
      </c>
      <c r="C900" t="s">
        <v>44</v>
      </c>
      <c r="D900">
        <v>207</v>
      </c>
      <c r="E900">
        <v>6</v>
      </c>
      <c r="F900">
        <v>0</v>
      </c>
      <c r="G900">
        <v>0</v>
      </c>
      <c r="H900">
        <v>213</v>
      </c>
      <c r="I900" s="1">
        <v>45108</v>
      </c>
      <c r="J900">
        <v>0</v>
      </c>
      <c r="K900" t="s">
        <v>26</v>
      </c>
    </row>
    <row r="901" spans="1:11">
      <c r="A901" s="1">
        <v>45169</v>
      </c>
      <c r="B901" t="s">
        <v>40</v>
      </c>
      <c r="C901" t="s">
        <v>55</v>
      </c>
      <c r="D901">
        <v>731</v>
      </c>
      <c r="E901">
        <v>67</v>
      </c>
      <c r="F901">
        <v>0</v>
      </c>
      <c r="G901">
        <v>0</v>
      </c>
      <c r="H901">
        <v>798</v>
      </c>
      <c r="I901" s="1">
        <v>45139</v>
      </c>
      <c r="J901">
        <v>0</v>
      </c>
      <c r="K901" t="s">
        <v>26</v>
      </c>
    </row>
    <row r="902" spans="1:11">
      <c r="A902" s="1">
        <v>45169</v>
      </c>
      <c r="B902" t="s">
        <v>40</v>
      </c>
      <c r="C902" t="s">
        <v>37</v>
      </c>
      <c r="D902">
        <v>349</v>
      </c>
      <c r="E902">
        <v>20</v>
      </c>
      <c r="F902">
        <v>0</v>
      </c>
      <c r="G902">
        <v>0</v>
      </c>
      <c r="H902">
        <v>368</v>
      </c>
      <c r="I902" s="1">
        <v>45139</v>
      </c>
      <c r="J902">
        <v>0</v>
      </c>
      <c r="K902" t="s">
        <v>26</v>
      </c>
    </row>
    <row r="903" spans="1:11">
      <c r="A903" s="1">
        <v>45169</v>
      </c>
      <c r="B903" t="s">
        <v>40</v>
      </c>
      <c r="C903" t="s">
        <v>42</v>
      </c>
      <c r="D903">
        <v>366</v>
      </c>
      <c r="E903">
        <v>6</v>
      </c>
      <c r="F903">
        <v>0</v>
      </c>
      <c r="G903">
        <v>0</v>
      </c>
      <c r="H903">
        <v>371</v>
      </c>
      <c r="I903" s="1">
        <v>45139</v>
      </c>
      <c r="J903">
        <v>0</v>
      </c>
      <c r="K903" t="s">
        <v>26</v>
      </c>
    </row>
    <row r="904" spans="1:11">
      <c r="A904" s="1">
        <v>45169</v>
      </c>
      <c r="B904" t="s">
        <v>40</v>
      </c>
      <c r="C904" t="s">
        <v>35</v>
      </c>
      <c r="D904">
        <v>588</v>
      </c>
      <c r="E904">
        <v>39</v>
      </c>
      <c r="F904">
        <v>0</v>
      </c>
      <c r="G904">
        <v>0</v>
      </c>
      <c r="H904">
        <v>627</v>
      </c>
      <c r="I904" s="1">
        <v>45139</v>
      </c>
      <c r="J904">
        <v>0</v>
      </c>
      <c r="K904" t="s">
        <v>26</v>
      </c>
    </row>
    <row r="905" spans="1:11">
      <c r="A905" s="1">
        <v>45169</v>
      </c>
      <c r="B905" t="s">
        <v>40</v>
      </c>
      <c r="C905" t="s">
        <v>32</v>
      </c>
      <c r="D905">
        <v>338</v>
      </c>
      <c r="E905">
        <v>4</v>
      </c>
      <c r="F905">
        <v>0</v>
      </c>
      <c r="G905">
        <v>0</v>
      </c>
      <c r="H905">
        <v>341</v>
      </c>
      <c r="I905" s="1">
        <v>45139</v>
      </c>
      <c r="J905">
        <v>0</v>
      </c>
      <c r="K905" t="s">
        <v>26</v>
      </c>
    </row>
    <row r="906" spans="1:11">
      <c r="A906" s="1">
        <v>45169</v>
      </c>
      <c r="B906" t="s">
        <v>21</v>
      </c>
      <c r="C906" t="s">
        <v>25</v>
      </c>
      <c r="D906">
        <v>49</v>
      </c>
      <c r="E906">
        <v>22</v>
      </c>
      <c r="F906">
        <v>0</v>
      </c>
      <c r="G906">
        <v>0</v>
      </c>
      <c r="H906">
        <v>71</v>
      </c>
      <c r="I906" s="1">
        <v>45139</v>
      </c>
      <c r="J906">
        <v>0</v>
      </c>
      <c r="K906" t="s">
        <v>26</v>
      </c>
    </row>
    <row r="907" spans="1:11">
      <c r="A907" s="1">
        <v>45169</v>
      </c>
      <c r="B907" t="s">
        <v>21</v>
      </c>
      <c r="C907" t="s">
        <v>53</v>
      </c>
      <c r="D907">
        <v>63</v>
      </c>
      <c r="E907">
        <v>4</v>
      </c>
      <c r="F907">
        <v>0</v>
      </c>
      <c r="G907">
        <v>0</v>
      </c>
      <c r="H907">
        <v>67</v>
      </c>
      <c r="I907" s="1">
        <v>45139</v>
      </c>
      <c r="J907">
        <v>0</v>
      </c>
      <c r="K907" t="s">
        <v>26</v>
      </c>
    </row>
    <row r="908" spans="1:11">
      <c r="A908" s="1">
        <v>45197</v>
      </c>
      <c r="B908" t="s">
        <v>40</v>
      </c>
      <c r="C908" t="s">
        <v>55</v>
      </c>
      <c r="D908">
        <v>943</v>
      </c>
      <c r="E908">
        <v>10</v>
      </c>
      <c r="F908">
        <v>0</v>
      </c>
      <c r="G908">
        <v>0</v>
      </c>
      <c r="H908">
        <v>953</v>
      </c>
      <c r="I908" s="1">
        <v>45170</v>
      </c>
      <c r="J908">
        <v>0</v>
      </c>
      <c r="K908" t="s">
        <v>26</v>
      </c>
    </row>
    <row r="909" spans="1:11">
      <c r="A909" s="1">
        <v>45197</v>
      </c>
      <c r="B909" t="s">
        <v>40</v>
      </c>
      <c r="C909" t="s">
        <v>37</v>
      </c>
      <c r="D909">
        <v>349</v>
      </c>
      <c r="E909">
        <v>15</v>
      </c>
      <c r="F909">
        <v>0</v>
      </c>
      <c r="G909">
        <v>0</v>
      </c>
      <c r="H909">
        <v>364</v>
      </c>
      <c r="I909" s="1">
        <v>45170</v>
      </c>
      <c r="J909">
        <v>0</v>
      </c>
      <c r="K909" t="s">
        <v>26</v>
      </c>
    </row>
    <row r="910" spans="1:11">
      <c r="A910" s="1">
        <v>45197</v>
      </c>
      <c r="B910" t="s">
        <v>40</v>
      </c>
      <c r="C910" t="s">
        <v>28</v>
      </c>
      <c r="D910">
        <v>209</v>
      </c>
      <c r="E910">
        <v>63</v>
      </c>
      <c r="F910">
        <v>0</v>
      </c>
      <c r="G910">
        <v>0</v>
      </c>
      <c r="H910">
        <v>273</v>
      </c>
      <c r="I910" s="1">
        <v>45170</v>
      </c>
      <c r="J910">
        <v>0</v>
      </c>
      <c r="K910" t="s">
        <v>26</v>
      </c>
    </row>
    <row r="911" spans="1:11">
      <c r="A911" s="1">
        <v>45197</v>
      </c>
      <c r="B911" t="s">
        <v>40</v>
      </c>
      <c r="C911" t="s">
        <v>35</v>
      </c>
      <c r="D911">
        <v>553</v>
      </c>
      <c r="E911">
        <v>36</v>
      </c>
      <c r="F911">
        <v>0</v>
      </c>
      <c r="G911">
        <v>0</v>
      </c>
      <c r="H911">
        <v>590</v>
      </c>
      <c r="I911" s="1">
        <v>45170</v>
      </c>
      <c r="J911">
        <v>0</v>
      </c>
      <c r="K911" t="s">
        <v>26</v>
      </c>
    </row>
    <row r="912" spans="1:11">
      <c r="A912" s="1">
        <v>45197</v>
      </c>
      <c r="B912" t="s">
        <v>40</v>
      </c>
      <c r="C912" t="s">
        <v>52</v>
      </c>
      <c r="D912">
        <v>523</v>
      </c>
      <c r="E912">
        <v>41</v>
      </c>
      <c r="F912">
        <v>0</v>
      </c>
      <c r="G912">
        <v>0</v>
      </c>
      <c r="H912">
        <v>564</v>
      </c>
      <c r="I912" s="1">
        <v>45170</v>
      </c>
      <c r="J912">
        <v>0</v>
      </c>
      <c r="K912" t="s">
        <v>26</v>
      </c>
    </row>
    <row r="913" spans="1:11">
      <c r="A913" s="1">
        <v>45197</v>
      </c>
      <c r="B913" t="s">
        <v>40</v>
      </c>
      <c r="C913" t="s">
        <v>32</v>
      </c>
      <c r="D913">
        <v>370</v>
      </c>
      <c r="E913">
        <v>12</v>
      </c>
      <c r="F913">
        <v>0</v>
      </c>
      <c r="G913">
        <v>0</v>
      </c>
      <c r="H913">
        <v>382</v>
      </c>
      <c r="I913" s="1">
        <v>45170</v>
      </c>
      <c r="J913">
        <v>0</v>
      </c>
      <c r="K913" t="s">
        <v>26</v>
      </c>
    </row>
    <row r="914" spans="1:11">
      <c r="A914" s="1">
        <v>45197</v>
      </c>
      <c r="B914" t="s">
        <v>21</v>
      </c>
      <c r="C914" t="s">
        <v>49</v>
      </c>
      <c r="D914">
        <v>39</v>
      </c>
      <c r="E914">
        <v>9</v>
      </c>
      <c r="F914">
        <v>0</v>
      </c>
      <c r="G914">
        <v>0</v>
      </c>
      <c r="H914">
        <v>48</v>
      </c>
      <c r="I914" s="1">
        <v>45170</v>
      </c>
      <c r="J914">
        <v>0</v>
      </c>
      <c r="K914" t="s">
        <v>26</v>
      </c>
    </row>
    <row r="915" spans="1:11">
      <c r="A915" s="1">
        <v>45225</v>
      </c>
      <c r="B915" t="s">
        <v>40</v>
      </c>
      <c r="C915" t="s">
        <v>42</v>
      </c>
      <c r="D915">
        <v>355</v>
      </c>
      <c r="E915">
        <v>11</v>
      </c>
      <c r="F915">
        <v>0</v>
      </c>
      <c r="G915">
        <v>0</v>
      </c>
      <c r="H915">
        <v>366</v>
      </c>
      <c r="I915" s="1">
        <v>45200</v>
      </c>
      <c r="J915">
        <v>0</v>
      </c>
      <c r="K915" t="s">
        <v>26</v>
      </c>
    </row>
    <row r="916" spans="1:11">
      <c r="A916" s="1">
        <v>45225</v>
      </c>
      <c r="B916" t="s">
        <v>40</v>
      </c>
      <c r="C916" t="s">
        <v>39</v>
      </c>
      <c r="D916">
        <v>134</v>
      </c>
      <c r="E916">
        <v>9</v>
      </c>
      <c r="F916">
        <v>0</v>
      </c>
      <c r="G916">
        <v>0</v>
      </c>
      <c r="H916">
        <v>143</v>
      </c>
      <c r="I916" s="1">
        <v>45200</v>
      </c>
      <c r="J916">
        <v>0</v>
      </c>
      <c r="K916" t="s">
        <v>26</v>
      </c>
    </row>
    <row r="917" spans="1:11">
      <c r="A917" s="1">
        <v>45225</v>
      </c>
      <c r="B917" t="s">
        <v>40</v>
      </c>
      <c r="C917" t="s">
        <v>52</v>
      </c>
      <c r="D917">
        <v>627</v>
      </c>
      <c r="E917">
        <v>19</v>
      </c>
      <c r="F917">
        <v>0</v>
      </c>
      <c r="G917">
        <v>0</v>
      </c>
      <c r="H917">
        <v>646</v>
      </c>
      <c r="I917" s="1">
        <v>45200</v>
      </c>
      <c r="J917">
        <v>0</v>
      </c>
      <c r="K917" t="s">
        <v>26</v>
      </c>
    </row>
    <row r="918" spans="1:11">
      <c r="A918" s="1">
        <v>45225</v>
      </c>
      <c r="B918" t="s">
        <v>40</v>
      </c>
      <c r="C918" t="s">
        <v>32</v>
      </c>
      <c r="D918">
        <v>397</v>
      </c>
      <c r="E918">
        <v>20</v>
      </c>
      <c r="F918">
        <v>0</v>
      </c>
      <c r="G918">
        <v>0</v>
      </c>
      <c r="H918">
        <v>417</v>
      </c>
      <c r="I918" s="1">
        <v>45200</v>
      </c>
      <c r="J918">
        <v>0</v>
      </c>
      <c r="K918" t="s">
        <v>26</v>
      </c>
    </row>
    <row r="919" spans="1:11">
      <c r="A919" s="1">
        <v>45225</v>
      </c>
      <c r="B919" t="s">
        <v>40</v>
      </c>
      <c r="C919" t="s">
        <v>44</v>
      </c>
      <c r="D919">
        <v>163</v>
      </c>
      <c r="E919">
        <v>4</v>
      </c>
      <c r="F919">
        <v>0</v>
      </c>
      <c r="G919">
        <v>0</v>
      </c>
      <c r="H919">
        <v>167</v>
      </c>
      <c r="I919" s="1">
        <v>45200</v>
      </c>
      <c r="J919">
        <v>0</v>
      </c>
      <c r="K919" t="s">
        <v>26</v>
      </c>
    </row>
    <row r="920" spans="1:11">
      <c r="A920" s="1">
        <v>45225</v>
      </c>
      <c r="B920" t="s">
        <v>21</v>
      </c>
      <c r="C920" t="s">
        <v>52</v>
      </c>
      <c r="D920">
        <v>71</v>
      </c>
      <c r="E920">
        <v>13</v>
      </c>
      <c r="F920">
        <v>0</v>
      </c>
      <c r="G920">
        <v>0</v>
      </c>
      <c r="H920">
        <v>83</v>
      </c>
      <c r="I920" s="1">
        <v>45200</v>
      </c>
      <c r="J920">
        <v>0</v>
      </c>
      <c r="K920" t="s">
        <v>26</v>
      </c>
    </row>
    <row r="921" spans="1:11">
      <c r="A921" s="1">
        <v>45225</v>
      </c>
      <c r="B921" t="s">
        <v>21</v>
      </c>
      <c r="C921" t="s">
        <v>49</v>
      </c>
      <c r="D921">
        <v>33</v>
      </c>
      <c r="E921">
        <v>13</v>
      </c>
      <c r="F921">
        <v>0</v>
      </c>
      <c r="G921">
        <v>0</v>
      </c>
      <c r="H921">
        <v>46</v>
      </c>
      <c r="I921" s="1">
        <v>45200</v>
      </c>
      <c r="J921">
        <v>0</v>
      </c>
      <c r="K921" t="s">
        <v>26</v>
      </c>
    </row>
    <row r="922" spans="1:11">
      <c r="A922" s="1">
        <v>45260</v>
      </c>
      <c r="B922" t="s">
        <v>40</v>
      </c>
      <c r="C922" t="s">
        <v>55</v>
      </c>
      <c r="D922">
        <v>1066</v>
      </c>
      <c r="E922">
        <v>54</v>
      </c>
      <c r="F922">
        <v>0</v>
      </c>
      <c r="G922">
        <v>0</v>
      </c>
      <c r="H922">
        <v>1120</v>
      </c>
      <c r="I922" s="1">
        <v>45231</v>
      </c>
      <c r="J922">
        <v>0</v>
      </c>
      <c r="K922" t="s">
        <v>26</v>
      </c>
    </row>
    <row r="923" spans="1:11">
      <c r="A923" s="1">
        <v>45260</v>
      </c>
      <c r="B923" t="s">
        <v>40</v>
      </c>
      <c r="C923" t="s">
        <v>37</v>
      </c>
      <c r="D923">
        <v>441</v>
      </c>
      <c r="E923">
        <v>33</v>
      </c>
      <c r="F923">
        <v>0</v>
      </c>
      <c r="G923">
        <v>0</v>
      </c>
      <c r="H923">
        <v>474</v>
      </c>
      <c r="I923" s="1">
        <v>45231</v>
      </c>
      <c r="J923">
        <v>0</v>
      </c>
      <c r="K923" t="s">
        <v>26</v>
      </c>
    </row>
    <row r="924" spans="1:11">
      <c r="A924" s="1">
        <v>45260</v>
      </c>
      <c r="B924" t="s">
        <v>40</v>
      </c>
      <c r="C924" t="s">
        <v>42</v>
      </c>
      <c r="D924">
        <v>443</v>
      </c>
      <c r="E924">
        <v>25</v>
      </c>
      <c r="F924">
        <v>0</v>
      </c>
      <c r="G924">
        <v>0</v>
      </c>
      <c r="H924">
        <v>468</v>
      </c>
      <c r="I924" s="1">
        <v>45231</v>
      </c>
      <c r="J924">
        <v>0</v>
      </c>
      <c r="K924" t="s">
        <v>26</v>
      </c>
    </row>
    <row r="925" spans="1:11">
      <c r="A925" s="1">
        <v>45260</v>
      </c>
      <c r="B925" t="s">
        <v>40</v>
      </c>
      <c r="C925" t="s">
        <v>35</v>
      </c>
      <c r="D925">
        <v>637</v>
      </c>
      <c r="E925">
        <v>18</v>
      </c>
      <c r="F925">
        <v>0</v>
      </c>
      <c r="G925">
        <v>0</v>
      </c>
      <c r="H925">
        <v>655</v>
      </c>
      <c r="I925" s="1">
        <v>45231</v>
      </c>
      <c r="J925">
        <v>0</v>
      </c>
      <c r="K925" t="s">
        <v>26</v>
      </c>
    </row>
    <row r="926" spans="1:11">
      <c r="A926" s="1">
        <v>45260</v>
      </c>
      <c r="B926" t="s">
        <v>40</v>
      </c>
      <c r="C926" t="s">
        <v>52</v>
      </c>
      <c r="D926">
        <v>732</v>
      </c>
      <c r="E926">
        <v>75</v>
      </c>
      <c r="F926">
        <v>0</v>
      </c>
      <c r="G926">
        <v>0</v>
      </c>
      <c r="H926">
        <v>807</v>
      </c>
      <c r="I926" s="1">
        <v>45231</v>
      </c>
      <c r="J926">
        <v>0</v>
      </c>
      <c r="K926" t="s">
        <v>26</v>
      </c>
    </row>
    <row r="927" spans="1:11">
      <c r="A927" s="1">
        <v>45260</v>
      </c>
      <c r="B927" t="s">
        <v>40</v>
      </c>
      <c r="C927" t="s">
        <v>32</v>
      </c>
      <c r="D927">
        <v>392</v>
      </c>
      <c r="E927">
        <v>41</v>
      </c>
      <c r="F927">
        <v>0</v>
      </c>
      <c r="G927">
        <v>0</v>
      </c>
      <c r="H927">
        <v>433</v>
      </c>
      <c r="I927" s="1">
        <v>45231</v>
      </c>
      <c r="J927">
        <v>0</v>
      </c>
      <c r="K927" t="s">
        <v>26</v>
      </c>
    </row>
    <row r="928" spans="1:11">
      <c r="A928" s="1">
        <v>45260</v>
      </c>
      <c r="B928" t="s">
        <v>21</v>
      </c>
      <c r="C928" t="s">
        <v>46</v>
      </c>
      <c r="D928">
        <v>39</v>
      </c>
      <c r="E928">
        <v>4</v>
      </c>
      <c r="F928">
        <v>0</v>
      </c>
      <c r="G928">
        <v>0</v>
      </c>
      <c r="H928">
        <v>42</v>
      </c>
      <c r="I928" s="1">
        <v>45231</v>
      </c>
      <c r="J928">
        <v>0</v>
      </c>
      <c r="K928" t="s">
        <v>26</v>
      </c>
    </row>
    <row r="929" spans="1:11">
      <c r="A929" s="1">
        <v>45260</v>
      </c>
      <c r="B929" t="s">
        <v>21</v>
      </c>
      <c r="C929" t="s">
        <v>53</v>
      </c>
      <c r="D929">
        <v>66</v>
      </c>
      <c r="E929">
        <v>4</v>
      </c>
      <c r="F929">
        <v>0</v>
      </c>
      <c r="G929">
        <v>0</v>
      </c>
      <c r="H929">
        <v>70</v>
      </c>
      <c r="I929" s="1">
        <v>45231</v>
      </c>
      <c r="J929">
        <v>0</v>
      </c>
      <c r="K929" t="s">
        <v>26</v>
      </c>
    </row>
    <row r="930" spans="1:11">
      <c r="A930" s="1">
        <v>45260</v>
      </c>
      <c r="B930" t="s">
        <v>21</v>
      </c>
      <c r="C930" t="s">
        <v>49</v>
      </c>
      <c r="D930">
        <v>34</v>
      </c>
      <c r="E930">
        <v>13</v>
      </c>
      <c r="F930">
        <v>0</v>
      </c>
      <c r="G930">
        <v>0</v>
      </c>
      <c r="H930">
        <v>47</v>
      </c>
      <c r="I930" s="1">
        <v>45231</v>
      </c>
      <c r="J930">
        <v>0</v>
      </c>
      <c r="K930" t="s">
        <v>26</v>
      </c>
    </row>
    <row r="931" spans="1:11">
      <c r="A931" s="1">
        <v>45288</v>
      </c>
      <c r="B931" t="s">
        <v>40</v>
      </c>
      <c r="C931" t="s">
        <v>55</v>
      </c>
      <c r="D931">
        <v>1101</v>
      </c>
      <c r="E931">
        <v>88</v>
      </c>
      <c r="F931">
        <v>0</v>
      </c>
      <c r="G931">
        <v>0</v>
      </c>
      <c r="H931">
        <v>1189</v>
      </c>
      <c r="I931" s="1">
        <v>45261</v>
      </c>
      <c r="J931">
        <v>0</v>
      </c>
      <c r="K931" t="s">
        <v>26</v>
      </c>
    </row>
    <row r="932" spans="1:11">
      <c r="A932" s="1">
        <v>45288</v>
      </c>
      <c r="B932" t="s">
        <v>40</v>
      </c>
      <c r="C932" t="s">
        <v>37</v>
      </c>
      <c r="D932">
        <v>423</v>
      </c>
      <c r="E932">
        <v>9</v>
      </c>
      <c r="F932">
        <v>0</v>
      </c>
      <c r="G932">
        <v>0</v>
      </c>
      <c r="H932">
        <v>432</v>
      </c>
      <c r="I932" s="1">
        <v>45261</v>
      </c>
      <c r="J932">
        <v>0</v>
      </c>
      <c r="K932" t="s">
        <v>26</v>
      </c>
    </row>
    <row r="933" spans="1:11">
      <c r="A933" s="1">
        <v>45288</v>
      </c>
      <c r="B933" t="s">
        <v>40</v>
      </c>
      <c r="C933" t="s">
        <v>42</v>
      </c>
      <c r="D933">
        <v>372</v>
      </c>
      <c r="E933">
        <v>23</v>
      </c>
      <c r="F933">
        <v>0</v>
      </c>
      <c r="G933">
        <v>0</v>
      </c>
      <c r="H933">
        <v>395</v>
      </c>
      <c r="I933" s="1">
        <v>45261</v>
      </c>
      <c r="J933">
        <v>0</v>
      </c>
      <c r="K933" t="s">
        <v>26</v>
      </c>
    </row>
    <row r="934" spans="1:11">
      <c r="A934" s="1">
        <v>45288</v>
      </c>
      <c r="B934" t="s">
        <v>40</v>
      </c>
      <c r="C934" t="s">
        <v>51</v>
      </c>
      <c r="D934">
        <v>750</v>
      </c>
      <c r="E934">
        <v>263</v>
      </c>
      <c r="F934">
        <v>0</v>
      </c>
      <c r="G934">
        <v>0</v>
      </c>
      <c r="H934">
        <v>1013</v>
      </c>
      <c r="I934" s="1">
        <v>45261</v>
      </c>
      <c r="J934">
        <v>0</v>
      </c>
      <c r="K934" t="s">
        <v>26</v>
      </c>
    </row>
    <row r="935" spans="1:11">
      <c r="A935" s="1">
        <v>45288</v>
      </c>
      <c r="B935" t="s">
        <v>40</v>
      </c>
      <c r="C935" t="s">
        <v>43</v>
      </c>
      <c r="D935">
        <v>919</v>
      </c>
      <c r="E935">
        <v>166</v>
      </c>
      <c r="F935">
        <v>0</v>
      </c>
      <c r="G935">
        <v>0</v>
      </c>
      <c r="H935">
        <v>1085</v>
      </c>
      <c r="I935" s="1">
        <v>45261</v>
      </c>
      <c r="J935">
        <v>0</v>
      </c>
      <c r="K935" t="s">
        <v>26</v>
      </c>
    </row>
    <row r="936" spans="1:11">
      <c r="A936" s="1">
        <v>45288</v>
      </c>
      <c r="B936" t="s">
        <v>40</v>
      </c>
      <c r="C936" t="s">
        <v>39</v>
      </c>
      <c r="D936">
        <v>183</v>
      </c>
      <c r="E936">
        <v>11</v>
      </c>
      <c r="F936">
        <v>0</v>
      </c>
      <c r="G936">
        <v>0</v>
      </c>
      <c r="H936">
        <v>194</v>
      </c>
      <c r="I936" s="1">
        <v>45261</v>
      </c>
      <c r="J936">
        <v>0</v>
      </c>
      <c r="K936" t="s">
        <v>26</v>
      </c>
    </row>
    <row r="937" spans="1:11">
      <c r="A937" s="1">
        <v>45288</v>
      </c>
      <c r="B937" t="s">
        <v>40</v>
      </c>
      <c r="C937" t="s">
        <v>35</v>
      </c>
      <c r="D937">
        <v>680</v>
      </c>
      <c r="E937">
        <v>6</v>
      </c>
      <c r="F937">
        <v>0</v>
      </c>
      <c r="G937">
        <v>0</v>
      </c>
      <c r="H937">
        <v>686</v>
      </c>
      <c r="I937" s="1">
        <v>45261</v>
      </c>
      <c r="J937">
        <v>0</v>
      </c>
      <c r="K937" t="s">
        <v>26</v>
      </c>
    </row>
    <row r="938" spans="1:11">
      <c r="A938" s="1">
        <v>45288</v>
      </c>
      <c r="B938" t="s">
        <v>40</v>
      </c>
      <c r="C938" t="s">
        <v>52</v>
      </c>
      <c r="D938">
        <v>767</v>
      </c>
      <c r="E938">
        <v>70</v>
      </c>
      <c r="F938">
        <v>0</v>
      </c>
      <c r="G938">
        <v>0</v>
      </c>
      <c r="H938">
        <v>837</v>
      </c>
      <c r="I938" s="1">
        <v>45261</v>
      </c>
      <c r="J938">
        <v>0</v>
      </c>
      <c r="K938" t="s">
        <v>26</v>
      </c>
    </row>
    <row r="939" spans="1:11">
      <c r="A939" s="1">
        <v>45288</v>
      </c>
      <c r="B939" t="s">
        <v>40</v>
      </c>
      <c r="C939" t="s">
        <v>24</v>
      </c>
      <c r="D939">
        <v>741</v>
      </c>
      <c r="E939">
        <v>135</v>
      </c>
      <c r="F939">
        <v>0</v>
      </c>
      <c r="G939">
        <v>0</v>
      </c>
      <c r="H939">
        <v>876</v>
      </c>
      <c r="I939" s="1">
        <v>45261</v>
      </c>
      <c r="J939">
        <v>0</v>
      </c>
      <c r="K939" t="s">
        <v>26</v>
      </c>
    </row>
    <row r="940" spans="1:11">
      <c r="A940" s="1">
        <v>45288</v>
      </c>
      <c r="B940" t="s">
        <v>40</v>
      </c>
      <c r="C940" t="s">
        <v>32</v>
      </c>
      <c r="D940">
        <v>364</v>
      </c>
      <c r="E940">
        <v>42</v>
      </c>
      <c r="F940">
        <v>0</v>
      </c>
      <c r="G940">
        <v>0</v>
      </c>
      <c r="H940">
        <v>406</v>
      </c>
      <c r="I940" s="1">
        <v>45261</v>
      </c>
      <c r="J940">
        <v>0</v>
      </c>
      <c r="K940" t="s">
        <v>26</v>
      </c>
    </row>
    <row r="941" spans="1:11">
      <c r="A941" s="1">
        <v>45288</v>
      </c>
      <c r="B941" t="s">
        <v>21</v>
      </c>
      <c r="C941" t="s">
        <v>52</v>
      </c>
      <c r="D941">
        <v>107</v>
      </c>
      <c r="E941">
        <v>23</v>
      </c>
      <c r="F941">
        <v>0</v>
      </c>
      <c r="G941">
        <v>0</v>
      </c>
      <c r="H941">
        <v>130</v>
      </c>
      <c r="I941" s="1">
        <v>45261</v>
      </c>
      <c r="J941">
        <v>0</v>
      </c>
      <c r="K941" t="s">
        <v>26</v>
      </c>
    </row>
    <row r="942" spans="1:11">
      <c r="A942" s="1">
        <v>45288</v>
      </c>
      <c r="B942" t="s">
        <v>21</v>
      </c>
      <c r="C942" t="s">
        <v>53</v>
      </c>
      <c r="D942">
        <v>85</v>
      </c>
      <c r="E942">
        <v>8</v>
      </c>
      <c r="F942">
        <v>0</v>
      </c>
      <c r="G942">
        <v>0</v>
      </c>
      <c r="H942">
        <v>92</v>
      </c>
      <c r="I942" s="1">
        <v>45261</v>
      </c>
      <c r="J942">
        <v>0</v>
      </c>
      <c r="K942" t="s">
        <v>26</v>
      </c>
    </row>
    <row r="943" spans="1:11">
      <c r="A943" s="1">
        <v>45316</v>
      </c>
      <c r="B943" t="s">
        <v>40</v>
      </c>
      <c r="C943" t="s">
        <v>55</v>
      </c>
      <c r="D943">
        <v>985</v>
      </c>
      <c r="E943">
        <v>70</v>
      </c>
      <c r="F943">
        <v>0</v>
      </c>
      <c r="G943">
        <v>0</v>
      </c>
      <c r="H943">
        <v>1055</v>
      </c>
      <c r="I943" s="1">
        <v>45292</v>
      </c>
      <c r="J943">
        <v>0</v>
      </c>
      <c r="K943" t="s">
        <v>26</v>
      </c>
    </row>
    <row r="944" spans="1:11">
      <c r="A944" s="1">
        <v>45316</v>
      </c>
      <c r="B944" t="s">
        <v>40</v>
      </c>
      <c r="C944" t="s">
        <v>27</v>
      </c>
      <c r="D944">
        <v>353</v>
      </c>
      <c r="E944">
        <v>3</v>
      </c>
      <c r="F944">
        <v>0</v>
      </c>
      <c r="G944">
        <v>0</v>
      </c>
      <c r="H944">
        <v>356</v>
      </c>
      <c r="I944" s="1">
        <v>45292</v>
      </c>
      <c r="J944">
        <v>0</v>
      </c>
      <c r="K944" t="s">
        <v>26</v>
      </c>
    </row>
    <row r="945" spans="1:11">
      <c r="A945" s="1">
        <v>45316</v>
      </c>
      <c r="B945" t="s">
        <v>40</v>
      </c>
      <c r="C945" t="s">
        <v>37</v>
      </c>
      <c r="D945">
        <v>420</v>
      </c>
      <c r="E945">
        <v>23</v>
      </c>
      <c r="F945">
        <v>0</v>
      </c>
      <c r="G945">
        <v>0</v>
      </c>
      <c r="H945">
        <v>443</v>
      </c>
      <c r="I945" s="1">
        <v>45292</v>
      </c>
      <c r="J945">
        <v>0</v>
      </c>
      <c r="K945" t="s">
        <v>26</v>
      </c>
    </row>
    <row r="946" spans="1:11">
      <c r="A946" s="1">
        <v>45316</v>
      </c>
      <c r="B946" t="s">
        <v>40</v>
      </c>
      <c r="C946" t="s">
        <v>42</v>
      </c>
      <c r="D946">
        <v>403</v>
      </c>
      <c r="E946">
        <v>26</v>
      </c>
      <c r="F946">
        <v>0</v>
      </c>
      <c r="G946">
        <v>0</v>
      </c>
      <c r="H946">
        <v>429</v>
      </c>
      <c r="I946" s="1">
        <v>45292</v>
      </c>
      <c r="J946">
        <v>0</v>
      </c>
      <c r="K946" t="s">
        <v>26</v>
      </c>
    </row>
    <row r="947" spans="1:11">
      <c r="A947" s="1">
        <v>45316</v>
      </c>
      <c r="B947" t="s">
        <v>40</v>
      </c>
      <c r="C947" t="s">
        <v>39</v>
      </c>
      <c r="D947">
        <v>199</v>
      </c>
      <c r="E947">
        <v>17</v>
      </c>
      <c r="F947">
        <v>0</v>
      </c>
      <c r="G947">
        <v>0</v>
      </c>
      <c r="H947">
        <v>216</v>
      </c>
      <c r="I947" s="1">
        <v>45292</v>
      </c>
      <c r="J947">
        <v>0</v>
      </c>
      <c r="K947" t="s">
        <v>26</v>
      </c>
    </row>
    <row r="948" spans="1:11">
      <c r="A948" s="1">
        <v>45316</v>
      </c>
      <c r="B948" t="s">
        <v>40</v>
      </c>
      <c r="C948" t="s">
        <v>35</v>
      </c>
      <c r="D948">
        <v>772</v>
      </c>
      <c r="E948">
        <v>45</v>
      </c>
      <c r="F948">
        <v>0</v>
      </c>
      <c r="G948">
        <v>0</v>
      </c>
      <c r="H948">
        <v>817</v>
      </c>
      <c r="I948" s="1">
        <v>45292</v>
      </c>
      <c r="J948">
        <v>0</v>
      </c>
      <c r="K948" t="s">
        <v>26</v>
      </c>
    </row>
    <row r="949" spans="1:11">
      <c r="A949" s="1">
        <v>45316</v>
      </c>
      <c r="B949" t="s">
        <v>40</v>
      </c>
      <c r="C949" t="s">
        <v>52</v>
      </c>
      <c r="D949">
        <v>739</v>
      </c>
      <c r="E949">
        <v>89</v>
      </c>
      <c r="F949">
        <v>0</v>
      </c>
      <c r="G949">
        <v>0</v>
      </c>
      <c r="H949">
        <v>828</v>
      </c>
      <c r="I949" s="1">
        <v>45292</v>
      </c>
      <c r="J949">
        <v>0</v>
      </c>
      <c r="K949" t="s">
        <v>26</v>
      </c>
    </row>
    <row r="950" spans="1:11">
      <c r="A950" s="1">
        <v>45316</v>
      </c>
      <c r="B950" t="s">
        <v>40</v>
      </c>
      <c r="C950" t="s">
        <v>24</v>
      </c>
      <c r="D950">
        <v>623</v>
      </c>
      <c r="E950">
        <v>153</v>
      </c>
      <c r="F950">
        <v>0</v>
      </c>
      <c r="G950">
        <v>0</v>
      </c>
      <c r="H950">
        <v>776</v>
      </c>
      <c r="I950" s="1">
        <v>45292</v>
      </c>
      <c r="J950">
        <v>0</v>
      </c>
      <c r="K950" t="s">
        <v>26</v>
      </c>
    </row>
    <row r="951" spans="1:11">
      <c r="A951" s="1">
        <v>45316</v>
      </c>
      <c r="B951" t="s">
        <v>40</v>
      </c>
      <c r="C951" t="s">
        <v>32</v>
      </c>
      <c r="D951">
        <v>374</v>
      </c>
      <c r="E951">
        <v>46</v>
      </c>
      <c r="F951">
        <v>0</v>
      </c>
      <c r="G951">
        <v>0</v>
      </c>
      <c r="H951">
        <v>420</v>
      </c>
      <c r="I951" s="1">
        <v>45292</v>
      </c>
      <c r="J951">
        <v>0</v>
      </c>
      <c r="K951" t="s">
        <v>26</v>
      </c>
    </row>
    <row r="952" spans="1:11">
      <c r="A952" s="1">
        <v>45316</v>
      </c>
      <c r="B952" t="s">
        <v>21</v>
      </c>
      <c r="C952" t="s">
        <v>48</v>
      </c>
      <c r="D952">
        <v>7</v>
      </c>
      <c r="E952">
        <v>6</v>
      </c>
      <c r="F952">
        <v>0</v>
      </c>
      <c r="G952">
        <v>0</v>
      </c>
      <c r="H952">
        <v>13</v>
      </c>
      <c r="I952" s="1">
        <v>45292</v>
      </c>
      <c r="J952">
        <v>0</v>
      </c>
      <c r="K952" t="s">
        <v>26</v>
      </c>
    </row>
    <row r="953" spans="1:11">
      <c r="A953" s="1">
        <v>45316</v>
      </c>
      <c r="B953" t="s">
        <v>21</v>
      </c>
      <c r="C953" t="s">
        <v>51</v>
      </c>
      <c r="D953">
        <v>23</v>
      </c>
      <c r="E953">
        <v>7</v>
      </c>
      <c r="F953">
        <v>0</v>
      </c>
      <c r="G953">
        <v>0</v>
      </c>
      <c r="H953">
        <v>30</v>
      </c>
      <c r="I953" s="1">
        <v>45292</v>
      </c>
      <c r="J953">
        <v>0</v>
      </c>
      <c r="K953" t="s">
        <v>26</v>
      </c>
    </row>
    <row r="954" spans="1:11">
      <c r="A954" s="1">
        <v>45316</v>
      </c>
      <c r="B954" t="s">
        <v>21</v>
      </c>
      <c r="C954" t="s">
        <v>43</v>
      </c>
      <c r="D954">
        <v>220</v>
      </c>
      <c r="E954">
        <v>8</v>
      </c>
      <c r="F954">
        <v>0</v>
      </c>
      <c r="G954">
        <v>0</v>
      </c>
      <c r="H954">
        <v>227</v>
      </c>
      <c r="I954" s="1">
        <v>45292</v>
      </c>
      <c r="J954">
        <v>0</v>
      </c>
      <c r="K954" t="s">
        <v>26</v>
      </c>
    </row>
    <row r="955" spans="1:11">
      <c r="A955" s="1">
        <v>45316</v>
      </c>
      <c r="B955" t="s">
        <v>21</v>
      </c>
      <c r="C955" t="s">
        <v>52</v>
      </c>
      <c r="D955">
        <v>93</v>
      </c>
      <c r="E955">
        <v>20</v>
      </c>
      <c r="F955">
        <v>0</v>
      </c>
      <c r="G955">
        <v>0</v>
      </c>
      <c r="H955">
        <v>113</v>
      </c>
      <c r="I955" s="1">
        <v>45292</v>
      </c>
      <c r="J955">
        <v>0</v>
      </c>
      <c r="K955" t="s">
        <v>26</v>
      </c>
    </row>
    <row r="956" spans="1:11">
      <c r="A956" s="1">
        <v>45351</v>
      </c>
      <c r="B956" t="s">
        <v>40</v>
      </c>
      <c r="C956" t="s">
        <v>41</v>
      </c>
      <c r="D956">
        <v>515</v>
      </c>
      <c r="E956">
        <v>17</v>
      </c>
      <c r="F956">
        <v>0</v>
      </c>
      <c r="G956">
        <v>0</v>
      </c>
      <c r="H956">
        <v>532</v>
      </c>
      <c r="I956" s="1">
        <v>45323</v>
      </c>
      <c r="J956">
        <v>0</v>
      </c>
      <c r="K956" t="s">
        <v>26</v>
      </c>
    </row>
    <row r="957" spans="1:11">
      <c r="A957" s="1">
        <v>45351</v>
      </c>
      <c r="B957" t="s">
        <v>40</v>
      </c>
      <c r="C957" t="s">
        <v>55</v>
      </c>
      <c r="D957">
        <v>1089</v>
      </c>
      <c r="E957">
        <v>142</v>
      </c>
      <c r="F957">
        <v>0</v>
      </c>
      <c r="G957">
        <v>0</v>
      </c>
      <c r="H957">
        <v>1231</v>
      </c>
      <c r="I957" s="1">
        <v>45323</v>
      </c>
      <c r="J957">
        <v>0</v>
      </c>
      <c r="K957" t="s">
        <v>26</v>
      </c>
    </row>
    <row r="958" spans="1:11">
      <c r="A958" s="1">
        <v>45351</v>
      </c>
      <c r="B958" t="s">
        <v>40</v>
      </c>
      <c r="C958" t="s">
        <v>37</v>
      </c>
      <c r="D958">
        <v>434</v>
      </c>
      <c r="E958">
        <v>38</v>
      </c>
      <c r="F958">
        <v>0</v>
      </c>
      <c r="G958">
        <v>0</v>
      </c>
      <c r="H958">
        <v>471</v>
      </c>
      <c r="I958" s="1">
        <v>45323</v>
      </c>
      <c r="J958">
        <v>0</v>
      </c>
      <c r="K958" t="s">
        <v>26</v>
      </c>
    </row>
    <row r="959" spans="1:11">
      <c r="A959" s="1">
        <v>45351</v>
      </c>
      <c r="B959" t="s">
        <v>40</v>
      </c>
      <c r="C959" t="s">
        <v>42</v>
      </c>
      <c r="D959">
        <v>420</v>
      </c>
      <c r="E959">
        <v>31</v>
      </c>
      <c r="F959">
        <v>0</v>
      </c>
      <c r="G959">
        <v>0</v>
      </c>
      <c r="H959">
        <v>451</v>
      </c>
      <c r="I959" s="1">
        <v>45323</v>
      </c>
      <c r="J959">
        <v>0</v>
      </c>
      <c r="K959" t="s">
        <v>26</v>
      </c>
    </row>
    <row r="960" spans="1:11">
      <c r="A960" s="1">
        <v>45351</v>
      </c>
      <c r="B960" t="s">
        <v>40</v>
      </c>
      <c r="C960" t="s">
        <v>39</v>
      </c>
      <c r="D960">
        <v>178</v>
      </c>
      <c r="E960">
        <v>35</v>
      </c>
      <c r="F960">
        <v>0</v>
      </c>
      <c r="G960">
        <v>0</v>
      </c>
      <c r="H960">
        <v>213</v>
      </c>
      <c r="I960" s="1">
        <v>45323</v>
      </c>
      <c r="J960">
        <v>0</v>
      </c>
      <c r="K960" t="s">
        <v>26</v>
      </c>
    </row>
    <row r="961" spans="1:11">
      <c r="A961" s="1">
        <v>45351</v>
      </c>
      <c r="B961" t="s">
        <v>40</v>
      </c>
      <c r="C961" t="s">
        <v>35</v>
      </c>
      <c r="D961">
        <v>629</v>
      </c>
      <c r="E961">
        <v>168</v>
      </c>
      <c r="F961">
        <v>0</v>
      </c>
      <c r="G961">
        <v>0</v>
      </c>
      <c r="H961">
        <v>797</v>
      </c>
      <c r="I961" s="1">
        <v>45323</v>
      </c>
      <c r="J961">
        <v>0</v>
      </c>
      <c r="K961" t="s">
        <v>26</v>
      </c>
    </row>
    <row r="962" spans="1:11">
      <c r="A962" s="1">
        <v>45351</v>
      </c>
      <c r="B962" t="s">
        <v>40</v>
      </c>
      <c r="C962" t="s">
        <v>52</v>
      </c>
      <c r="D962">
        <v>712</v>
      </c>
      <c r="E962">
        <v>115</v>
      </c>
      <c r="F962">
        <v>0</v>
      </c>
      <c r="G962">
        <v>0</v>
      </c>
      <c r="H962">
        <v>827</v>
      </c>
      <c r="I962" s="1">
        <v>45323</v>
      </c>
      <c r="J962">
        <v>0</v>
      </c>
      <c r="K962" t="s">
        <v>26</v>
      </c>
    </row>
    <row r="963" spans="1:11">
      <c r="A963" s="1">
        <v>45351</v>
      </c>
      <c r="B963" t="s">
        <v>40</v>
      </c>
      <c r="C963" t="s">
        <v>24</v>
      </c>
      <c r="D963">
        <v>552</v>
      </c>
      <c r="E963">
        <v>139</v>
      </c>
      <c r="F963">
        <v>0</v>
      </c>
      <c r="G963">
        <v>0</v>
      </c>
      <c r="H963">
        <v>691</v>
      </c>
      <c r="I963" s="1">
        <v>45323</v>
      </c>
      <c r="J963">
        <v>0</v>
      </c>
      <c r="K963" t="s">
        <v>26</v>
      </c>
    </row>
    <row r="964" spans="1:11">
      <c r="A964" s="1">
        <v>45351</v>
      </c>
      <c r="B964" t="s">
        <v>40</v>
      </c>
      <c r="C964" t="s">
        <v>32</v>
      </c>
      <c r="D964">
        <v>380</v>
      </c>
      <c r="E964">
        <v>32</v>
      </c>
      <c r="F964">
        <v>0</v>
      </c>
      <c r="G964">
        <v>0</v>
      </c>
      <c r="H964">
        <v>412</v>
      </c>
      <c r="I964" s="1">
        <v>45323</v>
      </c>
      <c r="J964">
        <v>0</v>
      </c>
      <c r="K964" t="s">
        <v>26</v>
      </c>
    </row>
    <row r="965" spans="1:11">
      <c r="A965" s="1">
        <v>45351</v>
      </c>
      <c r="B965" t="s">
        <v>21</v>
      </c>
      <c r="C965" t="s">
        <v>48</v>
      </c>
      <c r="D965">
        <v>9</v>
      </c>
      <c r="E965">
        <v>5</v>
      </c>
      <c r="F965">
        <v>0</v>
      </c>
      <c r="G965">
        <v>0</v>
      </c>
      <c r="H965">
        <v>14</v>
      </c>
      <c r="I965" s="1">
        <v>45323</v>
      </c>
      <c r="J965">
        <v>0</v>
      </c>
      <c r="K965" t="s">
        <v>26</v>
      </c>
    </row>
    <row r="966" spans="1:11">
      <c r="A966" s="1">
        <v>45351</v>
      </c>
      <c r="B966" t="s">
        <v>21</v>
      </c>
      <c r="C966" t="s">
        <v>51</v>
      </c>
      <c r="D966">
        <v>22</v>
      </c>
      <c r="E966">
        <v>9</v>
      </c>
      <c r="F966">
        <v>0</v>
      </c>
      <c r="G966">
        <v>0</v>
      </c>
      <c r="H966">
        <v>31</v>
      </c>
      <c r="I966" s="1">
        <v>45323</v>
      </c>
      <c r="J966">
        <v>0</v>
      </c>
      <c r="K966" t="s">
        <v>26</v>
      </c>
    </row>
    <row r="967" spans="1:11">
      <c r="A967" s="1">
        <v>45351</v>
      </c>
      <c r="B967" t="s">
        <v>21</v>
      </c>
      <c r="C967" t="s">
        <v>43</v>
      </c>
      <c r="D967">
        <v>268</v>
      </c>
      <c r="E967">
        <v>20</v>
      </c>
      <c r="F967">
        <v>0</v>
      </c>
      <c r="G967">
        <v>0</v>
      </c>
      <c r="H967">
        <v>288</v>
      </c>
      <c r="I967" s="1">
        <v>45323</v>
      </c>
      <c r="J967">
        <v>0</v>
      </c>
      <c r="K967" t="s">
        <v>26</v>
      </c>
    </row>
    <row r="968" spans="1:11">
      <c r="A968" s="1">
        <v>45351</v>
      </c>
      <c r="B968" t="s">
        <v>21</v>
      </c>
      <c r="C968" t="s">
        <v>52</v>
      </c>
      <c r="D968">
        <v>106</v>
      </c>
      <c r="E968">
        <v>37</v>
      </c>
      <c r="F968">
        <v>0</v>
      </c>
      <c r="G968">
        <v>0</v>
      </c>
      <c r="H968">
        <v>142</v>
      </c>
      <c r="I968" s="1">
        <v>45323</v>
      </c>
      <c r="J968">
        <v>0</v>
      </c>
      <c r="K968" t="s">
        <v>26</v>
      </c>
    </row>
    <row r="969" spans="1:11">
      <c r="A969" s="1">
        <v>45351</v>
      </c>
      <c r="B969" t="s">
        <v>21</v>
      </c>
      <c r="C969" t="s">
        <v>49</v>
      </c>
      <c r="D969">
        <v>25</v>
      </c>
      <c r="E969">
        <v>10</v>
      </c>
      <c r="F969">
        <v>0</v>
      </c>
      <c r="G969">
        <v>0</v>
      </c>
      <c r="H969">
        <v>35</v>
      </c>
      <c r="I969" s="1">
        <v>45323</v>
      </c>
      <c r="J969">
        <v>0</v>
      </c>
      <c r="K969" t="s">
        <v>26</v>
      </c>
    </row>
    <row r="970" spans="1:11">
      <c r="A970" s="1">
        <v>45379</v>
      </c>
      <c r="B970" t="s">
        <v>40</v>
      </c>
      <c r="C970" t="s">
        <v>41</v>
      </c>
      <c r="D970">
        <v>202</v>
      </c>
      <c r="E970">
        <v>10</v>
      </c>
      <c r="F970">
        <v>0</v>
      </c>
      <c r="G970">
        <v>0</v>
      </c>
      <c r="H970">
        <v>212</v>
      </c>
      <c r="I970" s="1">
        <v>45352</v>
      </c>
      <c r="J970">
        <v>0</v>
      </c>
      <c r="K970" t="s">
        <v>26</v>
      </c>
    </row>
    <row r="971" spans="1:11">
      <c r="A971" s="1">
        <v>45379</v>
      </c>
      <c r="B971" t="s">
        <v>40</v>
      </c>
      <c r="C971" t="s">
        <v>55</v>
      </c>
      <c r="D971">
        <v>1085</v>
      </c>
      <c r="E971">
        <v>242</v>
      </c>
      <c r="F971">
        <v>0</v>
      </c>
      <c r="G971">
        <v>0</v>
      </c>
      <c r="H971">
        <v>1327</v>
      </c>
      <c r="I971" s="1">
        <v>45352</v>
      </c>
      <c r="J971">
        <v>0</v>
      </c>
      <c r="K971" t="s">
        <v>26</v>
      </c>
    </row>
    <row r="972" spans="1:11">
      <c r="A972" s="1">
        <v>45379</v>
      </c>
      <c r="B972" t="s">
        <v>40</v>
      </c>
      <c r="C972" t="s">
        <v>27</v>
      </c>
      <c r="D972">
        <v>591</v>
      </c>
      <c r="E972">
        <v>3</v>
      </c>
      <c r="F972">
        <v>0</v>
      </c>
      <c r="G972">
        <v>0</v>
      </c>
      <c r="H972">
        <v>594</v>
      </c>
      <c r="I972" s="1">
        <v>45352</v>
      </c>
      <c r="J972">
        <v>0</v>
      </c>
      <c r="K972" t="s">
        <v>26</v>
      </c>
    </row>
    <row r="973" spans="1:11">
      <c r="A973" s="1">
        <v>45379</v>
      </c>
      <c r="B973" t="s">
        <v>40</v>
      </c>
      <c r="C973" t="s">
        <v>42</v>
      </c>
      <c r="D973">
        <v>503</v>
      </c>
      <c r="E973">
        <v>21</v>
      </c>
      <c r="F973">
        <v>0</v>
      </c>
      <c r="G973">
        <v>0</v>
      </c>
      <c r="H973">
        <v>524</v>
      </c>
      <c r="I973" s="1">
        <v>45352</v>
      </c>
      <c r="J973">
        <v>0</v>
      </c>
      <c r="K973" t="s">
        <v>26</v>
      </c>
    </row>
    <row r="974" spans="1:11">
      <c r="A974" s="1">
        <v>45379</v>
      </c>
      <c r="B974" t="s">
        <v>40</v>
      </c>
      <c r="C974" t="s">
        <v>39</v>
      </c>
      <c r="D974">
        <v>212</v>
      </c>
      <c r="E974">
        <v>44</v>
      </c>
      <c r="F974">
        <v>0</v>
      </c>
      <c r="G974">
        <v>0</v>
      </c>
      <c r="H974">
        <v>256</v>
      </c>
      <c r="I974" s="1">
        <v>45352</v>
      </c>
      <c r="J974">
        <v>0</v>
      </c>
      <c r="K974" t="s">
        <v>26</v>
      </c>
    </row>
    <row r="975" spans="1:11">
      <c r="A975" s="1">
        <v>45379</v>
      </c>
      <c r="B975" t="s">
        <v>40</v>
      </c>
      <c r="C975" t="s">
        <v>52</v>
      </c>
      <c r="D975">
        <v>702</v>
      </c>
      <c r="E975">
        <v>171</v>
      </c>
      <c r="F975">
        <v>0</v>
      </c>
      <c r="G975">
        <v>0</v>
      </c>
      <c r="H975">
        <v>873</v>
      </c>
      <c r="I975" s="1">
        <v>45352</v>
      </c>
      <c r="J975">
        <v>0</v>
      </c>
      <c r="K975" t="s">
        <v>26</v>
      </c>
    </row>
    <row r="976" spans="1:11">
      <c r="A976" s="1">
        <v>45379</v>
      </c>
      <c r="B976" t="s">
        <v>40</v>
      </c>
      <c r="C976" t="s">
        <v>32</v>
      </c>
      <c r="D976">
        <v>317</v>
      </c>
      <c r="E976">
        <v>45</v>
      </c>
      <c r="F976">
        <v>0</v>
      </c>
      <c r="G976">
        <v>0</v>
      </c>
      <c r="H976">
        <v>362</v>
      </c>
      <c r="I976" s="1">
        <v>45352</v>
      </c>
      <c r="J976">
        <v>0</v>
      </c>
      <c r="K976" t="s">
        <v>26</v>
      </c>
    </row>
    <row r="977" spans="1:11">
      <c r="A977" s="1">
        <v>45379</v>
      </c>
      <c r="B977" t="s">
        <v>40</v>
      </c>
      <c r="C977" t="s">
        <v>44</v>
      </c>
      <c r="D977">
        <v>362</v>
      </c>
      <c r="E977">
        <v>9</v>
      </c>
      <c r="F977">
        <v>0</v>
      </c>
      <c r="G977">
        <v>0</v>
      </c>
      <c r="H977">
        <v>371</v>
      </c>
      <c r="I977" s="1">
        <v>45352</v>
      </c>
      <c r="J977">
        <v>0</v>
      </c>
      <c r="K977" t="s">
        <v>26</v>
      </c>
    </row>
    <row r="978" spans="1:11">
      <c r="A978" s="1">
        <v>45379</v>
      </c>
      <c r="B978" t="s">
        <v>21</v>
      </c>
      <c r="C978" t="s">
        <v>48</v>
      </c>
      <c r="D978">
        <v>10</v>
      </c>
      <c r="E978">
        <v>5</v>
      </c>
      <c r="F978">
        <v>0</v>
      </c>
      <c r="G978">
        <v>0</v>
      </c>
      <c r="H978">
        <v>15</v>
      </c>
      <c r="I978" s="1">
        <v>45352</v>
      </c>
      <c r="J978">
        <v>0</v>
      </c>
      <c r="K978" t="s">
        <v>26</v>
      </c>
    </row>
    <row r="979" spans="1:11">
      <c r="A979" s="1">
        <v>45379</v>
      </c>
      <c r="B979" t="s">
        <v>21</v>
      </c>
      <c r="C979" t="s">
        <v>51</v>
      </c>
      <c r="D979">
        <v>32</v>
      </c>
      <c r="E979">
        <v>6</v>
      </c>
      <c r="F979">
        <v>0</v>
      </c>
      <c r="G979">
        <v>0</v>
      </c>
      <c r="H979">
        <v>38</v>
      </c>
      <c r="I979" s="1">
        <v>45352</v>
      </c>
      <c r="J979">
        <v>0</v>
      </c>
      <c r="K979" t="s">
        <v>26</v>
      </c>
    </row>
    <row r="980" spans="1:11">
      <c r="A980" s="1">
        <v>45379</v>
      </c>
      <c r="B980" t="s">
        <v>21</v>
      </c>
      <c r="C980" t="s">
        <v>43</v>
      </c>
      <c r="D980">
        <v>273</v>
      </c>
      <c r="E980">
        <v>32</v>
      </c>
      <c r="F980">
        <v>0</v>
      </c>
      <c r="G980">
        <v>0</v>
      </c>
      <c r="H980">
        <v>305</v>
      </c>
      <c r="I980" s="1">
        <v>45352</v>
      </c>
      <c r="J980">
        <v>0</v>
      </c>
      <c r="K980" t="s">
        <v>26</v>
      </c>
    </row>
    <row r="981" spans="1:11">
      <c r="A981" s="1">
        <v>45379</v>
      </c>
      <c r="B981" t="s">
        <v>21</v>
      </c>
      <c r="C981" t="s">
        <v>52</v>
      </c>
      <c r="D981">
        <v>100</v>
      </c>
      <c r="E981">
        <v>14</v>
      </c>
      <c r="F981">
        <v>0</v>
      </c>
      <c r="G981">
        <v>0</v>
      </c>
      <c r="H981">
        <v>114</v>
      </c>
      <c r="I981" s="1">
        <v>45352</v>
      </c>
      <c r="J981">
        <v>0</v>
      </c>
      <c r="K981" t="s">
        <v>26</v>
      </c>
    </row>
    <row r="982" spans="1:11">
      <c r="A982" s="1">
        <v>45379</v>
      </c>
      <c r="B982" t="s">
        <v>21</v>
      </c>
      <c r="C982" t="s">
        <v>46</v>
      </c>
      <c r="D982">
        <v>35</v>
      </c>
      <c r="E982">
        <v>3</v>
      </c>
      <c r="F982">
        <v>0</v>
      </c>
      <c r="G982">
        <v>0</v>
      </c>
      <c r="H982">
        <v>38</v>
      </c>
      <c r="I982" s="1">
        <v>45352</v>
      </c>
      <c r="J982">
        <v>0</v>
      </c>
      <c r="K982" t="s">
        <v>26</v>
      </c>
    </row>
    <row r="983" spans="1:11">
      <c r="A983" s="1">
        <v>45379</v>
      </c>
      <c r="B983" t="s">
        <v>21</v>
      </c>
      <c r="C983" t="s">
        <v>49</v>
      </c>
      <c r="D983">
        <v>17</v>
      </c>
      <c r="E983">
        <v>4</v>
      </c>
      <c r="F983">
        <v>0</v>
      </c>
      <c r="G983">
        <v>0</v>
      </c>
      <c r="H983">
        <v>21</v>
      </c>
      <c r="I983" s="1">
        <v>45352</v>
      </c>
      <c r="J983">
        <v>0</v>
      </c>
      <c r="K983" t="s">
        <v>26</v>
      </c>
    </row>
    <row r="984" spans="1:11">
      <c r="A984" s="1">
        <v>45407</v>
      </c>
      <c r="B984" t="s">
        <v>40</v>
      </c>
      <c r="C984" t="s">
        <v>41</v>
      </c>
      <c r="D984">
        <v>188</v>
      </c>
      <c r="E984">
        <v>12</v>
      </c>
      <c r="F984">
        <v>0</v>
      </c>
      <c r="G984">
        <v>0</v>
      </c>
      <c r="H984">
        <v>200</v>
      </c>
      <c r="I984" s="1">
        <v>45383</v>
      </c>
      <c r="J984">
        <v>0</v>
      </c>
      <c r="K984" t="s">
        <v>26</v>
      </c>
    </row>
    <row r="985" spans="1:11">
      <c r="A985" s="1">
        <v>45407</v>
      </c>
      <c r="B985" t="s">
        <v>40</v>
      </c>
      <c r="C985" t="s">
        <v>37</v>
      </c>
      <c r="D985">
        <v>496</v>
      </c>
      <c r="E985">
        <v>43</v>
      </c>
      <c r="F985">
        <v>0</v>
      </c>
      <c r="G985">
        <v>0</v>
      </c>
      <c r="H985">
        <v>539</v>
      </c>
      <c r="I985" s="1">
        <v>45383</v>
      </c>
      <c r="J985">
        <v>0</v>
      </c>
      <c r="K985" t="s">
        <v>26</v>
      </c>
    </row>
    <row r="986" spans="1:11">
      <c r="A986" s="1">
        <v>45407</v>
      </c>
      <c r="B986" t="s">
        <v>40</v>
      </c>
      <c r="C986" t="s">
        <v>42</v>
      </c>
      <c r="D986">
        <v>452</v>
      </c>
      <c r="E986">
        <v>22</v>
      </c>
      <c r="F986">
        <v>0</v>
      </c>
      <c r="G986">
        <v>0</v>
      </c>
      <c r="H986">
        <v>474</v>
      </c>
      <c r="I986" s="1">
        <v>45383</v>
      </c>
      <c r="J986">
        <v>0</v>
      </c>
      <c r="K986" t="s">
        <v>26</v>
      </c>
    </row>
    <row r="987" spans="1:11">
      <c r="A987" s="1">
        <v>45407</v>
      </c>
      <c r="B987" t="s">
        <v>40</v>
      </c>
      <c r="C987" t="s">
        <v>39</v>
      </c>
      <c r="D987">
        <v>223</v>
      </c>
      <c r="E987">
        <v>71</v>
      </c>
      <c r="F987">
        <v>0</v>
      </c>
      <c r="G987">
        <v>0</v>
      </c>
      <c r="H987">
        <v>294</v>
      </c>
      <c r="I987" s="1">
        <v>45383</v>
      </c>
      <c r="J987">
        <v>0</v>
      </c>
      <c r="K987" t="s">
        <v>26</v>
      </c>
    </row>
    <row r="988" spans="1:11">
      <c r="A988" s="1">
        <v>45407</v>
      </c>
      <c r="B988" t="s">
        <v>40</v>
      </c>
      <c r="C988" t="s">
        <v>35</v>
      </c>
      <c r="D988">
        <v>625</v>
      </c>
      <c r="E988">
        <v>125</v>
      </c>
      <c r="F988">
        <v>0</v>
      </c>
      <c r="G988">
        <v>0</v>
      </c>
      <c r="H988">
        <v>749</v>
      </c>
      <c r="I988" s="1">
        <v>45383</v>
      </c>
      <c r="J988">
        <v>0</v>
      </c>
      <c r="K988" t="s">
        <v>26</v>
      </c>
    </row>
    <row r="989" spans="1:11">
      <c r="A989" s="1">
        <v>45407</v>
      </c>
      <c r="B989" t="s">
        <v>40</v>
      </c>
      <c r="C989" t="s">
        <v>32</v>
      </c>
      <c r="D989">
        <v>308</v>
      </c>
      <c r="E989">
        <v>47</v>
      </c>
      <c r="F989">
        <v>0</v>
      </c>
      <c r="G989">
        <v>0</v>
      </c>
      <c r="H989">
        <v>355</v>
      </c>
      <c r="I989" s="1">
        <v>45383</v>
      </c>
      <c r="J989">
        <v>0</v>
      </c>
      <c r="K989" t="s">
        <v>26</v>
      </c>
    </row>
    <row r="990" spans="1:11">
      <c r="A990" s="1">
        <v>45407</v>
      </c>
      <c r="B990" t="s">
        <v>40</v>
      </c>
      <c r="C990" t="s">
        <v>44</v>
      </c>
      <c r="D990">
        <v>335</v>
      </c>
      <c r="E990">
        <v>20</v>
      </c>
      <c r="F990">
        <v>0</v>
      </c>
      <c r="G990">
        <v>0</v>
      </c>
      <c r="H990">
        <v>355</v>
      </c>
      <c r="I990" s="1">
        <v>45383</v>
      </c>
      <c r="J990">
        <v>0</v>
      </c>
      <c r="K990" t="s">
        <v>26</v>
      </c>
    </row>
    <row r="991" spans="1:11">
      <c r="A991" s="1">
        <v>45407</v>
      </c>
      <c r="B991" t="s">
        <v>21</v>
      </c>
      <c r="C991" t="s">
        <v>48</v>
      </c>
      <c r="D991">
        <v>12</v>
      </c>
      <c r="E991">
        <v>6</v>
      </c>
      <c r="F991">
        <v>0</v>
      </c>
      <c r="G991">
        <v>0</v>
      </c>
      <c r="H991">
        <v>18</v>
      </c>
      <c r="I991" s="1">
        <v>45383</v>
      </c>
      <c r="J991">
        <v>0</v>
      </c>
      <c r="K991" t="s">
        <v>26</v>
      </c>
    </row>
    <row r="992" spans="1:11">
      <c r="A992" s="1">
        <v>45407</v>
      </c>
      <c r="B992" t="s">
        <v>21</v>
      </c>
      <c r="C992" t="s">
        <v>51</v>
      </c>
      <c r="D992">
        <v>29</v>
      </c>
      <c r="E992">
        <v>15</v>
      </c>
      <c r="F992">
        <v>0</v>
      </c>
      <c r="G992">
        <v>0</v>
      </c>
      <c r="H992">
        <v>44</v>
      </c>
      <c r="I992" s="1">
        <v>45383</v>
      </c>
      <c r="J992">
        <v>0</v>
      </c>
      <c r="K992" t="s">
        <v>26</v>
      </c>
    </row>
    <row r="993" spans="1:11">
      <c r="A993" s="1">
        <v>45407</v>
      </c>
      <c r="B993" t="s">
        <v>21</v>
      </c>
      <c r="C993" t="s">
        <v>43</v>
      </c>
      <c r="D993">
        <v>254</v>
      </c>
      <c r="E993">
        <v>29</v>
      </c>
      <c r="F993">
        <v>0</v>
      </c>
      <c r="G993">
        <v>0</v>
      </c>
      <c r="H993">
        <v>283</v>
      </c>
      <c r="I993" s="1">
        <v>45383</v>
      </c>
      <c r="J993">
        <v>0</v>
      </c>
      <c r="K993" t="s">
        <v>26</v>
      </c>
    </row>
    <row r="994" spans="1:11">
      <c r="A994" s="1">
        <v>45407</v>
      </c>
      <c r="B994" t="s">
        <v>21</v>
      </c>
      <c r="C994" t="s">
        <v>46</v>
      </c>
      <c r="D994">
        <v>22</v>
      </c>
      <c r="E994">
        <v>7</v>
      </c>
      <c r="F994">
        <v>0</v>
      </c>
      <c r="G994">
        <v>0</v>
      </c>
      <c r="H994">
        <v>29</v>
      </c>
      <c r="I994" s="1">
        <v>45383</v>
      </c>
      <c r="J994">
        <v>0</v>
      </c>
      <c r="K994" t="s">
        <v>26</v>
      </c>
    </row>
    <row r="995" spans="1:11">
      <c r="A995" s="1">
        <v>45407</v>
      </c>
      <c r="B995" t="s">
        <v>21</v>
      </c>
      <c r="C995" t="s">
        <v>44</v>
      </c>
      <c r="D995">
        <v>20</v>
      </c>
      <c r="E995">
        <v>4</v>
      </c>
      <c r="F995">
        <v>0</v>
      </c>
      <c r="G995">
        <v>0</v>
      </c>
      <c r="H995">
        <v>24</v>
      </c>
      <c r="I995" s="1">
        <v>45383</v>
      </c>
      <c r="J995">
        <v>0</v>
      </c>
      <c r="K995" t="s">
        <v>26</v>
      </c>
    </row>
    <row r="996" spans="1:11">
      <c r="A996" s="1">
        <v>45407</v>
      </c>
      <c r="B996" t="s">
        <v>21</v>
      </c>
      <c r="C996" t="s">
        <v>49</v>
      </c>
      <c r="D996">
        <v>19</v>
      </c>
      <c r="E996">
        <v>4</v>
      </c>
      <c r="F996">
        <v>0</v>
      </c>
      <c r="G996">
        <v>0</v>
      </c>
      <c r="H996">
        <v>23</v>
      </c>
      <c r="I996" s="1">
        <v>45383</v>
      </c>
      <c r="J996">
        <v>0</v>
      </c>
      <c r="K996" t="s">
        <v>26</v>
      </c>
    </row>
    <row r="997" spans="1:11">
      <c r="A997" s="1">
        <v>45442</v>
      </c>
      <c r="B997" t="s">
        <v>40</v>
      </c>
      <c r="C997" t="s">
        <v>55</v>
      </c>
      <c r="D997">
        <v>953</v>
      </c>
      <c r="E997">
        <v>76</v>
      </c>
      <c r="F997">
        <v>0</v>
      </c>
      <c r="G997">
        <v>0</v>
      </c>
      <c r="H997">
        <v>1029</v>
      </c>
      <c r="I997" s="1">
        <v>45413</v>
      </c>
      <c r="J997">
        <v>0</v>
      </c>
      <c r="K997" t="s">
        <v>26</v>
      </c>
    </row>
    <row r="998" spans="1:11">
      <c r="A998" s="1">
        <v>45442</v>
      </c>
      <c r="B998" t="s">
        <v>40</v>
      </c>
      <c r="C998" t="s">
        <v>37</v>
      </c>
      <c r="D998">
        <v>475</v>
      </c>
      <c r="E998">
        <v>67</v>
      </c>
      <c r="F998">
        <v>0</v>
      </c>
      <c r="G998">
        <v>0</v>
      </c>
      <c r="H998">
        <v>542</v>
      </c>
      <c r="I998" s="1">
        <v>45413</v>
      </c>
      <c r="J998">
        <v>0</v>
      </c>
      <c r="K998" t="s">
        <v>26</v>
      </c>
    </row>
    <row r="999" spans="1:11">
      <c r="A999" s="1">
        <v>45442</v>
      </c>
      <c r="B999" t="s">
        <v>40</v>
      </c>
      <c r="C999" t="s">
        <v>42</v>
      </c>
      <c r="D999">
        <v>581</v>
      </c>
      <c r="E999">
        <v>32</v>
      </c>
      <c r="F999">
        <v>0</v>
      </c>
      <c r="G999">
        <v>0</v>
      </c>
      <c r="H999">
        <v>613</v>
      </c>
      <c r="I999" s="1">
        <v>45413</v>
      </c>
      <c r="J999">
        <v>0</v>
      </c>
      <c r="K999" t="s">
        <v>26</v>
      </c>
    </row>
    <row r="1000" spans="1:11">
      <c r="A1000" s="1">
        <v>45442</v>
      </c>
      <c r="B1000" t="s">
        <v>40</v>
      </c>
      <c r="C1000" t="s">
        <v>39</v>
      </c>
      <c r="D1000">
        <v>172</v>
      </c>
      <c r="E1000">
        <v>71</v>
      </c>
      <c r="F1000">
        <v>0</v>
      </c>
      <c r="G1000">
        <v>0</v>
      </c>
      <c r="H1000">
        <v>243</v>
      </c>
      <c r="I1000" s="1">
        <v>45413</v>
      </c>
      <c r="J1000">
        <v>0</v>
      </c>
      <c r="K1000" t="s">
        <v>26</v>
      </c>
    </row>
    <row r="1001" spans="1:11">
      <c r="A1001" s="1">
        <v>45442</v>
      </c>
      <c r="B1001" t="s">
        <v>40</v>
      </c>
      <c r="C1001" t="s">
        <v>32</v>
      </c>
      <c r="D1001">
        <v>255</v>
      </c>
      <c r="E1001">
        <v>43</v>
      </c>
      <c r="F1001">
        <v>0</v>
      </c>
      <c r="G1001">
        <v>0</v>
      </c>
      <c r="H1001">
        <v>298</v>
      </c>
      <c r="I1001" s="1">
        <v>45413</v>
      </c>
      <c r="J1001">
        <v>0</v>
      </c>
      <c r="K1001" t="s">
        <v>26</v>
      </c>
    </row>
    <row r="1002" spans="1:11">
      <c r="A1002" s="1">
        <v>45442</v>
      </c>
      <c r="B1002" t="s">
        <v>40</v>
      </c>
      <c r="C1002" t="s">
        <v>44</v>
      </c>
      <c r="D1002">
        <v>355</v>
      </c>
      <c r="E1002">
        <v>35</v>
      </c>
      <c r="F1002">
        <v>0</v>
      </c>
      <c r="G1002">
        <v>0</v>
      </c>
      <c r="H1002">
        <v>390</v>
      </c>
      <c r="I1002" s="1">
        <v>45413</v>
      </c>
      <c r="J1002">
        <v>0</v>
      </c>
      <c r="K1002" t="s">
        <v>26</v>
      </c>
    </row>
    <row r="1003" spans="1:11">
      <c r="A1003" s="1">
        <v>45442</v>
      </c>
      <c r="B1003" t="s">
        <v>21</v>
      </c>
      <c r="C1003" t="s">
        <v>51</v>
      </c>
      <c r="D1003">
        <v>51</v>
      </c>
      <c r="E1003">
        <v>7</v>
      </c>
      <c r="F1003">
        <v>0</v>
      </c>
      <c r="G1003">
        <v>0</v>
      </c>
      <c r="H1003">
        <v>58</v>
      </c>
      <c r="I1003" s="1">
        <v>45413</v>
      </c>
      <c r="J1003">
        <v>0</v>
      </c>
      <c r="K1003" t="s">
        <v>26</v>
      </c>
    </row>
    <row r="1004" spans="1:11">
      <c r="A1004" s="1">
        <v>45442</v>
      </c>
      <c r="B1004" t="s">
        <v>21</v>
      </c>
      <c r="C1004" t="s">
        <v>43</v>
      </c>
      <c r="D1004">
        <v>251</v>
      </c>
      <c r="E1004">
        <v>28</v>
      </c>
      <c r="F1004">
        <v>0</v>
      </c>
      <c r="G1004">
        <v>0</v>
      </c>
      <c r="H1004">
        <v>279</v>
      </c>
      <c r="I1004" s="1">
        <v>45413</v>
      </c>
      <c r="J1004">
        <v>0</v>
      </c>
      <c r="K1004" t="s">
        <v>26</v>
      </c>
    </row>
    <row r="1005" spans="1:11">
      <c r="A1005" s="1">
        <v>45442</v>
      </c>
      <c r="B1005" t="s">
        <v>21</v>
      </c>
      <c r="C1005" t="s">
        <v>46</v>
      </c>
      <c r="D1005">
        <v>23</v>
      </c>
      <c r="E1005">
        <v>10</v>
      </c>
      <c r="F1005">
        <v>0</v>
      </c>
      <c r="G1005">
        <v>0</v>
      </c>
      <c r="H1005">
        <v>33</v>
      </c>
      <c r="I1005" s="1">
        <v>45413</v>
      </c>
      <c r="J1005">
        <v>0</v>
      </c>
      <c r="K1005" t="s">
        <v>26</v>
      </c>
    </row>
    <row r="1006" spans="1:11">
      <c r="A1006" s="1">
        <v>45442</v>
      </c>
      <c r="B1006" t="s">
        <v>21</v>
      </c>
      <c r="C1006" t="s">
        <v>49</v>
      </c>
      <c r="D1006">
        <v>20</v>
      </c>
      <c r="E1006">
        <v>5</v>
      </c>
      <c r="F1006">
        <v>0</v>
      </c>
      <c r="G1006">
        <v>0</v>
      </c>
      <c r="H1006">
        <v>25</v>
      </c>
      <c r="I1006" s="1">
        <v>45413</v>
      </c>
      <c r="J1006">
        <v>0</v>
      </c>
      <c r="K1006" t="s">
        <v>26</v>
      </c>
    </row>
    <row r="1007" spans="1:11">
      <c r="A1007" s="1">
        <v>45470</v>
      </c>
      <c r="B1007" t="s">
        <v>40</v>
      </c>
      <c r="C1007" t="s">
        <v>55</v>
      </c>
      <c r="D1007">
        <v>1124</v>
      </c>
      <c r="E1007">
        <v>28</v>
      </c>
      <c r="F1007">
        <v>0</v>
      </c>
      <c r="G1007">
        <v>0</v>
      </c>
      <c r="H1007">
        <v>1152</v>
      </c>
      <c r="I1007" s="1">
        <v>45444</v>
      </c>
      <c r="J1007">
        <v>0</v>
      </c>
      <c r="K1007" t="s">
        <v>26</v>
      </c>
    </row>
    <row r="1008" spans="1:11">
      <c r="A1008" s="1">
        <v>45470</v>
      </c>
      <c r="B1008" t="s">
        <v>40</v>
      </c>
      <c r="C1008" t="s">
        <v>35</v>
      </c>
      <c r="D1008">
        <v>703</v>
      </c>
      <c r="E1008">
        <v>95</v>
      </c>
      <c r="F1008">
        <v>0</v>
      </c>
      <c r="G1008">
        <v>0</v>
      </c>
      <c r="H1008">
        <v>798</v>
      </c>
      <c r="I1008" s="1">
        <v>45444</v>
      </c>
      <c r="J1008">
        <v>0</v>
      </c>
      <c r="K1008" t="s">
        <v>26</v>
      </c>
    </row>
    <row r="1009" spans="1:11">
      <c r="A1009" s="1">
        <v>45470</v>
      </c>
      <c r="B1009" t="s">
        <v>40</v>
      </c>
      <c r="C1009" t="s">
        <v>44</v>
      </c>
      <c r="D1009">
        <v>340</v>
      </c>
      <c r="E1009">
        <v>62</v>
      </c>
      <c r="F1009">
        <v>0</v>
      </c>
      <c r="G1009">
        <v>0</v>
      </c>
      <c r="H1009">
        <v>402</v>
      </c>
      <c r="I1009" s="1">
        <v>45444</v>
      </c>
      <c r="J1009">
        <v>0</v>
      </c>
      <c r="K1009" t="s">
        <v>26</v>
      </c>
    </row>
    <row r="1010" spans="1:11">
      <c r="A1010" s="1">
        <v>45470</v>
      </c>
      <c r="B1010" t="s">
        <v>21</v>
      </c>
      <c r="C1010" t="s">
        <v>51</v>
      </c>
      <c r="D1010">
        <v>47</v>
      </c>
      <c r="E1010">
        <v>3</v>
      </c>
      <c r="F1010">
        <v>0</v>
      </c>
      <c r="G1010">
        <v>0</v>
      </c>
      <c r="H1010">
        <v>50</v>
      </c>
      <c r="I1010" s="1">
        <v>45444</v>
      </c>
      <c r="J1010">
        <v>0</v>
      </c>
      <c r="K1010" t="s">
        <v>26</v>
      </c>
    </row>
    <row r="1011" spans="1:11">
      <c r="A1011" s="1">
        <v>45470</v>
      </c>
      <c r="B1011" t="s">
        <v>21</v>
      </c>
      <c r="C1011" t="s">
        <v>45</v>
      </c>
      <c r="D1011">
        <v>3</v>
      </c>
      <c r="E1011">
        <v>3</v>
      </c>
      <c r="F1011">
        <v>0</v>
      </c>
      <c r="G1011">
        <v>0</v>
      </c>
      <c r="H1011">
        <v>6</v>
      </c>
      <c r="I1011" s="1">
        <v>45444</v>
      </c>
      <c r="J1011">
        <v>0</v>
      </c>
      <c r="K1011" t="s">
        <v>26</v>
      </c>
    </row>
    <row r="1012" spans="1:11">
      <c r="A1012" s="1">
        <v>45470</v>
      </c>
      <c r="B1012" t="s">
        <v>21</v>
      </c>
      <c r="C1012" t="s">
        <v>43</v>
      </c>
      <c r="D1012">
        <v>258</v>
      </c>
      <c r="E1012">
        <v>24</v>
      </c>
      <c r="F1012">
        <v>0</v>
      </c>
      <c r="G1012">
        <v>0</v>
      </c>
      <c r="H1012">
        <v>282</v>
      </c>
      <c r="I1012" s="1">
        <v>45444</v>
      </c>
      <c r="J1012">
        <v>0</v>
      </c>
      <c r="K1012" t="s">
        <v>26</v>
      </c>
    </row>
    <row r="1013" spans="1:11">
      <c r="A1013" s="1">
        <v>45470</v>
      </c>
      <c r="B1013" t="s">
        <v>21</v>
      </c>
      <c r="C1013" t="s">
        <v>46</v>
      </c>
      <c r="D1013">
        <v>20</v>
      </c>
      <c r="E1013">
        <v>7</v>
      </c>
      <c r="F1013">
        <v>0</v>
      </c>
      <c r="G1013">
        <v>0</v>
      </c>
      <c r="H1013">
        <v>26</v>
      </c>
      <c r="I1013" s="1">
        <v>45444</v>
      </c>
      <c r="J1013">
        <v>0</v>
      </c>
      <c r="K1013" t="s">
        <v>26</v>
      </c>
    </row>
    <row r="1014" spans="1:11">
      <c r="A1014" s="1">
        <v>45498</v>
      </c>
      <c r="B1014" t="s">
        <v>40</v>
      </c>
      <c r="C1014" t="s">
        <v>55</v>
      </c>
      <c r="D1014">
        <v>1042</v>
      </c>
      <c r="E1014">
        <v>48</v>
      </c>
      <c r="F1014">
        <v>0</v>
      </c>
      <c r="G1014">
        <v>0</v>
      </c>
      <c r="H1014">
        <v>1090</v>
      </c>
      <c r="I1014" s="1">
        <v>45474</v>
      </c>
      <c r="J1014">
        <v>0</v>
      </c>
      <c r="K1014" t="s">
        <v>26</v>
      </c>
    </row>
    <row r="1015" spans="1:11">
      <c r="A1015" s="1">
        <v>45498</v>
      </c>
      <c r="B1015" t="s">
        <v>40</v>
      </c>
      <c r="C1015" t="s">
        <v>42</v>
      </c>
      <c r="D1015">
        <v>628</v>
      </c>
      <c r="E1015">
        <v>13</v>
      </c>
      <c r="F1015">
        <v>0</v>
      </c>
      <c r="G1015">
        <v>0</v>
      </c>
      <c r="H1015">
        <v>641</v>
      </c>
      <c r="I1015" s="1">
        <v>45474</v>
      </c>
      <c r="J1015">
        <v>0</v>
      </c>
      <c r="K1015" t="s">
        <v>26</v>
      </c>
    </row>
    <row r="1016" spans="1:11">
      <c r="A1016" s="1">
        <v>45498</v>
      </c>
      <c r="B1016" t="s">
        <v>40</v>
      </c>
      <c r="C1016" t="s">
        <v>22</v>
      </c>
      <c r="D1016">
        <v>697</v>
      </c>
      <c r="E1016">
        <v>27</v>
      </c>
      <c r="F1016">
        <v>0</v>
      </c>
      <c r="G1016">
        <v>0</v>
      </c>
      <c r="H1016">
        <v>724</v>
      </c>
      <c r="I1016" s="1">
        <v>45474</v>
      </c>
      <c r="J1016">
        <v>0</v>
      </c>
      <c r="K1016" t="s">
        <v>26</v>
      </c>
    </row>
    <row r="1017" spans="1:11">
      <c r="A1017" s="1">
        <v>45498</v>
      </c>
      <c r="B1017" t="s">
        <v>40</v>
      </c>
      <c r="C1017" t="s">
        <v>44</v>
      </c>
      <c r="D1017">
        <v>290</v>
      </c>
      <c r="E1017">
        <v>58</v>
      </c>
      <c r="F1017">
        <v>0</v>
      </c>
      <c r="G1017">
        <v>0</v>
      </c>
      <c r="H1017">
        <v>348</v>
      </c>
      <c r="I1017" s="1">
        <v>45474</v>
      </c>
      <c r="J1017">
        <v>0</v>
      </c>
      <c r="K1017" t="s">
        <v>26</v>
      </c>
    </row>
    <row r="1018" spans="1:11">
      <c r="A1018" s="1">
        <v>45498</v>
      </c>
      <c r="B1018" t="s">
        <v>21</v>
      </c>
      <c r="C1018" t="s">
        <v>51</v>
      </c>
      <c r="D1018">
        <v>48</v>
      </c>
      <c r="E1018">
        <v>6</v>
      </c>
      <c r="F1018">
        <v>0</v>
      </c>
      <c r="G1018">
        <v>0</v>
      </c>
      <c r="H1018">
        <v>54</v>
      </c>
      <c r="I1018" s="1">
        <v>45474</v>
      </c>
      <c r="J1018">
        <v>0</v>
      </c>
      <c r="K1018" t="s">
        <v>26</v>
      </c>
    </row>
    <row r="1019" spans="1:11">
      <c r="A1019" s="1">
        <v>45498</v>
      </c>
      <c r="B1019" t="s">
        <v>21</v>
      </c>
      <c r="C1019" t="s">
        <v>43</v>
      </c>
      <c r="D1019">
        <v>260</v>
      </c>
      <c r="E1019">
        <v>27</v>
      </c>
      <c r="F1019">
        <v>0</v>
      </c>
      <c r="G1019">
        <v>0</v>
      </c>
      <c r="H1019">
        <v>287</v>
      </c>
      <c r="I1019" s="1">
        <v>45474</v>
      </c>
      <c r="J1019">
        <v>0</v>
      </c>
      <c r="K1019" t="s">
        <v>26</v>
      </c>
    </row>
    <row r="1020" spans="1:11">
      <c r="A1020" s="1">
        <v>45533</v>
      </c>
      <c r="B1020" t="s">
        <v>40</v>
      </c>
      <c r="C1020" t="s">
        <v>35</v>
      </c>
      <c r="D1020">
        <v>642</v>
      </c>
      <c r="E1020">
        <v>221</v>
      </c>
      <c r="F1020">
        <v>0</v>
      </c>
      <c r="G1020">
        <v>0</v>
      </c>
      <c r="H1020">
        <v>863</v>
      </c>
      <c r="I1020" s="1">
        <v>45505</v>
      </c>
      <c r="J1020">
        <v>0</v>
      </c>
      <c r="K1020" t="s">
        <v>26</v>
      </c>
    </row>
    <row r="1021" spans="1:11">
      <c r="A1021" s="1">
        <v>45533</v>
      </c>
      <c r="B1021" t="s">
        <v>40</v>
      </c>
      <c r="C1021" t="s">
        <v>32</v>
      </c>
      <c r="D1021">
        <v>293</v>
      </c>
      <c r="E1021">
        <v>35</v>
      </c>
      <c r="F1021">
        <v>0</v>
      </c>
      <c r="G1021">
        <v>0</v>
      </c>
      <c r="H1021">
        <v>328</v>
      </c>
      <c r="I1021" s="1">
        <v>45505</v>
      </c>
      <c r="J1021">
        <v>0</v>
      </c>
      <c r="K1021" t="s">
        <v>26</v>
      </c>
    </row>
    <row r="1022" spans="1:11">
      <c r="A1022" s="1">
        <v>45533</v>
      </c>
      <c r="B1022" t="s">
        <v>40</v>
      </c>
      <c r="C1022" t="s">
        <v>44</v>
      </c>
      <c r="D1022">
        <v>272</v>
      </c>
      <c r="E1022">
        <v>46</v>
      </c>
      <c r="F1022">
        <v>0</v>
      </c>
      <c r="G1022">
        <v>0</v>
      </c>
      <c r="H1022">
        <v>318</v>
      </c>
      <c r="I1022" s="1">
        <v>45505</v>
      </c>
      <c r="J1022">
        <v>0</v>
      </c>
      <c r="K1022" t="s">
        <v>26</v>
      </c>
    </row>
    <row r="1023" spans="1:11">
      <c r="A1023" s="1">
        <v>45533</v>
      </c>
      <c r="B1023" t="s">
        <v>21</v>
      </c>
      <c r="C1023" t="s">
        <v>51</v>
      </c>
      <c r="D1023">
        <v>44</v>
      </c>
      <c r="E1023">
        <v>11</v>
      </c>
      <c r="F1023">
        <v>0</v>
      </c>
      <c r="G1023">
        <v>0</v>
      </c>
      <c r="H1023">
        <v>54</v>
      </c>
      <c r="I1023" s="1">
        <v>45505</v>
      </c>
      <c r="J1023">
        <v>0</v>
      </c>
      <c r="K1023" t="s">
        <v>26</v>
      </c>
    </row>
    <row r="1024" spans="1:11">
      <c r="A1024" s="1">
        <v>45533</v>
      </c>
      <c r="B1024" t="s">
        <v>21</v>
      </c>
      <c r="C1024" t="s">
        <v>43</v>
      </c>
      <c r="D1024">
        <v>234</v>
      </c>
      <c r="E1024">
        <v>44</v>
      </c>
      <c r="F1024">
        <v>0</v>
      </c>
      <c r="G1024">
        <v>0</v>
      </c>
      <c r="H1024">
        <v>278</v>
      </c>
      <c r="I1024" s="1">
        <v>45505</v>
      </c>
      <c r="J1024">
        <v>0</v>
      </c>
      <c r="K1024" t="s">
        <v>26</v>
      </c>
    </row>
    <row r="1025" spans="1:11">
      <c r="A1025" s="1">
        <v>45533</v>
      </c>
      <c r="B1025" t="s">
        <v>21</v>
      </c>
      <c r="C1025" t="s">
        <v>54</v>
      </c>
      <c r="D1025">
        <v>48</v>
      </c>
      <c r="E1025">
        <v>27</v>
      </c>
      <c r="F1025">
        <v>0</v>
      </c>
      <c r="G1025">
        <v>0</v>
      </c>
      <c r="H1025">
        <v>75</v>
      </c>
      <c r="I1025" s="1">
        <v>45505</v>
      </c>
      <c r="J1025">
        <v>0</v>
      </c>
      <c r="K1025" t="s">
        <v>26</v>
      </c>
    </row>
    <row r="1026" spans="1:11">
      <c r="A1026" s="1">
        <v>45533</v>
      </c>
      <c r="B1026" t="s">
        <v>21</v>
      </c>
      <c r="C1026" t="s">
        <v>46</v>
      </c>
      <c r="D1026">
        <v>17</v>
      </c>
      <c r="E1026">
        <v>4</v>
      </c>
      <c r="F1026">
        <v>0</v>
      </c>
      <c r="G1026">
        <v>0</v>
      </c>
      <c r="H1026">
        <v>21</v>
      </c>
      <c r="I1026" s="1">
        <v>45505</v>
      </c>
      <c r="J1026">
        <v>0</v>
      </c>
      <c r="K1026" t="s">
        <v>26</v>
      </c>
    </row>
    <row r="1027" spans="1:11">
      <c r="A1027" s="1">
        <v>45533</v>
      </c>
      <c r="B1027" t="s">
        <v>21</v>
      </c>
      <c r="C1027" t="s">
        <v>44</v>
      </c>
      <c r="D1027">
        <v>15</v>
      </c>
      <c r="E1027">
        <v>3</v>
      </c>
      <c r="F1027">
        <v>0</v>
      </c>
      <c r="G1027">
        <v>0</v>
      </c>
      <c r="H1027">
        <v>18</v>
      </c>
      <c r="I1027" s="1">
        <v>45505</v>
      </c>
      <c r="J1027">
        <v>0</v>
      </c>
      <c r="K1027" t="s">
        <v>26</v>
      </c>
    </row>
    <row r="1028" spans="1:11">
      <c r="A1028" s="1">
        <v>45561</v>
      </c>
      <c r="B1028" t="s">
        <v>40</v>
      </c>
      <c r="C1028" t="s">
        <v>55</v>
      </c>
      <c r="D1028">
        <v>1231</v>
      </c>
      <c r="E1028">
        <v>64</v>
      </c>
      <c r="F1028">
        <v>0</v>
      </c>
      <c r="G1028">
        <v>0</v>
      </c>
      <c r="H1028">
        <v>1295</v>
      </c>
      <c r="I1028" s="1">
        <v>45536</v>
      </c>
      <c r="J1028">
        <v>0</v>
      </c>
      <c r="K1028" t="s">
        <v>26</v>
      </c>
    </row>
    <row r="1029" spans="1:11">
      <c r="A1029" s="1">
        <v>45561</v>
      </c>
      <c r="B1029" t="s">
        <v>40</v>
      </c>
      <c r="C1029" t="s">
        <v>42</v>
      </c>
      <c r="D1029">
        <v>707</v>
      </c>
      <c r="E1029">
        <v>4</v>
      </c>
      <c r="F1029">
        <v>0</v>
      </c>
      <c r="G1029">
        <v>0</v>
      </c>
      <c r="H1029">
        <v>711</v>
      </c>
      <c r="I1029" s="1">
        <v>45536</v>
      </c>
      <c r="J1029">
        <v>0</v>
      </c>
      <c r="K1029" t="s">
        <v>26</v>
      </c>
    </row>
    <row r="1030" spans="1:11">
      <c r="A1030" s="1">
        <v>45561</v>
      </c>
      <c r="B1030" t="s">
        <v>40</v>
      </c>
      <c r="C1030" t="s">
        <v>35</v>
      </c>
      <c r="D1030">
        <v>735</v>
      </c>
      <c r="E1030">
        <v>241</v>
      </c>
      <c r="F1030">
        <v>0</v>
      </c>
      <c r="G1030">
        <v>0</v>
      </c>
      <c r="H1030">
        <v>976</v>
      </c>
      <c r="I1030" s="1">
        <v>45536</v>
      </c>
      <c r="J1030">
        <v>0</v>
      </c>
      <c r="K1030" t="s">
        <v>26</v>
      </c>
    </row>
    <row r="1031" spans="1:11">
      <c r="A1031" s="1">
        <v>45561</v>
      </c>
      <c r="B1031" t="s">
        <v>40</v>
      </c>
      <c r="C1031" t="s">
        <v>32</v>
      </c>
      <c r="D1031">
        <v>297</v>
      </c>
      <c r="E1031">
        <v>21</v>
      </c>
      <c r="F1031">
        <v>0</v>
      </c>
      <c r="G1031">
        <v>0</v>
      </c>
      <c r="H1031">
        <v>317</v>
      </c>
      <c r="I1031" s="1">
        <v>45536</v>
      </c>
      <c r="J1031">
        <v>0</v>
      </c>
      <c r="K1031" t="s">
        <v>26</v>
      </c>
    </row>
    <row r="1032" spans="1:11">
      <c r="A1032" s="1">
        <v>45561</v>
      </c>
      <c r="B1032" t="s">
        <v>21</v>
      </c>
      <c r="C1032" t="s">
        <v>48</v>
      </c>
      <c r="D1032">
        <v>5</v>
      </c>
      <c r="E1032">
        <v>5</v>
      </c>
      <c r="F1032">
        <v>0</v>
      </c>
      <c r="G1032">
        <v>0</v>
      </c>
      <c r="H1032">
        <v>9</v>
      </c>
      <c r="I1032" s="1">
        <v>45536</v>
      </c>
      <c r="J1032">
        <v>0</v>
      </c>
      <c r="K1032" t="s">
        <v>26</v>
      </c>
    </row>
    <row r="1033" spans="1:11">
      <c r="A1033" s="1">
        <v>45561</v>
      </c>
      <c r="B1033" t="s">
        <v>21</v>
      </c>
      <c r="C1033" t="s">
        <v>51</v>
      </c>
      <c r="D1033">
        <v>38</v>
      </c>
      <c r="E1033">
        <v>18</v>
      </c>
      <c r="F1033">
        <v>0</v>
      </c>
      <c r="G1033">
        <v>0</v>
      </c>
      <c r="H1033">
        <v>56</v>
      </c>
      <c r="I1033" s="1">
        <v>45536</v>
      </c>
      <c r="J1033">
        <v>0</v>
      </c>
      <c r="K1033" t="s">
        <v>26</v>
      </c>
    </row>
    <row r="1034" spans="1:11">
      <c r="A1034" s="1">
        <v>45561</v>
      </c>
      <c r="B1034" t="s">
        <v>21</v>
      </c>
      <c r="C1034" t="s">
        <v>43</v>
      </c>
      <c r="D1034">
        <v>248</v>
      </c>
      <c r="E1034">
        <v>32</v>
      </c>
      <c r="F1034">
        <v>0</v>
      </c>
      <c r="G1034">
        <v>0</v>
      </c>
      <c r="H1034">
        <v>280</v>
      </c>
      <c r="I1034" s="1">
        <v>45536</v>
      </c>
      <c r="J1034">
        <v>0</v>
      </c>
      <c r="K1034" t="s">
        <v>26</v>
      </c>
    </row>
    <row r="1035" spans="1:11">
      <c r="A1035" s="1">
        <v>45561</v>
      </c>
      <c r="B1035" t="s">
        <v>21</v>
      </c>
      <c r="C1035" t="s">
        <v>46</v>
      </c>
      <c r="D1035">
        <v>13</v>
      </c>
      <c r="E1035">
        <v>4</v>
      </c>
      <c r="F1035">
        <v>0</v>
      </c>
      <c r="G1035">
        <v>0</v>
      </c>
      <c r="H1035">
        <v>17</v>
      </c>
      <c r="I1035" s="1">
        <v>45536</v>
      </c>
      <c r="J1035">
        <v>0</v>
      </c>
      <c r="K1035" t="s">
        <v>26</v>
      </c>
    </row>
    <row r="1036" spans="1:11">
      <c r="A1036" s="1">
        <v>45561</v>
      </c>
      <c r="B1036" t="s">
        <v>21</v>
      </c>
      <c r="C1036" t="s">
        <v>44</v>
      </c>
      <c r="D1036">
        <v>13</v>
      </c>
      <c r="E1036">
        <v>3</v>
      </c>
      <c r="F1036">
        <v>0</v>
      </c>
      <c r="G1036">
        <v>0</v>
      </c>
      <c r="H1036">
        <v>15</v>
      </c>
      <c r="I1036" s="1">
        <v>45536</v>
      </c>
      <c r="J1036">
        <v>0</v>
      </c>
      <c r="K1036" t="s">
        <v>26</v>
      </c>
    </row>
    <row r="1037" spans="1:11">
      <c r="A1037" s="1">
        <v>45596</v>
      </c>
      <c r="B1037" t="s">
        <v>40</v>
      </c>
      <c r="C1037" t="s">
        <v>55</v>
      </c>
      <c r="D1037">
        <v>1231</v>
      </c>
      <c r="E1037">
        <v>103</v>
      </c>
      <c r="F1037">
        <v>0</v>
      </c>
      <c r="G1037">
        <v>0</v>
      </c>
      <c r="H1037">
        <v>1334</v>
      </c>
      <c r="I1037" s="1">
        <v>45566</v>
      </c>
      <c r="J1037">
        <v>0</v>
      </c>
      <c r="K1037" t="s">
        <v>26</v>
      </c>
    </row>
    <row r="1038" spans="1:11">
      <c r="A1038" s="1">
        <v>45596</v>
      </c>
      <c r="B1038" t="s">
        <v>40</v>
      </c>
      <c r="C1038" t="s">
        <v>42</v>
      </c>
      <c r="D1038">
        <v>726</v>
      </c>
      <c r="E1038">
        <v>4</v>
      </c>
      <c r="F1038">
        <v>0</v>
      </c>
      <c r="G1038">
        <v>0</v>
      </c>
      <c r="H1038">
        <v>730</v>
      </c>
      <c r="I1038" s="1">
        <v>45566</v>
      </c>
      <c r="J1038">
        <v>0</v>
      </c>
      <c r="K1038" t="s">
        <v>26</v>
      </c>
    </row>
    <row r="1039" spans="1:11">
      <c r="A1039" s="1">
        <v>45596</v>
      </c>
      <c r="B1039" t="s">
        <v>40</v>
      </c>
      <c r="C1039" t="s">
        <v>32</v>
      </c>
      <c r="D1039">
        <v>321</v>
      </c>
      <c r="E1039">
        <v>24</v>
      </c>
      <c r="F1039">
        <v>0</v>
      </c>
      <c r="G1039">
        <v>0</v>
      </c>
      <c r="H1039">
        <v>345</v>
      </c>
      <c r="I1039" s="1">
        <v>45566</v>
      </c>
      <c r="J1039">
        <v>0</v>
      </c>
      <c r="K1039" t="s">
        <v>26</v>
      </c>
    </row>
    <row r="1040" spans="1:11">
      <c r="A1040" s="1">
        <v>45596</v>
      </c>
      <c r="B1040" t="s">
        <v>21</v>
      </c>
      <c r="C1040" t="s">
        <v>48</v>
      </c>
      <c r="D1040">
        <v>6</v>
      </c>
      <c r="E1040">
        <v>3</v>
      </c>
      <c r="F1040">
        <v>0</v>
      </c>
      <c r="G1040">
        <v>0</v>
      </c>
      <c r="H1040">
        <v>9</v>
      </c>
      <c r="I1040" s="1">
        <v>45566</v>
      </c>
      <c r="J1040">
        <v>0</v>
      </c>
      <c r="K1040" t="s">
        <v>26</v>
      </c>
    </row>
    <row r="1041" spans="1:11">
      <c r="A1041" s="1">
        <v>45596</v>
      </c>
      <c r="B1041" t="s">
        <v>21</v>
      </c>
      <c r="C1041" t="s">
        <v>51</v>
      </c>
      <c r="D1041">
        <v>41</v>
      </c>
      <c r="E1041">
        <v>9</v>
      </c>
      <c r="F1041">
        <v>0</v>
      </c>
      <c r="G1041">
        <v>0</v>
      </c>
      <c r="H1041">
        <v>50</v>
      </c>
      <c r="I1041" s="1">
        <v>45566</v>
      </c>
      <c r="J1041">
        <v>0</v>
      </c>
      <c r="K1041" t="s">
        <v>26</v>
      </c>
    </row>
    <row r="1042" spans="1:11">
      <c r="A1042" s="1">
        <v>45596</v>
      </c>
      <c r="B1042" t="s">
        <v>21</v>
      </c>
      <c r="C1042" t="s">
        <v>43</v>
      </c>
      <c r="D1042">
        <v>213</v>
      </c>
      <c r="E1042">
        <v>5</v>
      </c>
      <c r="F1042">
        <v>0</v>
      </c>
      <c r="G1042">
        <v>0</v>
      </c>
      <c r="H1042">
        <v>218</v>
      </c>
      <c r="I1042" s="1">
        <v>45566</v>
      </c>
      <c r="J1042">
        <v>0</v>
      </c>
      <c r="K1042" t="s">
        <v>26</v>
      </c>
    </row>
    <row r="1043" spans="1:11">
      <c r="A1043" s="1">
        <v>45596</v>
      </c>
      <c r="B1043" t="s">
        <v>21</v>
      </c>
      <c r="C1043" t="s">
        <v>44</v>
      </c>
      <c r="D1043">
        <v>9</v>
      </c>
      <c r="E1043">
        <v>3</v>
      </c>
      <c r="F1043">
        <v>0</v>
      </c>
      <c r="G1043">
        <v>0</v>
      </c>
      <c r="H1043">
        <v>12</v>
      </c>
      <c r="I1043" s="1">
        <v>45566</v>
      </c>
      <c r="J1043">
        <v>0</v>
      </c>
      <c r="K1043" t="s">
        <v>26</v>
      </c>
    </row>
    <row r="1044" spans="1:11">
      <c r="A1044" s="1">
        <v>45624</v>
      </c>
      <c r="B1044" t="s">
        <v>40</v>
      </c>
      <c r="C1044" t="s">
        <v>55</v>
      </c>
      <c r="D1044">
        <v>1310</v>
      </c>
      <c r="E1044">
        <v>70</v>
      </c>
      <c r="F1044">
        <v>0</v>
      </c>
      <c r="G1044">
        <v>0</v>
      </c>
      <c r="H1044">
        <v>1380</v>
      </c>
      <c r="I1044" s="1">
        <v>45597</v>
      </c>
      <c r="J1044">
        <v>0</v>
      </c>
      <c r="K1044" t="s">
        <v>26</v>
      </c>
    </row>
    <row r="1045" spans="1:11">
      <c r="A1045" s="1">
        <v>45624</v>
      </c>
      <c r="B1045" t="s">
        <v>40</v>
      </c>
      <c r="C1045" t="s">
        <v>44</v>
      </c>
      <c r="D1045">
        <v>238</v>
      </c>
      <c r="E1045">
        <v>28</v>
      </c>
      <c r="F1045">
        <v>0</v>
      </c>
      <c r="G1045">
        <v>0</v>
      </c>
      <c r="H1045">
        <v>266</v>
      </c>
      <c r="I1045" s="1">
        <v>45597</v>
      </c>
      <c r="J1045">
        <v>0</v>
      </c>
      <c r="K1045" t="s">
        <v>26</v>
      </c>
    </row>
    <row r="1046" spans="1:11">
      <c r="A1046" s="1">
        <v>45624</v>
      </c>
      <c r="B1046" t="s">
        <v>21</v>
      </c>
      <c r="C1046" t="s">
        <v>48</v>
      </c>
      <c r="D1046">
        <v>5</v>
      </c>
      <c r="E1046">
        <v>3</v>
      </c>
      <c r="F1046">
        <v>0</v>
      </c>
      <c r="G1046">
        <v>0</v>
      </c>
      <c r="H1046">
        <v>8</v>
      </c>
      <c r="I1046" s="1">
        <v>45597</v>
      </c>
      <c r="J1046">
        <v>0</v>
      </c>
      <c r="K1046" t="s">
        <v>26</v>
      </c>
    </row>
    <row r="1047" spans="1:11">
      <c r="A1047" s="1">
        <v>45624</v>
      </c>
      <c r="B1047" t="s">
        <v>21</v>
      </c>
      <c r="C1047" t="s">
        <v>51</v>
      </c>
      <c r="D1047">
        <v>29</v>
      </c>
      <c r="E1047">
        <v>15</v>
      </c>
      <c r="F1047">
        <v>0</v>
      </c>
      <c r="G1047">
        <v>0</v>
      </c>
      <c r="H1047">
        <v>44</v>
      </c>
      <c r="I1047" s="1">
        <v>45597</v>
      </c>
      <c r="J1047">
        <v>0</v>
      </c>
      <c r="K1047" t="s">
        <v>26</v>
      </c>
    </row>
    <row r="1048" spans="1:11">
      <c r="A1048" s="1">
        <v>45624</v>
      </c>
      <c r="B1048" t="s">
        <v>21</v>
      </c>
      <c r="C1048" t="s">
        <v>44</v>
      </c>
      <c r="D1048">
        <v>11</v>
      </c>
      <c r="E1048">
        <v>4</v>
      </c>
      <c r="F1048">
        <v>0</v>
      </c>
      <c r="G1048">
        <v>0</v>
      </c>
      <c r="H1048">
        <v>15</v>
      </c>
      <c r="I1048" s="1">
        <v>45597</v>
      </c>
      <c r="J1048">
        <v>0</v>
      </c>
      <c r="K1048" t="s">
        <v>26</v>
      </c>
    </row>
    <row r="1049" spans="1:11">
      <c r="A1049" s="1">
        <v>45645</v>
      </c>
      <c r="B1049" t="s">
        <v>40</v>
      </c>
      <c r="C1049" t="s">
        <v>55</v>
      </c>
      <c r="D1049">
        <v>1310</v>
      </c>
      <c r="E1049">
        <v>23</v>
      </c>
      <c r="F1049">
        <v>0</v>
      </c>
      <c r="G1049">
        <v>0</v>
      </c>
      <c r="H1049">
        <v>1333</v>
      </c>
      <c r="I1049" s="1">
        <v>45627</v>
      </c>
      <c r="J1049">
        <v>0</v>
      </c>
      <c r="K1049" t="s">
        <v>26</v>
      </c>
    </row>
    <row r="1050" spans="1:11">
      <c r="A1050" s="1">
        <v>45645</v>
      </c>
      <c r="B1050" t="s">
        <v>40</v>
      </c>
      <c r="C1050" t="s">
        <v>42</v>
      </c>
      <c r="D1050">
        <v>700</v>
      </c>
      <c r="E1050">
        <v>11</v>
      </c>
      <c r="F1050">
        <v>0</v>
      </c>
      <c r="G1050">
        <v>0</v>
      </c>
      <c r="H1050">
        <v>711</v>
      </c>
      <c r="I1050" s="1">
        <v>45627</v>
      </c>
      <c r="J1050">
        <v>0</v>
      </c>
      <c r="K1050" t="s">
        <v>26</v>
      </c>
    </row>
    <row r="1051" spans="1:11">
      <c r="A1051" s="1">
        <v>45645</v>
      </c>
      <c r="B1051" t="s">
        <v>40</v>
      </c>
      <c r="C1051" t="s">
        <v>43</v>
      </c>
      <c r="D1051">
        <v>1170</v>
      </c>
      <c r="E1051">
        <v>220</v>
      </c>
      <c r="F1051">
        <v>0</v>
      </c>
      <c r="G1051">
        <v>0</v>
      </c>
      <c r="H1051">
        <v>1390</v>
      </c>
      <c r="I1051" s="1">
        <v>45627</v>
      </c>
      <c r="J1051">
        <v>0</v>
      </c>
      <c r="K1051" t="s">
        <v>26</v>
      </c>
    </row>
    <row r="1052" spans="1:11">
      <c r="A1052" s="1">
        <v>45645</v>
      </c>
      <c r="B1052" t="s">
        <v>40</v>
      </c>
      <c r="C1052" t="s">
        <v>22</v>
      </c>
      <c r="D1052">
        <v>762</v>
      </c>
      <c r="E1052">
        <v>49</v>
      </c>
      <c r="F1052">
        <v>0</v>
      </c>
      <c r="G1052">
        <v>0</v>
      </c>
      <c r="H1052">
        <v>811</v>
      </c>
      <c r="I1052" s="1">
        <v>45627</v>
      </c>
      <c r="J1052">
        <v>0</v>
      </c>
      <c r="K1052" t="s">
        <v>26</v>
      </c>
    </row>
    <row r="1053" spans="1:11">
      <c r="A1053" s="1">
        <v>45645</v>
      </c>
      <c r="B1053" t="s">
        <v>40</v>
      </c>
      <c r="C1053" t="s">
        <v>44</v>
      </c>
      <c r="D1053">
        <v>266</v>
      </c>
      <c r="E1053">
        <v>23</v>
      </c>
      <c r="F1053">
        <v>0</v>
      </c>
      <c r="G1053">
        <v>0</v>
      </c>
      <c r="H1053">
        <v>288</v>
      </c>
      <c r="I1053" s="1">
        <v>45627</v>
      </c>
      <c r="J1053">
        <v>0</v>
      </c>
      <c r="K1053" t="s">
        <v>26</v>
      </c>
    </row>
    <row r="1054" spans="1:11">
      <c r="A1054" s="1">
        <v>45645</v>
      </c>
      <c r="B1054" t="s">
        <v>21</v>
      </c>
      <c r="C1054" t="s">
        <v>37</v>
      </c>
      <c r="D1054">
        <v>5</v>
      </c>
      <c r="E1054">
        <v>3</v>
      </c>
      <c r="F1054">
        <v>0</v>
      </c>
      <c r="G1054">
        <v>0</v>
      </c>
      <c r="H1054">
        <v>8</v>
      </c>
      <c r="I1054" s="1">
        <v>45627</v>
      </c>
      <c r="J1054">
        <v>0</v>
      </c>
      <c r="K1054" t="s">
        <v>26</v>
      </c>
    </row>
    <row r="1055" spans="1:11">
      <c r="A1055" s="1">
        <v>45645</v>
      </c>
      <c r="B1055" t="s">
        <v>21</v>
      </c>
      <c r="C1055" t="s">
        <v>57</v>
      </c>
      <c r="D1055">
        <v>34</v>
      </c>
      <c r="E1055">
        <v>10</v>
      </c>
      <c r="F1055">
        <v>0</v>
      </c>
      <c r="G1055">
        <v>0</v>
      </c>
      <c r="H1055">
        <v>43</v>
      </c>
      <c r="I1055" s="1">
        <v>45627</v>
      </c>
      <c r="J1055">
        <v>0</v>
      </c>
      <c r="K1055" t="s">
        <v>26</v>
      </c>
    </row>
    <row r="1056" spans="1:11">
      <c r="A1056" s="1">
        <v>45645</v>
      </c>
      <c r="B1056" t="s">
        <v>21</v>
      </c>
      <c r="C1056" t="s">
        <v>51</v>
      </c>
      <c r="D1056">
        <v>43</v>
      </c>
      <c r="E1056">
        <v>14</v>
      </c>
      <c r="F1056">
        <v>0</v>
      </c>
      <c r="G1056">
        <v>0</v>
      </c>
      <c r="H1056">
        <v>57</v>
      </c>
      <c r="I1056" s="1">
        <v>45627</v>
      </c>
      <c r="J1056">
        <v>0</v>
      </c>
      <c r="K1056" t="s">
        <v>26</v>
      </c>
    </row>
    <row r="1057" spans="1:11">
      <c r="A1057" s="1">
        <v>45645</v>
      </c>
      <c r="B1057" t="s">
        <v>21</v>
      </c>
      <c r="C1057" t="s">
        <v>46</v>
      </c>
      <c r="D1057">
        <v>13</v>
      </c>
      <c r="E1057">
        <v>4</v>
      </c>
      <c r="F1057">
        <v>0</v>
      </c>
      <c r="G1057">
        <v>0</v>
      </c>
      <c r="H1057">
        <v>17</v>
      </c>
      <c r="I1057" s="1">
        <v>45627</v>
      </c>
      <c r="J1057">
        <v>0</v>
      </c>
      <c r="K1057" t="s">
        <v>26</v>
      </c>
    </row>
    <row r="1058" spans="1:11">
      <c r="A1058" s="1">
        <v>45687</v>
      </c>
      <c r="B1058" t="s">
        <v>40</v>
      </c>
      <c r="C1058" t="s">
        <v>55</v>
      </c>
      <c r="D1058">
        <v>1395</v>
      </c>
      <c r="E1058">
        <v>91</v>
      </c>
      <c r="F1058">
        <v>0</v>
      </c>
      <c r="G1058">
        <v>0</v>
      </c>
      <c r="H1058">
        <v>1486</v>
      </c>
      <c r="I1058" s="1">
        <v>45658</v>
      </c>
      <c r="J1058">
        <v>0</v>
      </c>
      <c r="K1058" t="s">
        <v>26</v>
      </c>
    </row>
    <row r="1059" spans="1:11">
      <c r="A1059" s="1">
        <v>45687</v>
      </c>
      <c r="B1059" t="s">
        <v>40</v>
      </c>
      <c r="C1059" t="s">
        <v>27</v>
      </c>
      <c r="D1059">
        <v>603</v>
      </c>
      <c r="E1059">
        <v>4</v>
      </c>
      <c r="F1059">
        <v>0</v>
      </c>
      <c r="G1059">
        <v>0</v>
      </c>
      <c r="H1059">
        <v>607</v>
      </c>
      <c r="I1059" s="1">
        <v>45658</v>
      </c>
      <c r="J1059">
        <v>0</v>
      </c>
      <c r="K1059" t="s">
        <v>26</v>
      </c>
    </row>
    <row r="1060" spans="1:11">
      <c r="A1060" s="1">
        <v>45687</v>
      </c>
      <c r="B1060" t="s">
        <v>40</v>
      </c>
      <c r="C1060" t="s">
        <v>42</v>
      </c>
      <c r="D1060">
        <v>696</v>
      </c>
      <c r="E1060">
        <v>28</v>
      </c>
      <c r="F1060">
        <v>0</v>
      </c>
      <c r="G1060">
        <v>0</v>
      </c>
      <c r="H1060">
        <v>724</v>
      </c>
      <c r="I1060" s="1">
        <v>45658</v>
      </c>
      <c r="J1060">
        <v>0</v>
      </c>
      <c r="K1060" t="s">
        <v>26</v>
      </c>
    </row>
    <row r="1061" spans="1:11">
      <c r="A1061" s="1">
        <v>45687</v>
      </c>
      <c r="B1061" t="s">
        <v>21</v>
      </c>
      <c r="C1061" t="s">
        <v>51</v>
      </c>
      <c r="D1061">
        <v>38</v>
      </c>
      <c r="E1061">
        <v>15</v>
      </c>
      <c r="F1061">
        <v>0</v>
      </c>
      <c r="G1061">
        <v>0</v>
      </c>
      <c r="H1061">
        <v>53</v>
      </c>
      <c r="I1061" s="1">
        <v>45658</v>
      </c>
      <c r="J1061">
        <v>0</v>
      </c>
      <c r="K1061" t="s">
        <v>26</v>
      </c>
    </row>
    <row r="1062" spans="1:11">
      <c r="A1062" s="1">
        <v>45687</v>
      </c>
      <c r="B1062" t="s">
        <v>21</v>
      </c>
      <c r="C1062" t="s">
        <v>46</v>
      </c>
      <c r="D1062">
        <v>14</v>
      </c>
      <c r="E1062">
        <v>3</v>
      </c>
      <c r="F1062">
        <v>0</v>
      </c>
      <c r="G1062">
        <v>0</v>
      </c>
      <c r="H1062">
        <v>17</v>
      </c>
      <c r="I1062" s="1">
        <v>45658</v>
      </c>
      <c r="J1062">
        <v>0</v>
      </c>
      <c r="K1062" t="s">
        <v>26</v>
      </c>
    </row>
    <row r="1063" spans="1:11">
      <c r="A1063" s="1">
        <v>45715</v>
      </c>
      <c r="B1063" t="s">
        <v>40</v>
      </c>
      <c r="C1063" t="s">
        <v>55</v>
      </c>
      <c r="D1063">
        <v>1309</v>
      </c>
      <c r="E1063">
        <v>90</v>
      </c>
      <c r="F1063">
        <v>0</v>
      </c>
      <c r="G1063">
        <v>0</v>
      </c>
      <c r="H1063">
        <v>1399</v>
      </c>
      <c r="I1063" s="1">
        <v>45689</v>
      </c>
      <c r="J1063">
        <v>0</v>
      </c>
      <c r="K1063" t="s">
        <v>26</v>
      </c>
    </row>
    <row r="1064" spans="1:11">
      <c r="A1064" s="1">
        <v>45715</v>
      </c>
      <c r="B1064" t="s">
        <v>40</v>
      </c>
      <c r="C1064" t="s">
        <v>27</v>
      </c>
      <c r="D1064">
        <v>622</v>
      </c>
      <c r="E1064">
        <v>6</v>
      </c>
      <c r="F1064">
        <v>0</v>
      </c>
      <c r="G1064">
        <v>0</v>
      </c>
      <c r="H1064">
        <v>628</v>
      </c>
      <c r="I1064" s="1">
        <v>45689</v>
      </c>
      <c r="J1064">
        <v>0</v>
      </c>
      <c r="K1064" t="s">
        <v>26</v>
      </c>
    </row>
    <row r="1065" spans="1:11">
      <c r="A1065" s="1">
        <v>45715</v>
      </c>
      <c r="B1065" t="s">
        <v>40</v>
      </c>
      <c r="C1065" t="s">
        <v>42</v>
      </c>
      <c r="D1065">
        <v>549</v>
      </c>
      <c r="E1065">
        <v>41</v>
      </c>
      <c r="F1065">
        <v>0</v>
      </c>
      <c r="G1065">
        <v>0</v>
      </c>
      <c r="H1065">
        <v>590</v>
      </c>
      <c r="I1065" s="1">
        <v>45689</v>
      </c>
      <c r="J1065">
        <v>0</v>
      </c>
      <c r="K1065" t="s">
        <v>26</v>
      </c>
    </row>
    <row r="1066" spans="1:11">
      <c r="A1066" s="1">
        <v>45715</v>
      </c>
      <c r="B1066" t="s">
        <v>21</v>
      </c>
      <c r="C1066" t="s">
        <v>41</v>
      </c>
      <c r="D1066">
        <v>14</v>
      </c>
      <c r="E1066">
        <v>3</v>
      </c>
      <c r="F1066">
        <v>0</v>
      </c>
      <c r="G1066">
        <v>0</v>
      </c>
      <c r="H1066">
        <v>17</v>
      </c>
      <c r="I1066" s="1">
        <v>45689</v>
      </c>
      <c r="J1066">
        <v>0</v>
      </c>
      <c r="K1066" t="s">
        <v>26</v>
      </c>
    </row>
    <row r="1067" spans="1:11">
      <c r="A1067" s="1">
        <v>45715</v>
      </c>
      <c r="B1067" t="s">
        <v>21</v>
      </c>
      <c r="C1067" t="s">
        <v>51</v>
      </c>
      <c r="D1067">
        <v>38</v>
      </c>
      <c r="E1067">
        <v>18</v>
      </c>
      <c r="F1067">
        <v>0</v>
      </c>
      <c r="G1067">
        <v>0</v>
      </c>
      <c r="H1067">
        <v>56</v>
      </c>
      <c r="I1067" s="1">
        <v>45689</v>
      </c>
      <c r="J1067">
        <v>0</v>
      </c>
      <c r="K1067" t="s">
        <v>26</v>
      </c>
    </row>
    <row r="1068" spans="1:11">
      <c r="A1068" s="1">
        <v>45743</v>
      </c>
      <c r="B1068" t="s">
        <v>40</v>
      </c>
      <c r="C1068" t="s">
        <v>55</v>
      </c>
      <c r="D1068">
        <v>1217</v>
      </c>
      <c r="E1068">
        <v>185</v>
      </c>
      <c r="F1068">
        <v>0</v>
      </c>
      <c r="G1068">
        <v>0</v>
      </c>
      <c r="H1068">
        <v>1402</v>
      </c>
      <c r="I1068" s="1">
        <v>45717</v>
      </c>
      <c r="J1068">
        <v>0</v>
      </c>
      <c r="K1068" t="s">
        <v>26</v>
      </c>
    </row>
    <row r="1069" spans="1:11">
      <c r="A1069" s="1">
        <v>45743</v>
      </c>
      <c r="B1069" t="s">
        <v>40</v>
      </c>
      <c r="C1069" t="s">
        <v>27</v>
      </c>
      <c r="D1069">
        <v>640</v>
      </c>
      <c r="E1069">
        <v>35</v>
      </c>
      <c r="F1069">
        <v>0</v>
      </c>
      <c r="G1069">
        <v>0</v>
      </c>
      <c r="H1069">
        <v>675</v>
      </c>
      <c r="I1069" s="1">
        <v>45717</v>
      </c>
      <c r="J1069">
        <v>0</v>
      </c>
      <c r="K1069" t="s">
        <v>26</v>
      </c>
    </row>
    <row r="1070" spans="1:11">
      <c r="A1070" s="1">
        <v>45743</v>
      </c>
      <c r="B1070" t="s">
        <v>40</v>
      </c>
      <c r="C1070" t="s">
        <v>42</v>
      </c>
      <c r="D1070">
        <v>586</v>
      </c>
      <c r="E1070">
        <v>39</v>
      </c>
      <c r="F1070">
        <v>0</v>
      </c>
      <c r="G1070">
        <v>0</v>
      </c>
      <c r="H1070">
        <v>625</v>
      </c>
      <c r="I1070" s="1">
        <v>45717</v>
      </c>
      <c r="J1070">
        <v>0</v>
      </c>
      <c r="K1070" t="s">
        <v>26</v>
      </c>
    </row>
    <row r="1071" spans="1:11">
      <c r="A1071" s="1">
        <v>45743</v>
      </c>
      <c r="B1071" t="s">
        <v>40</v>
      </c>
      <c r="C1071" t="s">
        <v>44</v>
      </c>
      <c r="D1071">
        <v>290</v>
      </c>
      <c r="E1071">
        <v>50</v>
      </c>
      <c r="F1071">
        <v>0</v>
      </c>
      <c r="G1071">
        <v>0</v>
      </c>
      <c r="H1071">
        <v>340</v>
      </c>
      <c r="I1071" s="1">
        <v>45717</v>
      </c>
      <c r="J1071">
        <v>0</v>
      </c>
      <c r="K1071" t="s">
        <v>26</v>
      </c>
    </row>
    <row r="1072" spans="1:11">
      <c r="A1072" s="1">
        <v>45743</v>
      </c>
      <c r="B1072" t="s">
        <v>21</v>
      </c>
      <c r="C1072" t="s">
        <v>51</v>
      </c>
      <c r="D1072">
        <v>29</v>
      </c>
      <c r="E1072">
        <v>19</v>
      </c>
      <c r="F1072">
        <v>0</v>
      </c>
      <c r="G1072">
        <v>0</v>
      </c>
      <c r="H1072">
        <v>48</v>
      </c>
      <c r="I1072" s="1">
        <v>45717</v>
      </c>
      <c r="J1072">
        <v>0</v>
      </c>
      <c r="K1072" t="s">
        <v>26</v>
      </c>
    </row>
    <row r="1073" spans="1:11">
      <c r="A1073" s="1">
        <v>45743</v>
      </c>
      <c r="B1073" t="s">
        <v>21</v>
      </c>
      <c r="C1073" t="s">
        <v>43</v>
      </c>
      <c r="D1073">
        <v>227</v>
      </c>
      <c r="E1073">
        <v>9</v>
      </c>
      <c r="F1073">
        <v>0</v>
      </c>
      <c r="G1073">
        <v>0</v>
      </c>
      <c r="H1073">
        <v>236</v>
      </c>
      <c r="I1073" s="1">
        <v>45717</v>
      </c>
      <c r="J1073">
        <v>0</v>
      </c>
      <c r="K1073" t="s">
        <v>26</v>
      </c>
    </row>
    <row r="1074" spans="1:11">
      <c r="A1074" s="1">
        <v>45743</v>
      </c>
      <c r="B1074" t="s">
        <v>21</v>
      </c>
      <c r="C1074" t="s">
        <v>46</v>
      </c>
      <c r="D1074">
        <v>14</v>
      </c>
      <c r="E1074">
        <v>3</v>
      </c>
      <c r="F1074">
        <v>0</v>
      </c>
      <c r="G1074">
        <v>0</v>
      </c>
      <c r="H1074">
        <v>17</v>
      </c>
      <c r="I1074" s="1">
        <v>45717</v>
      </c>
      <c r="J1074">
        <v>0</v>
      </c>
      <c r="K1074" t="s">
        <v>26</v>
      </c>
    </row>
    <row r="1075" spans="1:11">
      <c r="A1075" s="1">
        <v>45743</v>
      </c>
      <c r="B1075" t="s">
        <v>21</v>
      </c>
      <c r="C1075" t="s">
        <v>44</v>
      </c>
      <c r="D1075">
        <v>7</v>
      </c>
      <c r="E1075">
        <v>4</v>
      </c>
      <c r="F1075">
        <v>0</v>
      </c>
      <c r="G1075">
        <v>0</v>
      </c>
      <c r="H1075">
        <v>11</v>
      </c>
      <c r="I1075" s="1">
        <v>45717</v>
      </c>
      <c r="J1075">
        <v>0</v>
      </c>
      <c r="K1075" t="s">
        <v>26</v>
      </c>
    </row>
    <row r="1076" spans="1:11">
      <c r="A1076" s="1">
        <v>45771</v>
      </c>
      <c r="B1076" t="s">
        <v>40</v>
      </c>
      <c r="C1076" t="s">
        <v>27</v>
      </c>
      <c r="D1076">
        <v>646</v>
      </c>
      <c r="E1076">
        <v>68</v>
      </c>
      <c r="F1076">
        <v>0</v>
      </c>
      <c r="G1076">
        <v>0</v>
      </c>
      <c r="H1076">
        <v>714</v>
      </c>
      <c r="I1076" s="1">
        <v>45748</v>
      </c>
      <c r="J1076">
        <v>0</v>
      </c>
      <c r="K1076" t="s">
        <v>26</v>
      </c>
    </row>
    <row r="1077" spans="1:11">
      <c r="A1077" s="1">
        <v>45771</v>
      </c>
      <c r="B1077" t="s">
        <v>40</v>
      </c>
      <c r="C1077" t="s">
        <v>42</v>
      </c>
      <c r="D1077">
        <v>552</v>
      </c>
      <c r="E1077">
        <v>37</v>
      </c>
      <c r="F1077">
        <v>0</v>
      </c>
      <c r="G1077">
        <v>0</v>
      </c>
      <c r="H1077">
        <v>589</v>
      </c>
      <c r="I1077" s="1">
        <v>45748</v>
      </c>
      <c r="J1077">
        <v>0</v>
      </c>
      <c r="K1077" t="s">
        <v>26</v>
      </c>
    </row>
    <row r="1078" spans="1:11">
      <c r="A1078" s="1">
        <v>45771</v>
      </c>
      <c r="B1078" t="s">
        <v>21</v>
      </c>
      <c r="C1078" t="s">
        <v>41</v>
      </c>
      <c r="D1078">
        <v>14</v>
      </c>
      <c r="E1078">
        <v>5</v>
      </c>
      <c r="F1078">
        <v>0</v>
      </c>
      <c r="G1078">
        <v>0</v>
      </c>
      <c r="H1078">
        <v>19</v>
      </c>
      <c r="I1078" s="1">
        <v>45748</v>
      </c>
      <c r="J1078">
        <v>0</v>
      </c>
      <c r="K1078" t="s">
        <v>26</v>
      </c>
    </row>
    <row r="1079" spans="1:11">
      <c r="A1079" s="1">
        <v>45771</v>
      </c>
      <c r="B1079" t="s">
        <v>21</v>
      </c>
      <c r="C1079" t="s">
        <v>51</v>
      </c>
      <c r="D1079">
        <v>26</v>
      </c>
      <c r="E1079">
        <v>23</v>
      </c>
      <c r="F1079">
        <v>0</v>
      </c>
      <c r="G1079">
        <v>0</v>
      </c>
      <c r="H1079">
        <v>49</v>
      </c>
      <c r="I1079" s="1">
        <v>45748</v>
      </c>
      <c r="J1079">
        <v>0</v>
      </c>
      <c r="K1079" t="s">
        <v>26</v>
      </c>
    </row>
    <row r="1080" spans="1:11">
      <c r="A1080" s="1">
        <v>45771</v>
      </c>
      <c r="B1080" t="s">
        <v>21</v>
      </c>
      <c r="C1080" t="s">
        <v>43</v>
      </c>
      <c r="D1080">
        <v>195</v>
      </c>
      <c r="E1080">
        <v>26</v>
      </c>
      <c r="F1080">
        <v>0</v>
      </c>
      <c r="G1080">
        <v>0</v>
      </c>
      <c r="H1080">
        <v>221</v>
      </c>
      <c r="I1080" s="1">
        <v>45748</v>
      </c>
      <c r="J1080">
        <v>0</v>
      </c>
      <c r="K1080" t="s">
        <v>26</v>
      </c>
    </row>
    <row r="1081" spans="1:11">
      <c r="A1081" s="1">
        <v>45771</v>
      </c>
      <c r="B1081" t="s">
        <v>21</v>
      </c>
      <c r="C1081" t="s">
        <v>44</v>
      </c>
      <c r="D1081">
        <v>5</v>
      </c>
      <c r="E1081">
        <v>5</v>
      </c>
      <c r="F1081">
        <v>0</v>
      </c>
      <c r="G1081">
        <v>0</v>
      </c>
      <c r="H1081">
        <v>9</v>
      </c>
      <c r="I1081" s="1">
        <v>45748</v>
      </c>
      <c r="J1081">
        <v>0</v>
      </c>
      <c r="K1081" t="s">
        <v>26</v>
      </c>
    </row>
    <row r="1082" spans="1:11">
      <c r="A1082" s="1">
        <v>45806</v>
      </c>
      <c r="B1082" t="s">
        <v>40</v>
      </c>
      <c r="C1082" t="s">
        <v>50</v>
      </c>
      <c r="D1082">
        <v>139</v>
      </c>
      <c r="E1082">
        <v>37</v>
      </c>
      <c r="F1082">
        <v>0</v>
      </c>
      <c r="G1082">
        <v>0</v>
      </c>
      <c r="H1082">
        <v>176</v>
      </c>
      <c r="I1082" s="1">
        <v>45778</v>
      </c>
      <c r="J1082">
        <v>0</v>
      </c>
      <c r="K1082" t="s">
        <v>26</v>
      </c>
    </row>
    <row r="1083" spans="1:11">
      <c r="A1083" s="1">
        <v>45806</v>
      </c>
      <c r="B1083" t="s">
        <v>40</v>
      </c>
      <c r="C1083" t="s">
        <v>27</v>
      </c>
      <c r="D1083">
        <v>754</v>
      </c>
      <c r="E1083">
        <v>92</v>
      </c>
      <c r="F1083">
        <v>0</v>
      </c>
      <c r="G1083">
        <v>0</v>
      </c>
      <c r="H1083">
        <v>846</v>
      </c>
      <c r="I1083" s="1">
        <v>45778</v>
      </c>
      <c r="J1083">
        <v>0</v>
      </c>
      <c r="K1083" t="s">
        <v>26</v>
      </c>
    </row>
    <row r="1084" spans="1:11">
      <c r="A1084" s="1">
        <v>45806</v>
      </c>
      <c r="B1084" t="s">
        <v>40</v>
      </c>
      <c r="C1084" t="s">
        <v>42</v>
      </c>
      <c r="D1084">
        <v>624</v>
      </c>
      <c r="E1084">
        <v>57</v>
      </c>
      <c r="F1084">
        <v>0</v>
      </c>
      <c r="G1084">
        <v>0</v>
      </c>
      <c r="H1084">
        <v>681</v>
      </c>
      <c r="I1084" s="1">
        <v>45778</v>
      </c>
      <c r="J1084">
        <v>0</v>
      </c>
      <c r="K1084" t="s">
        <v>26</v>
      </c>
    </row>
    <row r="1085" spans="1:11">
      <c r="A1085" s="1">
        <v>45806</v>
      </c>
      <c r="B1085" t="s">
        <v>21</v>
      </c>
      <c r="C1085" t="s">
        <v>37</v>
      </c>
      <c r="D1085">
        <v>6</v>
      </c>
      <c r="E1085">
        <v>3</v>
      </c>
      <c r="F1085">
        <v>0</v>
      </c>
      <c r="G1085">
        <v>0</v>
      </c>
      <c r="H1085">
        <v>9</v>
      </c>
      <c r="I1085" s="1">
        <v>45778</v>
      </c>
      <c r="J1085">
        <v>0</v>
      </c>
      <c r="K1085" t="s">
        <v>26</v>
      </c>
    </row>
    <row r="1086" spans="1:11">
      <c r="A1086" s="1">
        <v>45806</v>
      </c>
      <c r="B1086" t="s">
        <v>21</v>
      </c>
      <c r="C1086" t="s">
        <v>43</v>
      </c>
      <c r="D1086">
        <v>215</v>
      </c>
      <c r="E1086">
        <v>43</v>
      </c>
      <c r="F1086">
        <v>0</v>
      </c>
      <c r="G1086">
        <v>0</v>
      </c>
      <c r="H1086">
        <v>258</v>
      </c>
      <c r="I1086" s="1">
        <v>45778</v>
      </c>
      <c r="J1086">
        <v>0</v>
      </c>
      <c r="K1086" t="s">
        <v>26</v>
      </c>
    </row>
    <row r="1087" spans="1:11">
      <c r="A1087" s="1">
        <v>45834</v>
      </c>
      <c r="B1087" t="s">
        <v>40</v>
      </c>
      <c r="C1087" t="s">
        <v>41</v>
      </c>
      <c r="D1087">
        <v>369</v>
      </c>
      <c r="E1087">
        <v>37</v>
      </c>
      <c r="F1087">
        <v>0</v>
      </c>
      <c r="G1087">
        <v>0</v>
      </c>
      <c r="H1087">
        <v>406</v>
      </c>
      <c r="I1087" s="1">
        <v>45809</v>
      </c>
      <c r="J1087">
        <v>0</v>
      </c>
      <c r="K1087" t="s">
        <v>26</v>
      </c>
    </row>
    <row r="1088" spans="1:11">
      <c r="A1088" s="1">
        <v>45834</v>
      </c>
      <c r="B1088" t="s">
        <v>40</v>
      </c>
      <c r="C1088" t="s">
        <v>27</v>
      </c>
      <c r="D1088">
        <v>705</v>
      </c>
      <c r="E1088">
        <v>86</v>
      </c>
      <c r="F1088">
        <v>0</v>
      </c>
      <c r="G1088">
        <v>0</v>
      </c>
      <c r="H1088">
        <v>791</v>
      </c>
      <c r="I1088" s="1">
        <v>45809</v>
      </c>
      <c r="J1088">
        <v>0</v>
      </c>
      <c r="K1088" t="s">
        <v>26</v>
      </c>
    </row>
    <row r="1089" spans="1:11">
      <c r="A1089" s="1">
        <v>45834</v>
      </c>
      <c r="B1089" t="s">
        <v>40</v>
      </c>
      <c r="C1089" t="s">
        <v>42</v>
      </c>
      <c r="D1089">
        <v>574</v>
      </c>
      <c r="E1089">
        <v>64</v>
      </c>
      <c r="F1089">
        <v>0</v>
      </c>
      <c r="G1089">
        <v>0</v>
      </c>
      <c r="H1089">
        <v>637</v>
      </c>
      <c r="I1089" s="1">
        <v>45809</v>
      </c>
      <c r="J1089">
        <v>0</v>
      </c>
      <c r="K1089" t="s">
        <v>26</v>
      </c>
    </row>
    <row r="1090" spans="1:11">
      <c r="A1090" s="1">
        <v>45834</v>
      </c>
      <c r="B1090" t="s">
        <v>21</v>
      </c>
      <c r="C1090" t="s">
        <v>41</v>
      </c>
      <c r="D1090">
        <v>20</v>
      </c>
      <c r="E1090">
        <v>3</v>
      </c>
      <c r="F1090">
        <v>0</v>
      </c>
      <c r="G1090">
        <v>0</v>
      </c>
      <c r="H1090">
        <v>23</v>
      </c>
      <c r="I1090" s="1">
        <v>45809</v>
      </c>
      <c r="J1090">
        <v>0</v>
      </c>
      <c r="K1090" t="s">
        <v>26</v>
      </c>
    </row>
    <row r="1091" spans="1:11">
      <c r="A1091" s="1">
        <v>45834</v>
      </c>
      <c r="B1091" t="s">
        <v>21</v>
      </c>
      <c r="C1091" t="s">
        <v>43</v>
      </c>
      <c r="D1091">
        <v>154</v>
      </c>
      <c r="E1091">
        <v>36</v>
      </c>
      <c r="F1091">
        <v>0</v>
      </c>
      <c r="G1091">
        <v>0</v>
      </c>
      <c r="H1091">
        <v>190</v>
      </c>
      <c r="I1091" s="1">
        <v>45809</v>
      </c>
      <c r="J1091">
        <v>0</v>
      </c>
      <c r="K1091" t="s">
        <v>26</v>
      </c>
    </row>
    <row r="1092" spans="1:11">
      <c r="A1092" s="1">
        <v>45869</v>
      </c>
      <c r="B1092" t="s">
        <v>40</v>
      </c>
      <c r="C1092" t="s">
        <v>41</v>
      </c>
      <c r="D1092">
        <v>296</v>
      </c>
      <c r="E1092">
        <v>21</v>
      </c>
      <c r="F1092">
        <v>0</v>
      </c>
      <c r="G1092">
        <v>0</v>
      </c>
      <c r="H1092">
        <v>317</v>
      </c>
      <c r="I1092" s="1">
        <v>45839</v>
      </c>
      <c r="J1092">
        <v>0</v>
      </c>
      <c r="K1092" t="s">
        <v>26</v>
      </c>
    </row>
    <row r="1093" spans="1:11">
      <c r="A1093" s="1">
        <v>45869</v>
      </c>
      <c r="B1093" t="s">
        <v>40</v>
      </c>
      <c r="C1093" t="s">
        <v>27</v>
      </c>
      <c r="D1093">
        <v>762</v>
      </c>
      <c r="E1093">
        <v>94</v>
      </c>
      <c r="F1093">
        <v>0</v>
      </c>
      <c r="G1093">
        <v>0</v>
      </c>
      <c r="H1093">
        <v>856</v>
      </c>
      <c r="I1093" s="1">
        <v>45839</v>
      </c>
      <c r="J1093">
        <v>0</v>
      </c>
      <c r="K1093" t="s">
        <v>26</v>
      </c>
    </row>
    <row r="1094" spans="1:11">
      <c r="A1094" s="1">
        <v>45869</v>
      </c>
      <c r="B1094" t="s">
        <v>40</v>
      </c>
      <c r="C1094" t="s">
        <v>42</v>
      </c>
      <c r="D1094">
        <v>588</v>
      </c>
      <c r="E1094">
        <v>90</v>
      </c>
      <c r="F1094">
        <v>0</v>
      </c>
      <c r="G1094">
        <v>0</v>
      </c>
      <c r="H1094">
        <v>678</v>
      </c>
      <c r="I1094" s="1">
        <v>45839</v>
      </c>
      <c r="J1094">
        <v>0</v>
      </c>
      <c r="K1094" t="s">
        <v>26</v>
      </c>
    </row>
    <row r="1095" spans="1:11">
      <c r="A1095" s="1">
        <v>45869</v>
      </c>
      <c r="B1095" t="s">
        <v>21</v>
      </c>
      <c r="C1095" t="s">
        <v>30</v>
      </c>
      <c r="D1095">
        <v>3</v>
      </c>
      <c r="E1095">
        <v>3</v>
      </c>
      <c r="F1095">
        <v>0</v>
      </c>
      <c r="G1095">
        <v>0</v>
      </c>
      <c r="H1095">
        <v>5</v>
      </c>
      <c r="I1095" s="1">
        <v>45839</v>
      </c>
      <c r="J1095">
        <v>0</v>
      </c>
      <c r="K1095" t="s">
        <v>26</v>
      </c>
    </row>
    <row r="1096" spans="1:11">
      <c r="A1096" s="1">
        <v>45869</v>
      </c>
      <c r="B1096" t="s">
        <v>21</v>
      </c>
      <c r="C1096" t="s">
        <v>43</v>
      </c>
      <c r="D1096">
        <v>175</v>
      </c>
      <c r="E1096">
        <v>41</v>
      </c>
      <c r="F1096">
        <v>0</v>
      </c>
      <c r="G1096">
        <v>0</v>
      </c>
      <c r="H1096">
        <v>216</v>
      </c>
      <c r="I1096" s="1">
        <v>45839</v>
      </c>
      <c r="J1096">
        <v>0</v>
      </c>
      <c r="K1096" t="s">
        <v>26</v>
      </c>
    </row>
    <row r="1097" spans="1:11">
      <c r="A1097" s="1">
        <v>45897</v>
      </c>
      <c r="B1097" t="s">
        <v>40</v>
      </c>
      <c r="C1097" t="s">
        <v>41</v>
      </c>
      <c r="D1097">
        <v>362</v>
      </c>
      <c r="E1097">
        <v>19</v>
      </c>
      <c r="F1097">
        <v>0</v>
      </c>
      <c r="G1097">
        <v>0</v>
      </c>
      <c r="H1097">
        <v>381</v>
      </c>
      <c r="I1097" s="1">
        <v>45870</v>
      </c>
      <c r="J1097">
        <v>0</v>
      </c>
      <c r="K1097" t="s">
        <v>26</v>
      </c>
    </row>
    <row r="1098" spans="1:11">
      <c r="A1098" s="1">
        <v>45897</v>
      </c>
      <c r="B1098" t="s">
        <v>40</v>
      </c>
      <c r="C1098" t="s">
        <v>27</v>
      </c>
      <c r="D1098">
        <v>652</v>
      </c>
      <c r="E1098">
        <v>154</v>
      </c>
      <c r="F1098">
        <v>0</v>
      </c>
      <c r="G1098">
        <v>0</v>
      </c>
      <c r="H1098">
        <v>806</v>
      </c>
      <c r="I1098" s="1">
        <v>45870</v>
      </c>
      <c r="J1098">
        <v>0</v>
      </c>
      <c r="K1098" t="s">
        <v>26</v>
      </c>
    </row>
    <row r="1099" spans="1:11">
      <c r="A1099" s="1">
        <v>45897</v>
      </c>
      <c r="B1099" t="s">
        <v>40</v>
      </c>
      <c r="C1099" t="s">
        <v>42</v>
      </c>
      <c r="D1099">
        <v>563</v>
      </c>
      <c r="E1099">
        <v>108</v>
      </c>
      <c r="F1099">
        <v>0</v>
      </c>
      <c r="G1099">
        <v>0</v>
      </c>
      <c r="H1099">
        <v>671</v>
      </c>
      <c r="I1099" s="1">
        <v>45870</v>
      </c>
      <c r="J1099">
        <v>0</v>
      </c>
      <c r="K1099" t="s">
        <v>26</v>
      </c>
    </row>
    <row r="1100" spans="1:11">
      <c r="A1100" s="1">
        <v>45897</v>
      </c>
      <c r="B1100" t="s">
        <v>40</v>
      </c>
      <c r="C1100" t="s">
        <v>44</v>
      </c>
      <c r="D1100">
        <v>322</v>
      </c>
      <c r="E1100">
        <v>30</v>
      </c>
      <c r="F1100">
        <v>0</v>
      </c>
      <c r="G1100">
        <v>0</v>
      </c>
      <c r="H1100">
        <v>351</v>
      </c>
      <c r="I1100" s="1">
        <v>45870</v>
      </c>
      <c r="J1100">
        <v>0</v>
      </c>
      <c r="K1100" t="s">
        <v>26</v>
      </c>
    </row>
    <row r="1101" spans="1:11">
      <c r="A1101" s="1">
        <v>45897</v>
      </c>
      <c r="B1101" t="s">
        <v>21</v>
      </c>
      <c r="C1101" t="s">
        <v>51</v>
      </c>
      <c r="D1101">
        <v>22</v>
      </c>
      <c r="E1101">
        <v>8</v>
      </c>
      <c r="F1101">
        <v>0</v>
      </c>
      <c r="G1101">
        <v>0</v>
      </c>
      <c r="H1101">
        <v>30</v>
      </c>
      <c r="I1101" s="1">
        <v>45870</v>
      </c>
      <c r="J1101">
        <v>0</v>
      </c>
      <c r="K1101" t="s">
        <v>26</v>
      </c>
    </row>
    <row r="1102" spans="1:11">
      <c r="A1102" s="1">
        <v>45897</v>
      </c>
      <c r="B1102" t="s">
        <v>21</v>
      </c>
      <c r="C1102" t="s">
        <v>43</v>
      </c>
      <c r="D1102">
        <v>211</v>
      </c>
      <c r="E1102">
        <v>57</v>
      </c>
      <c r="F1102">
        <v>0</v>
      </c>
      <c r="G1102">
        <v>0</v>
      </c>
      <c r="H1102">
        <v>268</v>
      </c>
      <c r="I1102" s="1">
        <v>45870</v>
      </c>
      <c r="J1102">
        <v>0</v>
      </c>
      <c r="K1102" t="s">
        <v>26</v>
      </c>
    </row>
    <row r="1103" spans="1:11">
      <c r="A1103" s="1">
        <v>45925</v>
      </c>
      <c r="B1103" t="s">
        <v>40</v>
      </c>
      <c r="C1103" t="s">
        <v>41</v>
      </c>
      <c r="D1103">
        <v>438</v>
      </c>
      <c r="E1103">
        <v>16</v>
      </c>
      <c r="F1103">
        <v>0</v>
      </c>
      <c r="G1103">
        <v>0</v>
      </c>
      <c r="H1103">
        <v>454</v>
      </c>
      <c r="I1103" s="1">
        <v>45901</v>
      </c>
      <c r="J1103">
        <v>0</v>
      </c>
      <c r="K1103" t="s">
        <v>26</v>
      </c>
    </row>
    <row r="1104" spans="1:11">
      <c r="A1104" s="1">
        <v>45925</v>
      </c>
      <c r="B1104" t="s">
        <v>40</v>
      </c>
      <c r="C1104" t="s">
        <v>33</v>
      </c>
      <c r="D1104">
        <v>89</v>
      </c>
      <c r="E1104">
        <v>20</v>
      </c>
      <c r="F1104">
        <v>0</v>
      </c>
      <c r="G1104">
        <v>0</v>
      </c>
      <c r="H1104">
        <v>108</v>
      </c>
      <c r="I1104" s="1">
        <v>45901</v>
      </c>
      <c r="J1104">
        <v>0</v>
      </c>
      <c r="K1104" t="s">
        <v>26</v>
      </c>
    </row>
    <row r="1105" spans="1:11">
      <c r="A1105" s="1">
        <v>45925</v>
      </c>
      <c r="B1105" t="s">
        <v>40</v>
      </c>
      <c r="C1105" t="s">
        <v>27</v>
      </c>
      <c r="D1105">
        <v>675</v>
      </c>
      <c r="E1105">
        <v>191</v>
      </c>
      <c r="F1105">
        <v>0</v>
      </c>
      <c r="G1105">
        <v>0</v>
      </c>
      <c r="H1105">
        <v>866</v>
      </c>
      <c r="I1105" s="1">
        <v>45901</v>
      </c>
      <c r="J1105">
        <v>0</v>
      </c>
      <c r="K1105" t="s">
        <v>26</v>
      </c>
    </row>
    <row r="1106" spans="1:11">
      <c r="A1106" s="1">
        <v>45925</v>
      </c>
      <c r="B1106" t="s">
        <v>40</v>
      </c>
      <c r="C1106" t="s">
        <v>42</v>
      </c>
      <c r="D1106">
        <v>514</v>
      </c>
      <c r="E1106">
        <v>135</v>
      </c>
      <c r="F1106">
        <v>0</v>
      </c>
      <c r="G1106">
        <v>0</v>
      </c>
      <c r="H1106">
        <v>649</v>
      </c>
      <c r="I1106" s="1">
        <v>45901</v>
      </c>
      <c r="J1106">
        <v>0</v>
      </c>
      <c r="K1106" t="s">
        <v>26</v>
      </c>
    </row>
    <row r="1107" spans="1:11">
      <c r="A1107" s="1">
        <v>45925</v>
      </c>
      <c r="B1107" t="s">
        <v>40</v>
      </c>
      <c r="C1107" t="s">
        <v>44</v>
      </c>
      <c r="D1107">
        <v>359</v>
      </c>
      <c r="E1107">
        <v>34</v>
      </c>
      <c r="F1107">
        <v>0</v>
      </c>
      <c r="G1107">
        <v>0</v>
      </c>
      <c r="H1107">
        <v>393</v>
      </c>
      <c r="I1107" s="1">
        <v>45901</v>
      </c>
      <c r="J1107">
        <v>0</v>
      </c>
      <c r="K1107" t="s">
        <v>26</v>
      </c>
    </row>
    <row r="1108" spans="1:11">
      <c r="A1108" s="1">
        <v>45925</v>
      </c>
      <c r="B1108" t="s">
        <v>21</v>
      </c>
      <c r="C1108" t="s">
        <v>51</v>
      </c>
      <c r="D1108">
        <v>23</v>
      </c>
      <c r="E1108">
        <v>8</v>
      </c>
      <c r="F1108">
        <v>0</v>
      </c>
      <c r="G1108">
        <v>0</v>
      </c>
      <c r="H1108">
        <v>31</v>
      </c>
      <c r="I1108" s="1">
        <v>45901</v>
      </c>
      <c r="J1108">
        <v>0</v>
      </c>
      <c r="K1108" t="s">
        <v>26</v>
      </c>
    </row>
    <row r="1109" spans="1:11">
      <c r="A1109" s="1">
        <v>45925</v>
      </c>
      <c r="B1109" t="s">
        <v>21</v>
      </c>
      <c r="C1109" t="s">
        <v>43</v>
      </c>
      <c r="D1109">
        <v>174</v>
      </c>
      <c r="E1109">
        <v>39</v>
      </c>
      <c r="F1109">
        <v>0</v>
      </c>
      <c r="G1109">
        <v>0</v>
      </c>
      <c r="H1109">
        <v>213</v>
      </c>
      <c r="I1109" s="1">
        <v>45901</v>
      </c>
      <c r="J1109">
        <v>0</v>
      </c>
      <c r="K1109" t="s">
        <v>26</v>
      </c>
    </row>
    <row r="1110" spans="1:11">
      <c r="A1110" s="1">
        <v>45960</v>
      </c>
      <c r="B1110" t="s">
        <v>40</v>
      </c>
      <c r="C1110" t="s">
        <v>42</v>
      </c>
      <c r="D1110">
        <v>562</v>
      </c>
      <c r="E1110">
        <v>131</v>
      </c>
      <c r="F1110">
        <v>0</v>
      </c>
      <c r="G1110">
        <v>0</v>
      </c>
      <c r="H1110">
        <v>693</v>
      </c>
      <c r="I1110" s="1">
        <v>45931</v>
      </c>
      <c r="J1110">
        <v>0</v>
      </c>
      <c r="K1110" t="s">
        <v>26</v>
      </c>
    </row>
    <row r="1111" spans="1:11">
      <c r="A1111" s="1">
        <v>45960</v>
      </c>
      <c r="B1111" t="s">
        <v>40</v>
      </c>
      <c r="C1111" t="s">
        <v>44</v>
      </c>
      <c r="D1111">
        <v>333</v>
      </c>
      <c r="E1111">
        <v>42</v>
      </c>
      <c r="F1111">
        <v>0</v>
      </c>
      <c r="G1111">
        <v>0</v>
      </c>
      <c r="H1111">
        <v>375</v>
      </c>
      <c r="I1111" s="1">
        <v>45931</v>
      </c>
      <c r="J1111">
        <v>0</v>
      </c>
      <c r="K1111" t="s">
        <v>26</v>
      </c>
    </row>
    <row r="1112" spans="1:11">
      <c r="A1112" s="1">
        <v>45960</v>
      </c>
      <c r="B1112" t="s">
        <v>21</v>
      </c>
      <c r="C1112" t="s">
        <v>41</v>
      </c>
      <c r="D1112">
        <v>25</v>
      </c>
      <c r="E1112">
        <v>3</v>
      </c>
      <c r="F1112">
        <v>0</v>
      </c>
      <c r="G1112">
        <v>0</v>
      </c>
      <c r="H1112">
        <v>27</v>
      </c>
      <c r="I1112" s="1">
        <v>45931</v>
      </c>
      <c r="J1112">
        <v>0</v>
      </c>
      <c r="K1112" t="s">
        <v>26</v>
      </c>
    </row>
    <row r="1113" spans="1:11">
      <c r="A1113" s="1">
        <v>45960</v>
      </c>
      <c r="B1113" t="s">
        <v>21</v>
      </c>
      <c r="C1113" t="s">
        <v>57</v>
      </c>
      <c r="D1113">
        <v>30</v>
      </c>
      <c r="E1113">
        <v>7</v>
      </c>
      <c r="F1113">
        <v>0</v>
      </c>
      <c r="G1113">
        <v>0</v>
      </c>
      <c r="H1113">
        <v>37</v>
      </c>
      <c r="I1113" s="1">
        <v>45931</v>
      </c>
      <c r="J1113">
        <v>0</v>
      </c>
      <c r="K1113" t="s">
        <v>26</v>
      </c>
    </row>
    <row r="1114" spans="1:11">
      <c r="A1114" s="1">
        <v>45960</v>
      </c>
      <c r="B1114" t="s">
        <v>21</v>
      </c>
      <c r="C1114" t="s">
        <v>51</v>
      </c>
      <c r="D1114">
        <v>13</v>
      </c>
      <c r="E1114">
        <v>10</v>
      </c>
      <c r="F1114">
        <v>0</v>
      </c>
      <c r="G1114">
        <v>0</v>
      </c>
      <c r="H1114">
        <v>23</v>
      </c>
      <c r="I1114" s="1">
        <v>45931</v>
      </c>
      <c r="J1114">
        <v>0</v>
      </c>
      <c r="K1114" t="s">
        <v>26</v>
      </c>
    </row>
    <row r="1115" spans="1:11">
      <c r="A1115" s="1">
        <v>45960</v>
      </c>
      <c r="B1115" t="s">
        <v>21</v>
      </c>
      <c r="C1115" t="s">
        <v>43</v>
      </c>
      <c r="D1115">
        <v>218</v>
      </c>
      <c r="E1115">
        <v>23</v>
      </c>
      <c r="F1115">
        <v>0</v>
      </c>
      <c r="G1115">
        <v>0</v>
      </c>
      <c r="H1115">
        <v>241</v>
      </c>
      <c r="I1115" s="1">
        <v>45931</v>
      </c>
      <c r="J1115">
        <v>0</v>
      </c>
      <c r="K1115" t="s">
        <v>26</v>
      </c>
    </row>
    <row r="1116" spans="1:11">
      <c r="A1116" s="1">
        <v>45988</v>
      </c>
      <c r="B1116" t="s">
        <v>40</v>
      </c>
      <c r="C1116" t="s">
        <v>42</v>
      </c>
      <c r="D1116">
        <v>589</v>
      </c>
      <c r="E1116">
        <v>111</v>
      </c>
      <c r="F1116">
        <v>0</v>
      </c>
      <c r="G1116">
        <v>0</v>
      </c>
      <c r="H1116">
        <v>699</v>
      </c>
      <c r="I1116" s="1">
        <v>45962</v>
      </c>
      <c r="J1116">
        <v>0</v>
      </c>
      <c r="K1116" t="s">
        <v>26</v>
      </c>
    </row>
    <row r="1117" spans="1:11">
      <c r="A1117" s="1">
        <v>45988</v>
      </c>
      <c r="B1117" t="s">
        <v>21</v>
      </c>
      <c r="C1117" t="s">
        <v>51</v>
      </c>
      <c r="D1117">
        <v>14</v>
      </c>
      <c r="E1117">
        <v>3</v>
      </c>
      <c r="F1117">
        <v>0</v>
      </c>
      <c r="G1117">
        <v>0</v>
      </c>
      <c r="H1117">
        <v>17</v>
      </c>
      <c r="I1117" s="1">
        <v>45962</v>
      </c>
      <c r="J1117">
        <v>0</v>
      </c>
      <c r="K1117" t="s">
        <v>26</v>
      </c>
    </row>
    <row r="1118" spans="1:11">
      <c r="A1118" s="1">
        <v>45988</v>
      </c>
      <c r="B1118" t="s">
        <v>21</v>
      </c>
      <c r="C1118" t="s">
        <v>43</v>
      </c>
      <c r="D1118">
        <v>198</v>
      </c>
      <c r="E1118">
        <v>22</v>
      </c>
      <c r="F1118">
        <v>0</v>
      </c>
      <c r="G1118">
        <v>0</v>
      </c>
      <c r="H1118">
        <v>220</v>
      </c>
      <c r="I1118" s="1">
        <v>45962</v>
      </c>
      <c r="J1118">
        <v>0</v>
      </c>
      <c r="K1118" t="s">
        <v>26</v>
      </c>
    </row>
    <row r="1119" spans="1:11">
      <c r="A1119" s="1">
        <v>45988</v>
      </c>
      <c r="B1119" t="s">
        <v>21</v>
      </c>
      <c r="C1119" t="s">
        <v>54</v>
      </c>
      <c r="D1119">
        <v>24</v>
      </c>
      <c r="E1119">
        <v>3</v>
      </c>
      <c r="F1119">
        <v>0</v>
      </c>
      <c r="G1119">
        <v>0</v>
      </c>
      <c r="H1119">
        <v>27</v>
      </c>
      <c r="I1119" s="1">
        <v>45962</v>
      </c>
      <c r="J1119">
        <v>0</v>
      </c>
      <c r="K1119" t="s">
        <v>26</v>
      </c>
    </row>
    <row r="1120" spans="1:11">
      <c r="A1120" s="1">
        <v>46009</v>
      </c>
      <c r="B1120" t="s">
        <v>40</v>
      </c>
      <c r="C1120" t="s">
        <v>33</v>
      </c>
      <c r="D1120">
        <v>28</v>
      </c>
      <c r="E1120">
        <v>4</v>
      </c>
      <c r="F1120">
        <v>0</v>
      </c>
      <c r="G1120">
        <v>0</v>
      </c>
      <c r="H1120">
        <v>32</v>
      </c>
      <c r="I1120" s="1">
        <v>45992</v>
      </c>
      <c r="J1120">
        <v>0</v>
      </c>
      <c r="K1120" t="s">
        <v>26</v>
      </c>
    </row>
    <row r="1121" spans="1:11">
      <c r="A1121" s="1">
        <v>46009</v>
      </c>
      <c r="B1121" t="s">
        <v>40</v>
      </c>
      <c r="C1121" t="s">
        <v>42</v>
      </c>
      <c r="D1121">
        <v>595</v>
      </c>
      <c r="E1121">
        <v>61</v>
      </c>
      <c r="F1121">
        <v>0</v>
      </c>
      <c r="G1121">
        <v>0</v>
      </c>
      <c r="H1121">
        <v>656</v>
      </c>
      <c r="I1121" s="1">
        <v>45992</v>
      </c>
      <c r="J1121">
        <v>0</v>
      </c>
      <c r="K1121" t="s">
        <v>26</v>
      </c>
    </row>
    <row r="1122" spans="1:11">
      <c r="A1122" s="1">
        <v>46009</v>
      </c>
      <c r="B1122" t="s">
        <v>21</v>
      </c>
      <c r="C1122" t="s">
        <v>43</v>
      </c>
      <c r="D1122">
        <v>214</v>
      </c>
      <c r="E1122">
        <v>32</v>
      </c>
      <c r="F1122">
        <v>0</v>
      </c>
      <c r="G1122">
        <v>0</v>
      </c>
      <c r="H1122">
        <v>246</v>
      </c>
      <c r="I1122" s="1">
        <v>45992</v>
      </c>
      <c r="J1122">
        <v>0</v>
      </c>
      <c r="K1122" t="s">
        <v>26</v>
      </c>
    </row>
    <row r="1123" spans="1:11">
      <c r="A1123" s="1">
        <v>46009</v>
      </c>
      <c r="B1123" t="s">
        <v>21</v>
      </c>
      <c r="C1123" t="s">
        <v>54</v>
      </c>
      <c r="D1123">
        <v>39</v>
      </c>
      <c r="E1123">
        <v>3</v>
      </c>
      <c r="F1123">
        <v>0</v>
      </c>
      <c r="G1123">
        <v>0</v>
      </c>
      <c r="H1123">
        <v>42</v>
      </c>
      <c r="I1123" s="1">
        <v>45992</v>
      </c>
      <c r="J1123">
        <v>0</v>
      </c>
      <c r="K1123" t="s">
        <v>26</v>
      </c>
    </row>
    <row r="1124" spans="1:11">
      <c r="A1124" s="1">
        <v>46051</v>
      </c>
      <c r="B1124" t="s">
        <v>40</v>
      </c>
      <c r="C1124" t="s">
        <v>42</v>
      </c>
      <c r="D1124">
        <v>607</v>
      </c>
      <c r="E1124">
        <v>65</v>
      </c>
      <c r="F1124">
        <v>0</v>
      </c>
      <c r="G1124">
        <v>0</v>
      </c>
      <c r="H1124">
        <v>672</v>
      </c>
      <c r="I1124" s="1">
        <v>46023</v>
      </c>
      <c r="J1124">
        <v>0</v>
      </c>
      <c r="K1124" t="s">
        <v>26</v>
      </c>
    </row>
    <row r="1125" spans="1:11">
      <c r="A1125" s="1">
        <v>46051</v>
      </c>
      <c r="B1125" t="s">
        <v>40</v>
      </c>
      <c r="C1125" t="s">
        <v>22</v>
      </c>
      <c r="D1125">
        <v>772</v>
      </c>
      <c r="E1125">
        <v>63</v>
      </c>
      <c r="F1125">
        <v>0</v>
      </c>
      <c r="G1125">
        <v>0</v>
      </c>
      <c r="H1125">
        <v>835</v>
      </c>
      <c r="I1125" s="1">
        <v>46023</v>
      </c>
      <c r="J1125">
        <v>0</v>
      </c>
      <c r="K1125" t="s">
        <v>26</v>
      </c>
    </row>
    <row r="1126" spans="1:11">
      <c r="A1126" s="1">
        <v>46051</v>
      </c>
      <c r="B1126" t="s">
        <v>21</v>
      </c>
      <c r="C1126" t="s">
        <v>54</v>
      </c>
      <c r="D1126">
        <v>27</v>
      </c>
      <c r="E1126">
        <v>5</v>
      </c>
      <c r="F1126">
        <v>0</v>
      </c>
      <c r="G1126">
        <v>0</v>
      </c>
      <c r="H1126">
        <v>32</v>
      </c>
      <c r="I1126" s="1">
        <v>46023</v>
      </c>
      <c r="J1126">
        <v>0</v>
      </c>
      <c r="K1126" t="s">
        <v>26</v>
      </c>
    </row>
    <row r="1127" spans="1:11">
      <c r="A1127" s="1">
        <v>46079</v>
      </c>
      <c r="B1127" t="s">
        <v>40</v>
      </c>
      <c r="C1127" t="s">
        <v>41</v>
      </c>
      <c r="D1127">
        <v>411</v>
      </c>
      <c r="E1127">
        <v>7</v>
      </c>
      <c r="F1127">
        <v>0</v>
      </c>
      <c r="G1127">
        <v>0</v>
      </c>
      <c r="H1127">
        <v>418</v>
      </c>
      <c r="I1127" s="1">
        <v>46054</v>
      </c>
      <c r="J1127">
        <v>0</v>
      </c>
      <c r="K1127" t="s">
        <v>26</v>
      </c>
    </row>
    <row r="1128" spans="1:11">
      <c r="A1128" s="1">
        <v>46079</v>
      </c>
      <c r="B1128" t="s">
        <v>40</v>
      </c>
      <c r="C1128" t="s">
        <v>33</v>
      </c>
      <c r="D1128">
        <v>24</v>
      </c>
      <c r="E1128">
        <v>3</v>
      </c>
      <c r="F1128">
        <v>0</v>
      </c>
      <c r="G1128">
        <v>0</v>
      </c>
      <c r="H1128">
        <v>27</v>
      </c>
      <c r="I1128" s="1">
        <v>46054</v>
      </c>
      <c r="J1128">
        <v>0</v>
      </c>
      <c r="K1128" t="s">
        <v>26</v>
      </c>
    </row>
    <row r="1129" spans="1:11">
      <c r="A1129" s="1">
        <v>46079</v>
      </c>
      <c r="B1129" t="s">
        <v>21</v>
      </c>
      <c r="C1129" t="s">
        <v>54</v>
      </c>
      <c r="D1129">
        <v>34</v>
      </c>
      <c r="E1129">
        <v>8</v>
      </c>
      <c r="F1129">
        <v>0</v>
      </c>
      <c r="G1129">
        <v>0</v>
      </c>
      <c r="H1129">
        <v>41</v>
      </c>
      <c r="I1129" s="1">
        <v>46054</v>
      </c>
      <c r="J1129">
        <v>0</v>
      </c>
      <c r="K1129" t="s">
        <v>26</v>
      </c>
    </row>
    <row r="1130" spans="1:11">
      <c r="A1130" s="1">
        <v>46107</v>
      </c>
      <c r="B1130" t="s">
        <v>40</v>
      </c>
      <c r="C1130" t="s">
        <v>33</v>
      </c>
      <c r="D1130">
        <v>25</v>
      </c>
      <c r="E1130">
        <v>3</v>
      </c>
      <c r="F1130">
        <v>0</v>
      </c>
      <c r="G1130">
        <v>0</v>
      </c>
      <c r="H1130">
        <v>27</v>
      </c>
      <c r="I1130" s="1">
        <v>46082</v>
      </c>
      <c r="J1130">
        <v>0</v>
      </c>
      <c r="K1130" t="s">
        <v>26</v>
      </c>
    </row>
    <row r="1131" spans="1:11">
      <c r="A1131" s="1">
        <v>46107</v>
      </c>
      <c r="B1131" t="s">
        <v>21</v>
      </c>
      <c r="C1131" t="s">
        <v>43</v>
      </c>
      <c r="D1131">
        <v>209</v>
      </c>
      <c r="E1131">
        <v>27</v>
      </c>
      <c r="F1131">
        <v>0</v>
      </c>
      <c r="G1131">
        <v>0</v>
      </c>
      <c r="H1131">
        <v>236</v>
      </c>
      <c r="I1131" s="1">
        <v>46082</v>
      </c>
      <c r="J1131">
        <v>0</v>
      </c>
      <c r="K1131" t="s">
        <v>26</v>
      </c>
    </row>
    <row r="1132" spans="1:11">
      <c r="A1132" s="1">
        <v>46107</v>
      </c>
      <c r="B1132" t="s">
        <v>21</v>
      </c>
      <c r="C1132" t="s">
        <v>54</v>
      </c>
      <c r="D1132">
        <v>33</v>
      </c>
      <c r="E1132">
        <v>4</v>
      </c>
      <c r="F1132">
        <v>0</v>
      </c>
      <c r="G1132">
        <v>0</v>
      </c>
      <c r="H1132">
        <v>36</v>
      </c>
      <c r="I1132" s="1">
        <v>46082</v>
      </c>
      <c r="J1132">
        <v>0</v>
      </c>
      <c r="K1132" t="s">
        <v>26</v>
      </c>
    </row>
    <row r="1133" spans="1:11">
      <c r="A1133" s="1">
        <v>46107</v>
      </c>
      <c r="B1133" t="s">
        <v>21</v>
      </c>
      <c r="C1133" t="s">
        <v>35</v>
      </c>
      <c r="D1133">
        <v>5</v>
      </c>
      <c r="E1133">
        <v>3</v>
      </c>
      <c r="F1133">
        <v>0</v>
      </c>
      <c r="G1133">
        <v>0</v>
      </c>
      <c r="H1133">
        <v>8</v>
      </c>
      <c r="I1133" s="1">
        <v>46082</v>
      </c>
      <c r="J1133">
        <v>0</v>
      </c>
      <c r="K1133" t="s">
        <v>26</v>
      </c>
    </row>
    <row r="1134" spans="1:11">
      <c r="A1134" s="1">
        <v>46107</v>
      </c>
      <c r="B1134" t="s">
        <v>21</v>
      </c>
      <c r="C1134" t="s">
        <v>49</v>
      </c>
      <c r="D1134">
        <v>11</v>
      </c>
      <c r="E1134">
        <v>3</v>
      </c>
      <c r="F1134">
        <v>0</v>
      </c>
      <c r="G1134">
        <v>0</v>
      </c>
      <c r="H1134">
        <v>14</v>
      </c>
      <c r="I1134" s="1">
        <v>46082</v>
      </c>
      <c r="J1134">
        <v>0</v>
      </c>
      <c r="K1134" t="s">
        <v>26</v>
      </c>
    </row>
    <row r="1135" spans="1:11">
      <c r="A1135" s="1">
        <v>46142</v>
      </c>
      <c r="B1135" t="s">
        <v>40</v>
      </c>
      <c r="C1135" t="s">
        <v>41</v>
      </c>
      <c r="D1135">
        <v>294</v>
      </c>
      <c r="E1135">
        <v>27</v>
      </c>
      <c r="F1135">
        <v>0</v>
      </c>
      <c r="G1135">
        <v>0</v>
      </c>
      <c r="H1135">
        <v>321</v>
      </c>
      <c r="I1135" s="1">
        <v>46113</v>
      </c>
      <c r="J1135">
        <v>0</v>
      </c>
      <c r="K1135" t="s">
        <v>26</v>
      </c>
    </row>
    <row r="1136" spans="1:11">
      <c r="A1136" s="1">
        <v>46142</v>
      </c>
      <c r="B1136" t="s">
        <v>21</v>
      </c>
      <c r="C1136" t="s">
        <v>41</v>
      </c>
      <c r="D1136">
        <v>13</v>
      </c>
      <c r="E1136">
        <v>3</v>
      </c>
      <c r="F1136">
        <v>0</v>
      </c>
      <c r="G1136">
        <v>0</v>
      </c>
      <c r="H1136">
        <v>16</v>
      </c>
      <c r="I1136" s="1">
        <v>46113</v>
      </c>
      <c r="J1136">
        <v>0</v>
      </c>
      <c r="K1136" t="s">
        <v>26</v>
      </c>
    </row>
    <row r="1137" spans="1:11">
      <c r="A1137" s="1">
        <v>46142</v>
      </c>
      <c r="B1137" t="s">
        <v>21</v>
      </c>
      <c r="C1137" t="s">
        <v>57</v>
      </c>
      <c r="D1137">
        <v>47</v>
      </c>
      <c r="E1137">
        <v>15</v>
      </c>
      <c r="F1137">
        <v>0</v>
      </c>
      <c r="G1137">
        <v>0</v>
      </c>
      <c r="H1137">
        <v>62</v>
      </c>
      <c r="I1137" s="1">
        <v>46113</v>
      </c>
      <c r="J1137">
        <v>0</v>
      </c>
      <c r="K1137" t="s">
        <v>26</v>
      </c>
    </row>
    <row r="1138" spans="1:11">
      <c r="A1138" s="1">
        <v>46142</v>
      </c>
      <c r="B1138" t="s">
        <v>21</v>
      </c>
      <c r="C1138" t="s">
        <v>54</v>
      </c>
      <c r="D1138">
        <v>37</v>
      </c>
      <c r="E1138">
        <v>5</v>
      </c>
      <c r="F1138">
        <v>0</v>
      </c>
      <c r="G1138">
        <v>0</v>
      </c>
      <c r="H1138">
        <v>41</v>
      </c>
      <c r="I1138" s="1">
        <v>46113</v>
      </c>
      <c r="J1138">
        <v>0</v>
      </c>
      <c r="K1138" t="s">
        <v>26</v>
      </c>
    </row>
    <row r="1139" spans="1:11">
      <c r="A1139" s="1">
        <v>46170</v>
      </c>
      <c r="B1139" t="s">
        <v>40</v>
      </c>
      <c r="C1139" t="s">
        <v>41</v>
      </c>
      <c r="D1139">
        <v>363</v>
      </c>
      <c r="E1139">
        <v>32</v>
      </c>
      <c r="F1139">
        <v>0</v>
      </c>
      <c r="G1139">
        <v>0</v>
      </c>
      <c r="H1139">
        <v>395</v>
      </c>
      <c r="I1139" s="1">
        <v>46143</v>
      </c>
      <c r="J1139">
        <v>0</v>
      </c>
      <c r="K1139" t="s">
        <v>26</v>
      </c>
    </row>
    <row r="1140" spans="1:11">
      <c r="A1140" s="1">
        <v>46170</v>
      </c>
      <c r="B1140" t="s">
        <v>40</v>
      </c>
      <c r="C1140" t="s">
        <v>42</v>
      </c>
      <c r="D1140">
        <v>610</v>
      </c>
      <c r="E1140">
        <v>71</v>
      </c>
      <c r="F1140">
        <v>0</v>
      </c>
      <c r="G1140">
        <v>0</v>
      </c>
      <c r="H1140">
        <v>681</v>
      </c>
      <c r="I1140" s="1">
        <v>46143</v>
      </c>
      <c r="J1140">
        <v>0</v>
      </c>
      <c r="K1140" t="s">
        <v>26</v>
      </c>
    </row>
    <row r="1141" spans="1:11">
      <c r="A1141" s="1">
        <v>46170</v>
      </c>
      <c r="B1141" t="s">
        <v>21</v>
      </c>
      <c r="C1141" t="s">
        <v>41</v>
      </c>
      <c r="D1141">
        <v>11</v>
      </c>
      <c r="E1141">
        <v>4</v>
      </c>
      <c r="F1141">
        <v>0</v>
      </c>
      <c r="G1141">
        <v>0</v>
      </c>
      <c r="H1141">
        <v>15</v>
      </c>
      <c r="I1141" s="1">
        <v>46143</v>
      </c>
      <c r="J1141">
        <v>0</v>
      </c>
      <c r="K1141" t="s">
        <v>26</v>
      </c>
    </row>
    <row r="1142" spans="1:11">
      <c r="A1142" s="1">
        <v>46170</v>
      </c>
      <c r="B1142" t="s">
        <v>21</v>
      </c>
      <c r="C1142" t="s">
        <v>57</v>
      </c>
      <c r="D1142">
        <v>45</v>
      </c>
      <c r="E1142">
        <v>20</v>
      </c>
      <c r="F1142">
        <v>0</v>
      </c>
      <c r="G1142">
        <v>0</v>
      </c>
      <c r="H1142">
        <v>64</v>
      </c>
      <c r="I1142" s="1">
        <v>46143</v>
      </c>
      <c r="J1142">
        <v>0</v>
      </c>
      <c r="K1142" t="s">
        <v>26</v>
      </c>
    </row>
    <row r="1143" spans="1:11">
      <c r="A1143" s="1">
        <v>46170</v>
      </c>
      <c r="B1143" t="s">
        <v>21</v>
      </c>
      <c r="C1143" t="s">
        <v>54</v>
      </c>
      <c r="D1143">
        <v>33</v>
      </c>
      <c r="E1143">
        <v>3</v>
      </c>
      <c r="F1143">
        <v>0</v>
      </c>
      <c r="G1143">
        <v>0</v>
      </c>
      <c r="H1143">
        <v>36</v>
      </c>
      <c r="I1143" s="1">
        <v>46143</v>
      </c>
      <c r="J1143">
        <v>0</v>
      </c>
      <c r="K1143" t="s">
        <v>26</v>
      </c>
    </row>
    <row r="1144" spans="1:11">
      <c r="A1144" s="1">
        <v>46170</v>
      </c>
      <c r="B1144" t="s">
        <v>21</v>
      </c>
      <c r="C1144" t="s">
        <v>35</v>
      </c>
      <c r="D1144">
        <v>3</v>
      </c>
      <c r="E1144">
        <v>4</v>
      </c>
      <c r="F1144">
        <v>0</v>
      </c>
      <c r="G1144">
        <v>0</v>
      </c>
      <c r="H1144">
        <v>7</v>
      </c>
      <c r="I1144" s="1">
        <v>46143</v>
      </c>
      <c r="J1144">
        <v>0</v>
      </c>
      <c r="K1144" t="s">
        <v>26</v>
      </c>
    </row>
    <row r="1145" spans="1:11">
      <c r="A1145" s="1">
        <v>46198</v>
      </c>
      <c r="B1145" t="s">
        <v>40</v>
      </c>
      <c r="C1145" t="s">
        <v>42</v>
      </c>
      <c r="D1145">
        <v>646</v>
      </c>
      <c r="E1145">
        <v>52</v>
      </c>
      <c r="F1145">
        <v>0</v>
      </c>
      <c r="G1145">
        <v>0</v>
      </c>
      <c r="H1145">
        <v>698</v>
      </c>
      <c r="I1145" s="1">
        <v>46174</v>
      </c>
      <c r="J1145">
        <v>0</v>
      </c>
      <c r="K1145" t="s">
        <v>26</v>
      </c>
    </row>
    <row r="1146" spans="1:11">
      <c r="A1146" s="1">
        <v>46198</v>
      </c>
      <c r="B1146" t="s">
        <v>40</v>
      </c>
      <c r="C1146" t="s">
        <v>58</v>
      </c>
      <c r="D1146">
        <v>22</v>
      </c>
      <c r="E1146">
        <v>21</v>
      </c>
      <c r="F1146">
        <v>0</v>
      </c>
      <c r="G1146">
        <v>0</v>
      </c>
      <c r="H1146">
        <v>43</v>
      </c>
      <c r="I1146" s="1">
        <v>46174</v>
      </c>
      <c r="J1146">
        <v>0</v>
      </c>
      <c r="K1146" t="s">
        <v>26</v>
      </c>
    </row>
    <row r="1147" spans="1:11">
      <c r="A1147" s="1">
        <v>46198</v>
      </c>
      <c r="B1147" t="s">
        <v>21</v>
      </c>
      <c r="C1147" t="s">
        <v>41</v>
      </c>
      <c r="D1147">
        <v>18</v>
      </c>
      <c r="E1147">
        <v>4</v>
      </c>
      <c r="F1147">
        <v>0</v>
      </c>
      <c r="G1147">
        <v>0</v>
      </c>
      <c r="H1147">
        <v>22</v>
      </c>
      <c r="I1147" s="1">
        <v>46174</v>
      </c>
      <c r="J1147">
        <v>0</v>
      </c>
      <c r="K1147" t="s">
        <v>26</v>
      </c>
    </row>
    <row r="1148" spans="1:11">
      <c r="A1148" s="1">
        <v>46198</v>
      </c>
      <c r="B1148" t="s">
        <v>21</v>
      </c>
      <c r="C1148" t="s">
        <v>57</v>
      </c>
      <c r="D1148">
        <v>38</v>
      </c>
      <c r="E1148">
        <v>25</v>
      </c>
      <c r="F1148">
        <v>0</v>
      </c>
      <c r="G1148">
        <v>0</v>
      </c>
      <c r="H1148">
        <v>63</v>
      </c>
      <c r="I1148" s="1">
        <v>46174</v>
      </c>
      <c r="J1148">
        <v>0</v>
      </c>
      <c r="K1148" t="s">
        <v>26</v>
      </c>
    </row>
    <row r="1149" spans="1:11">
      <c r="A1149" s="1">
        <v>46198</v>
      </c>
      <c r="B1149" t="s">
        <v>21</v>
      </c>
      <c r="C1149" t="s">
        <v>43</v>
      </c>
      <c r="D1149">
        <v>186</v>
      </c>
      <c r="E1149">
        <v>26</v>
      </c>
      <c r="F1149">
        <v>0</v>
      </c>
      <c r="G1149">
        <v>0</v>
      </c>
      <c r="H1149">
        <v>212</v>
      </c>
      <c r="I1149" s="1">
        <v>46174</v>
      </c>
      <c r="J1149">
        <v>0</v>
      </c>
      <c r="K1149" t="s">
        <v>26</v>
      </c>
    </row>
    <row r="1150" spans="1:11">
      <c r="A1150" s="1">
        <v>46198</v>
      </c>
      <c r="B1150" t="s">
        <v>21</v>
      </c>
      <c r="C1150" t="s">
        <v>35</v>
      </c>
      <c r="D1150">
        <v>1</v>
      </c>
      <c r="E1150">
        <v>6</v>
      </c>
      <c r="F1150">
        <v>0</v>
      </c>
      <c r="G1150">
        <v>0</v>
      </c>
      <c r="H1150">
        <v>7</v>
      </c>
      <c r="I1150" s="1">
        <v>46174</v>
      </c>
      <c r="J1150">
        <v>0</v>
      </c>
      <c r="K1150" t="s">
        <v>26</v>
      </c>
    </row>
    <row r="1151" spans="1:11">
      <c r="A1151" s="1">
        <v>46198</v>
      </c>
      <c r="B1151" t="s">
        <v>21</v>
      </c>
      <c r="C1151" t="s">
        <v>31</v>
      </c>
      <c r="D1151">
        <v>3</v>
      </c>
      <c r="E1151">
        <v>3</v>
      </c>
      <c r="F1151">
        <v>0</v>
      </c>
      <c r="G1151">
        <v>0</v>
      </c>
      <c r="H1151">
        <v>5</v>
      </c>
      <c r="I1151" s="1">
        <v>46174</v>
      </c>
      <c r="J1151">
        <v>0</v>
      </c>
      <c r="K1151" t="s">
        <v>26</v>
      </c>
    </row>
    <row r="1152" spans="1:11">
      <c r="A1152" s="1">
        <v>46233</v>
      </c>
      <c r="B1152" t="s">
        <v>40</v>
      </c>
      <c r="C1152" t="s">
        <v>41</v>
      </c>
      <c r="D1152">
        <v>387</v>
      </c>
      <c r="E1152">
        <v>73</v>
      </c>
      <c r="F1152">
        <v>0</v>
      </c>
      <c r="G1152">
        <v>0</v>
      </c>
      <c r="H1152">
        <v>459</v>
      </c>
      <c r="I1152" s="1">
        <v>46204</v>
      </c>
      <c r="J1152">
        <v>0</v>
      </c>
      <c r="K1152" t="s">
        <v>26</v>
      </c>
    </row>
    <row r="1153" spans="1:11">
      <c r="A1153" s="1">
        <v>46233</v>
      </c>
      <c r="B1153" t="s">
        <v>21</v>
      </c>
      <c r="C1153" t="s">
        <v>41</v>
      </c>
      <c r="D1153">
        <v>23</v>
      </c>
      <c r="E1153">
        <v>6</v>
      </c>
      <c r="F1153">
        <v>0</v>
      </c>
      <c r="G1153">
        <v>0</v>
      </c>
      <c r="H1153">
        <v>29</v>
      </c>
      <c r="I1153" s="1">
        <v>46204</v>
      </c>
      <c r="J1153">
        <v>0</v>
      </c>
      <c r="K1153" t="s">
        <v>26</v>
      </c>
    </row>
    <row r="1154" spans="1:11">
      <c r="A1154" s="1">
        <v>46233</v>
      </c>
      <c r="B1154" t="s">
        <v>21</v>
      </c>
      <c r="C1154" t="s">
        <v>57</v>
      </c>
      <c r="D1154">
        <v>47</v>
      </c>
      <c r="E1154">
        <v>22</v>
      </c>
      <c r="F1154">
        <v>0</v>
      </c>
      <c r="G1154">
        <v>0</v>
      </c>
      <c r="H1154">
        <v>69</v>
      </c>
      <c r="I1154" s="1">
        <v>46204</v>
      </c>
      <c r="J1154">
        <v>0</v>
      </c>
      <c r="K1154" t="s">
        <v>26</v>
      </c>
    </row>
    <row r="1155" spans="1:11">
      <c r="A1155" s="1">
        <v>46233</v>
      </c>
      <c r="B1155" t="s">
        <v>21</v>
      </c>
      <c r="C1155" t="s">
        <v>43</v>
      </c>
      <c r="D1155">
        <v>184</v>
      </c>
      <c r="E1155">
        <v>20</v>
      </c>
      <c r="F1155">
        <v>0</v>
      </c>
      <c r="G1155">
        <v>0</v>
      </c>
      <c r="H1155">
        <v>204</v>
      </c>
      <c r="I1155" s="1">
        <v>46204</v>
      </c>
      <c r="J1155">
        <v>0</v>
      </c>
      <c r="K1155" t="s">
        <v>26</v>
      </c>
    </row>
    <row r="1156" spans="1:11">
      <c r="A1156" s="1">
        <v>46233</v>
      </c>
      <c r="B1156" t="s">
        <v>21</v>
      </c>
      <c r="C1156" t="s">
        <v>35</v>
      </c>
      <c r="D1156">
        <v>1</v>
      </c>
      <c r="E1156">
        <v>4</v>
      </c>
      <c r="F1156">
        <v>0</v>
      </c>
      <c r="G1156">
        <v>0</v>
      </c>
      <c r="H1156">
        <v>5</v>
      </c>
      <c r="I1156" s="1">
        <v>46204</v>
      </c>
      <c r="J1156">
        <v>0</v>
      </c>
      <c r="K1156" t="s">
        <v>26</v>
      </c>
    </row>
    <row r="1157" spans="1:11">
      <c r="A1157" s="1">
        <v>46261</v>
      </c>
      <c r="B1157" t="s">
        <v>40</v>
      </c>
      <c r="C1157" t="s">
        <v>41</v>
      </c>
      <c r="D1157">
        <v>434</v>
      </c>
      <c r="E1157">
        <v>97</v>
      </c>
      <c r="F1157">
        <v>0</v>
      </c>
      <c r="G1157">
        <v>0</v>
      </c>
      <c r="H1157">
        <v>531</v>
      </c>
      <c r="I1157" s="1">
        <v>46235</v>
      </c>
      <c r="J1157">
        <v>0</v>
      </c>
      <c r="K1157" t="s">
        <v>26</v>
      </c>
    </row>
    <row r="1158" spans="1:11">
      <c r="A1158" s="1">
        <v>46261</v>
      </c>
      <c r="B1158" t="s">
        <v>40</v>
      </c>
      <c r="C1158" t="s">
        <v>42</v>
      </c>
      <c r="D1158">
        <v>487</v>
      </c>
      <c r="E1158">
        <v>17</v>
      </c>
      <c r="F1158">
        <v>0</v>
      </c>
      <c r="G1158">
        <v>0</v>
      </c>
      <c r="H1158">
        <v>504</v>
      </c>
      <c r="I1158" s="1">
        <v>46235</v>
      </c>
      <c r="J1158">
        <v>0</v>
      </c>
      <c r="K1158" t="s">
        <v>26</v>
      </c>
    </row>
    <row r="1159" spans="1:11">
      <c r="A1159" s="1">
        <v>46261</v>
      </c>
      <c r="B1159" t="s">
        <v>40</v>
      </c>
      <c r="C1159" t="s">
        <v>52</v>
      </c>
      <c r="D1159">
        <v>661</v>
      </c>
      <c r="E1159">
        <v>39</v>
      </c>
      <c r="F1159">
        <v>0</v>
      </c>
      <c r="G1159">
        <v>0</v>
      </c>
      <c r="H1159">
        <v>700</v>
      </c>
      <c r="I1159" s="1">
        <v>46235</v>
      </c>
      <c r="J1159">
        <v>0</v>
      </c>
      <c r="K1159" t="s">
        <v>26</v>
      </c>
    </row>
    <row r="1160" spans="1:11">
      <c r="A1160" s="1">
        <v>46261</v>
      </c>
      <c r="B1160" t="s">
        <v>21</v>
      </c>
      <c r="C1160" t="s">
        <v>41</v>
      </c>
      <c r="D1160">
        <v>28</v>
      </c>
      <c r="E1160">
        <v>3</v>
      </c>
      <c r="F1160">
        <v>0</v>
      </c>
      <c r="G1160">
        <v>0</v>
      </c>
      <c r="H1160">
        <v>30</v>
      </c>
      <c r="I1160" s="1">
        <v>46235</v>
      </c>
      <c r="J1160">
        <v>0</v>
      </c>
      <c r="K1160" t="s">
        <v>26</v>
      </c>
    </row>
    <row r="1161" spans="1:11">
      <c r="A1161" s="1">
        <v>46261</v>
      </c>
      <c r="B1161" t="s">
        <v>21</v>
      </c>
      <c r="C1161" t="s">
        <v>57</v>
      </c>
      <c r="D1161">
        <v>39</v>
      </c>
      <c r="E1161">
        <v>30</v>
      </c>
      <c r="F1161">
        <v>0</v>
      </c>
      <c r="G1161">
        <v>0</v>
      </c>
      <c r="H1161">
        <v>69</v>
      </c>
      <c r="I1161" s="1">
        <v>46235</v>
      </c>
      <c r="J1161">
        <v>0</v>
      </c>
      <c r="K1161" t="s">
        <v>26</v>
      </c>
    </row>
    <row r="1162" spans="1:11">
      <c r="A1162" s="1">
        <v>46261</v>
      </c>
      <c r="B1162" t="s">
        <v>21</v>
      </c>
      <c r="C1162" t="s">
        <v>31</v>
      </c>
      <c r="D1162">
        <v>0</v>
      </c>
      <c r="E1162">
        <v>3</v>
      </c>
      <c r="F1162">
        <v>0</v>
      </c>
      <c r="G1162">
        <v>0</v>
      </c>
      <c r="H1162">
        <v>3</v>
      </c>
      <c r="I1162" s="1">
        <v>46235</v>
      </c>
      <c r="J1162">
        <v>0</v>
      </c>
      <c r="K1162" t="s">
        <v>26</v>
      </c>
    </row>
    <row r="1163" spans="1:11">
      <c r="A1163" s="1">
        <v>44952</v>
      </c>
      <c r="B1163" t="s">
        <v>40</v>
      </c>
      <c r="C1163" t="s">
        <v>34</v>
      </c>
      <c r="D1163">
        <v>2446</v>
      </c>
      <c r="E1163">
        <v>241</v>
      </c>
      <c r="F1163">
        <v>2</v>
      </c>
      <c r="G1163">
        <v>0</v>
      </c>
      <c r="H1163">
        <v>2689</v>
      </c>
      <c r="I1163" s="1">
        <v>44927</v>
      </c>
      <c r="J1163">
        <v>2</v>
      </c>
      <c r="K1163" t="s">
        <v>23</v>
      </c>
    </row>
    <row r="1164" spans="1:11">
      <c r="A1164" s="1">
        <v>44952</v>
      </c>
      <c r="B1164" t="s">
        <v>21</v>
      </c>
      <c r="C1164" t="s">
        <v>48</v>
      </c>
      <c r="D1164">
        <v>62</v>
      </c>
      <c r="E1164">
        <v>21</v>
      </c>
      <c r="F1164">
        <v>2</v>
      </c>
      <c r="G1164">
        <v>0</v>
      </c>
      <c r="H1164">
        <v>85</v>
      </c>
      <c r="I1164" s="1">
        <v>44927</v>
      </c>
      <c r="J1164">
        <v>2</v>
      </c>
      <c r="K1164" t="s">
        <v>23</v>
      </c>
    </row>
    <row r="1165" spans="1:11">
      <c r="A1165" s="1">
        <v>44980</v>
      </c>
      <c r="B1165" t="s">
        <v>21</v>
      </c>
      <c r="C1165" t="s">
        <v>48</v>
      </c>
      <c r="D1165">
        <v>67</v>
      </c>
      <c r="E1165">
        <v>26</v>
      </c>
      <c r="F1165">
        <v>2</v>
      </c>
      <c r="G1165">
        <v>0</v>
      </c>
      <c r="H1165">
        <v>95</v>
      </c>
      <c r="I1165" s="1">
        <v>44958</v>
      </c>
      <c r="J1165">
        <v>2</v>
      </c>
      <c r="K1165" t="s">
        <v>23</v>
      </c>
    </row>
    <row r="1166" spans="1:11">
      <c r="A1166" s="1">
        <v>44980</v>
      </c>
      <c r="B1166" t="s">
        <v>21</v>
      </c>
      <c r="C1166" t="s">
        <v>37</v>
      </c>
      <c r="D1166">
        <v>36</v>
      </c>
      <c r="E1166">
        <v>4</v>
      </c>
      <c r="F1166">
        <v>2</v>
      </c>
      <c r="G1166">
        <v>0</v>
      </c>
      <c r="H1166">
        <v>41</v>
      </c>
      <c r="I1166" s="1">
        <v>44958</v>
      </c>
      <c r="J1166">
        <v>2</v>
      </c>
      <c r="K1166" t="s">
        <v>23</v>
      </c>
    </row>
    <row r="1167" spans="1:11">
      <c r="A1167" s="1">
        <v>44980</v>
      </c>
      <c r="B1167" t="s">
        <v>21</v>
      </c>
      <c r="C1167" t="s">
        <v>49</v>
      </c>
      <c r="D1167">
        <v>557</v>
      </c>
      <c r="E1167">
        <v>285</v>
      </c>
      <c r="F1167">
        <v>2</v>
      </c>
      <c r="G1167">
        <v>0</v>
      </c>
      <c r="H1167">
        <v>843</v>
      </c>
      <c r="I1167" s="1">
        <v>44958</v>
      </c>
      <c r="J1167">
        <v>2</v>
      </c>
      <c r="K1167" t="s">
        <v>23</v>
      </c>
    </row>
    <row r="1168" spans="1:11">
      <c r="A1168" s="1">
        <v>45015</v>
      </c>
      <c r="B1168" t="s">
        <v>21</v>
      </c>
      <c r="C1168" t="s">
        <v>48</v>
      </c>
      <c r="D1168">
        <v>62</v>
      </c>
      <c r="E1168">
        <v>27</v>
      </c>
      <c r="F1168">
        <v>2</v>
      </c>
      <c r="G1168">
        <v>0</v>
      </c>
      <c r="H1168">
        <v>91</v>
      </c>
      <c r="I1168" s="1">
        <v>44986</v>
      </c>
      <c r="J1168">
        <v>2</v>
      </c>
      <c r="K1168" t="s">
        <v>23</v>
      </c>
    </row>
    <row r="1169" spans="1:11">
      <c r="A1169" s="1">
        <v>45015</v>
      </c>
      <c r="B1169" t="s">
        <v>21</v>
      </c>
      <c r="C1169" t="s">
        <v>37</v>
      </c>
      <c r="D1169">
        <v>38</v>
      </c>
      <c r="E1169">
        <v>6</v>
      </c>
      <c r="F1169">
        <v>2</v>
      </c>
      <c r="G1169">
        <v>0</v>
      </c>
      <c r="H1169">
        <v>45</v>
      </c>
      <c r="I1169" s="1">
        <v>44986</v>
      </c>
      <c r="J1169">
        <v>2</v>
      </c>
      <c r="K1169" t="s">
        <v>23</v>
      </c>
    </row>
    <row r="1170" spans="1:11">
      <c r="A1170" s="1">
        <v>45015</v>
      </c>
      <c r="B1170" t="s">
        <v>21</v>
      </c>
      <c r="C1170" t="s">
        <v>28</v>
      </c>
      <c r="D1170">
        <v>190</v>
      </c>
      <c r="E1170">
        <v>41</v>
      </c>
      <c r="F1170">
        <v>2</v>
      </c>
      <c r="G1170">
        <v>0</v>
      </c>
      <c r="H1170">
        <v>233</v>
      </c>
      <c r="I1170" s="1">
        <v>44986</v>
      </c>
      <c r="J1170">
        <v>2</v>
      </c>
      <c r="K1170" t="s">
        <v>23</v>
      </c>
    </row>
    <row r="1171" spans="1:11">
      <c r="A1171" s="1">
        <v>45043</v>
      </c>
      <c r="B1171" t="s">
        <v>21</v>
      </c>
      <c r="C1171" t="s">
        <v>48</v>
      </c>
      <c r="D1171">
        <v>66</v>
      </c>
      <c r="E1171">
        <v>12</v>
      </c>
      <c r="F1171">
        <v>2</v>
      </c>
      <c r="G1171">
        <v>0</v>
      </c>
      <c r="H1171">
        <v>80</v>
      </c>
      <c r="I1171" s="1">
        <v>45017</v>
      </c>
      <c r="J1171">
        <v>2</v>
      </c>
      <c r="K1171" t="s">
        <v>23</v>
      </c>
    </row>
    <row r="1172" spans="1:11">
      <c r="A1172" s="1">
        <v>45043</v>
      </c>
      <c r="B1172" t="s">
        <v>21</v>
      </c>
      <c r="C1172" t="s">
        <v>38</v>
      </c>
      <c r="D1172">
        <v>55</v>
      </c>
      <c r="E1172">
        <v>21</v>
      </c>
      <c r="F1172">
        <v>2</v>
      </c>
      <c r="G1172">
        <v>0</v>
      </c>
      <c r="H1172">
        <v>78</v>
      </c>
      <c r="I1172" s="1">
        <v>45017</v>
      </c>
      <c r="J1172">
        <v>2</v>
      </c>
      <c r="K1172" t="s">
        <v>23</v>
      </c>
    </row>
    <row r="1173" spans="1:11">
      <c r="A1173" s="1">
        <v>45071</v>
      </c>
      <c r="B1173" t="s">
        <v>21</v>
      </c>
      <c r="C1173" t="s">
        <v>28</v>
      </c>
      <c r="D1173">
        <v>238</v>
      </c>
      <c r="E1173">
        <v>68</v>
      </c>
      <c r="F1173">
        <v>2</v>
      </c>
      <c r="G1173">
        <v>0</v>
      </c>
      <c r="H1173">
        <v>307</v>
      </c>
      <c r="I1173" s="1">
        <v>45047</v>
      </c>
      <c r="J1173">
        <v>2</v>
      </c>
      <c r="K1173" t="s">
        <v>23</v>
      </c>
    </row>
    <row r="1174" spans="1:11">
      <c r="A1174" s="1">
        <v>45071</v>
      </c>
      <c r="B1174" t="s">
        <v>21</v>
      </c>
      <c r="C1174" t="s">
        <v>38</v>
      </c>
      <c r="D1174">
        <v>56</v>
      </c>
      <c r="E1174">
        <v>20</v>
      </c>
      <c r="F1174">
        <v>2</v>
      </c>
      <c r="G1174">
        <v>0</v>
      </c>
      <c r="H1174">
        <v>78</v>
      </c>
      <c r="I1174" s="1">
        <v>45047</v>
      </c>
      <c r="J1174">
        <v>2</v>
      </c>
      <c r="K1174" t="s">
        <v>23</v>
      </c>
    </row>
    <row r="1175" spans="1:11">
      <c r="A1175" s="1">
        <v>45106</v>
      </c>
      <c r="B1175" t="s">
        <v>21</v>
      </c>
      <c r="C1175" t="s">
        <v>28</v>
      </c>
      <c r="D1175">
        <v>263</v>
      </c>
      <c r="E1175">
        <v>72</v>
      </c>
      <c r="F1175">
        <v>2</v>
      </c>
      <c r="G1175">
        <v>0</v>
      </c>
      <c r="H1175">
        <v>337</v>
      </c>
      <c r="I1175" s="1">
        <v>45078</v>
      </c>
      <c r="J1175">
        <v>2</v>
      </c>
      <c r="K1175" t="s">
        <v>23</v>
      </c>
    </row>
    <row r="1176" spans="1:11">
      <c r="A1176" s="1">
        <v>45106</v>
      </c>
      <c r="B1176" t="s">
        <v>21</v>
      </c>
      <c r="C1176" t="s">
        <v>38</v>
      </c>
      <c r="D1176">
        <v>55</v>
      </c>
      <c r="E1176">
        <v>20</v>
      </c>
      <c r="F1176">
        <v>2</v>
      </c>
      <c r="G1176">
        <v>0</v>
      </c>
      <c r="H1176">
        <v>76</v>
      </c>
      <c r="I1176" s="1">
        <v>45078</v>
      </c>
      <c r="J1176">
        <v>2</v>
      </c>
      <c r="K1176" t="s">
        <v>23</v>
      </c>
    </row>
    <row r="1177" spans="1:11">
      <c r="A1177" s="1">
        <v>45106</v>
      </c>
      <c r="B1177" t="s">
        <v>21</v>
      </c>
      <c r="C1177" t="s">
        <v>35</v>
      </c>
      <c r="D1177">
        <v>28</v>
      </c>
      <c r="E1177">
        <v>2</v>
      </c>
      <c r="F1177">
        <v>2</v>
      </c>
      <c r="G1177">
        <v>0</v>
      </c>
      <c r="H1177">
        <v>31</v>
      </c>
      <c r="I1177" s="1">
        <v>45078</v>
      </c>
      <c r="J1177">
        <v>2</v>
      </c>
      <c r="K1177" t="s">
        <v>23</v>
      </c>
    </row>
    <row r="1178" spans="1:11">
      <c r="A1178" s="1">
        <v>45134</v>
      </c>
      <c r="B1178" t="s">
        <v>40</v>
      </c>
      <c r="C1178" t="s">
        <v>34</v>
      </c>
      <c r="D1178">
        <v>3263</v>
      </c>
      <c r="E1178">
        <v>79</v>
      </c>
      <c r="F1178">
        <v>2</v>
      </c>
      <c r="G1178">
        <v>0</v>
      </c>
      <c r="H1178">
        <v>3344</v>
      </c>
      <c r="I1178" s="1">
        <v>45108</v>
      </c>
      <c r="J1178">
        <v>2</v>
      </c>
      <c r="K1178" t="s">
        <v>23</v>
      </c>
    </row>
    <row r="1179" spans="1:11">
      <c r="A1179" s="1">
        <v>45134</v>
      </c>
      <c r="B1179" t="s">
        <v>21</v>
      </c>
      <c r="C1179" t="s">
        <v>35</v>
      </c>
      <c r="D1179">
        <v>29</v>
      </c>
      <c r="E1179">
        <v>2</v>
      </c>
      <c r="F1179">
        <v>2</v>
      </c>
      <c r="G1179">
        <v>0</v>
      </c>
      <c r="H1179">
        <v>33</v>
      </c>
      <c r="I1179" s="1">
        <v>45108</v>
      </c>
      <c r="J1179">
        <v>2</v>
      </c>
      <c r="K1179" t="s">
        <v>23</v>
      </c>
    </row>
    <row r="1180" spans="1:11">
      <c r="A1180" s="1">
        <v>45169</v>
      </c>
      <c r="B1180" t="s">
        <v>21</v>
      </c>
      <c r="C1180" t="s">
        <v>48</v>
      </c>
      <c r="D1180">
        <v>45</v>
      </c>
      <c r="E1180">
        <v>20</v>
      </c>
      <c r="F1180">
        <v>2</v>
      </c>
      <c r="G1180">
        <v>0</v>
      </c>
      <c r="H1180">
        <v>67</v>
      </c>
      <c r="I1180" s="1">
        <v>45139</v>
      </c>
      <c r="J1180">
        <v>2</v>
      </c>
      <c r="K1180" t="s">
        <v>23</v>
      </c>
    </row>
    <row r="1181" spans="1:11">
      <c r="A1181" s="1">
        <v>45169</v>
      </c>
      <c r="B1181" t="s">
        <v>21</v>
      </c>
      <c r="C1181" t="s">
        <v>38</v>
      </c>
      <c r="D1181">
        <v>51</v>
      </c>
      <c r="E1181">
        <v>17</v>
      </c>
      <c r="F1181">
        <v>2</v>
      </c>
      <c r="G1181">
        <v>0</v>
      </c>
      <c r="H1181">
        <v>70</v>
      </c>
      <c r="I1181" s="1">
        <v>45139</v>
      </c>
      <c r="J1181">
        <v>2</v>
      </c>
      <c r="K1181" t="s">
        <v>23</v>
      </c>
    </row>
    <row r="1182" spans="1:11">
      <c r="A1182" s="1">
        <v>45169</v>
      </c>
      <c r="B1182" t="s">
        <v>21</v>
      </c>
      <c r="C1182" t="s">
        <v>35</v>
      </c>
      <c r="D1182">
        <v>15</v>
      </c>
      <c r="E1182">
        <v>7</v>
      </c>
      <c r="F1182">
        <v>2</v>
      </c>
      <c r="G1182">
        <v>0</v>
      </c>
      <c r="H1182">
        <v>24</v>
      </c>
      <c r="I1182" s="1">
        <v>45139</v>
      </c>
      <c r="J1182">
        <v>2</v>
      </c>
      <c r="K1182" t="s">
        <v>23</v>
      </c>
    </row>
    <row r="1183" spans="1:11">
      <c r="A1183" s="1">
        <v>45225</v>
      </c>
      <c r="B1183" t="s">
        <v>40</v>
      </c>
      <c r="C1183" t="s">
        <v>38</v>
      </c>
      <c r="D1183">
        <v>2553</v>
      </c>
      <c r="E1183">
        <v>412</v>
      </c>
      <c r="F1183">
        <v>2</v>
      </c>
      <c r="G1183">
        <v>0</v>
      </c>
      <c r="H1183">
        <v>2967</v>
      </c>
      <c r="I1183" s="1">
        <v>45200</v>
      </c>
      <c r="J1183">
        <v>2</v>
      </c>
      <c r="K1183" t="s">
        <v>23</v>
      </c>
    </row>
    <row r="1184" spans="1:11">
      <c r="A1184" s="1">
        <v>45225</v>
      </c>
      <c r="B1184" t="s">
        <v>21</v>
      </c>
      <c r="C1184" t="s">
        <v>37</v>
      </c>
      <c r="D1184">
        <v>25</v>
      </c>
      <c r="E1184">
        <v>8</v>
      </c>
      <c r="F1184">
        <v>2</v>
      </c>
      <c r="G1184">
        <v>0</v>
      </c>
      <c r="H1184">
        <v>34</v>
      </c>
      <c r="I1184" s="1">
        <v>45200</v>
      </c>
      <c r="J1184">
        <v>2</v>
      </c>
      <c r="K1184" t="s">
        <v>23</v>
      </c>
    </row>
    <row r="1185" spans="1:11">
      <c r="A1185" s="1">
        <v>45225</v>
      </c>
      <c r="B1185" t="s">
        <v>21</v>
      </c>
      <c r="C1185" t="s">
        <v>53</v>
      </c>
      <c r="D1185">
        <v>26</v>
      </c>
      <c r="E1185">
        <v>7</v>
      </c>
      <c r="F1185">
        <v>2</v>
      </c>
      <c r="G1185">
        <v>0</v>
      </c>
      <c r="H1185">
        <v>35</v>
      </c>
      <c r="I1185" s="1">
        <v>45200</v>
      </c>
      <c r="J1185">
        <v>2</v>
      </c>
      <c r="K1185" t="s">
        <v>23</v>
      </c>
    </row>
    <row r="1186" spans="1:11">
      <c r="A1186" s="1">
        <v>45260</v>
      </c>
      <c r="B1186" t="s">
        <v>40</v>
      </c>
      <c r="C1186" t="s">
        <v>38</v>
      </c>
      <c r="D1186">
        <v>2525</v>
      </c>
      <c r="E1186">
        <v>479</v>
      </c>
      <c r="F1186">
        <v>2</v>
      </c>
      <c r="G1186">
        <v>0</v>
      </c>
      <c r="H1186">
        <v>3006</v>
      </c>
      <c r="I1186" s="1">
        <v>45231</v>
      </c>
      <c r="J1186">
        <v>2</v>
      </c>
      <c r="K1186" t="s">
        <v>23</v>
      </c>
    </row>
    <row r="1187" spans="1:11">
      <c r="A1187" s="1">
        <v>45260</v>
      </c>
      <c r="B1187" t="s">
        <v>21</v>
      </c>
      <c r="C1187" t="s">
        <v>33</v>
      </c>
      <c r="D1187">
        <v>32</v>
      </c>
      <c r="E1187">
        <v>22</v>
      </c>
      <c r="F1187">
        <v>2</v>
      </c>
      <c r="G1187">
        <v>0</v>
      </c>
      <c r="H1187">
        <v>56</v>
      </c>
      <c r="I1187" s="1">
        <v>45231</v>
      </c>
      <c r="J1187">
        <v>2</v>
      </c>
      <c r="K1187" t="s">
        <v>23</v>
      </c>
    </row>
    <row r="1188" spans="1:11">
      <c r="A1188" s="1">
        <v>45260</v>
      </c>
      <c r="B1188" t="s">
        <v>21</v>
      </c>
      <c r="C1188" t="s">
        <v>37</v>
      </c>
      <c r="D1188">
        <v>21</v>
      </c>
      <c r="E1188">
        <v>15</v>
      </c>
      <c r="F1188">
        <v>2</v>
      </c>
      <c r="G1188">
        <v>0</v>
      </c>
      <c r="H1188">
        <v>37</v>
      </c>
      <c r="I1188" s="1">
        <v>45231</v>
      </c>
      <c r="J1188">
        <v>2</v>
      </c>
      <c r="K1188" t="s">
        <v>23</v>
      </c>
    </row>
    <row r="1189" spans="1:11">
      <c r="A1189" s="1">
        <v>45288</v>
      </c>
      <c r="B1189" t="s">
        <v>40</v>
      </c>
      <c r="C1189" t="s">
        <v>38</v>
      </c>
      <c r="D1189">
        <v>2400</v>
      </c>
      <c r="E1189">
        <v>434</v>
      </c>
      <c r="F1189">
        <v>2</v>
      </c>
      <c r="G1189">
        <v>0</v>
      </c>
      <c r="H1189">
        <v>2836</v>
      </c>
      <c r="I1189" s="1">
        <v>45261</v>
      </c>
      <c r="J1189">
        <v>2</v>
      </c>
      <c r="K1189" t="s">
        <v>23</v>
      </c>
    </row>
    <row r="1190" spans="1:11">
      <c r="A1190" s="1">
        <v>45288</v>
      </c>
      <c r="B1190" t="s">
        <v>21</v>
      </c>
      <c r="C1190" t="s">
        <v>33</v>
      </c>
      <c r="D1190">
        <v>30</v>
      </c>
      <c r="E1190">
        <v>22</v>
      </c>
      <c r="F1190">
        <v>2</v>
      </c>
      <c r="G1190">
        <v>0</v>
      </c>
      <c r="H1190">
        <v>54</v>
      </c>
      <c r="I1190" s="1">
        <v>45261</v>
      </c>
      <c r="J1190">
        <v>2</v>
      </c>
      <c r="K1190" t="s">
        <v>23</v>
      </c>
    </row>
    <row r="1191" spans="1:11">
      <c r="A1191" s="1">
        <v>45288</v>
      </c>
      <c r="B1191" t="s">
        <v>21</v>
      </c>
      <c r="C1191" t="s">
        <v>37</v>
      </c>
      <c r="D1191">
        <v>16</v>
      </c>
      <c r="E1191">
        <v>13</v>
      </c>
      <c r="F1191">
        <v>2</v>
      </c>
      <c r="G1191">
        <v>0</v>
      </c>
      <c r="H1191">
        <v>30</v>
      </c>
      <c r="I1191" s="1">
        <v>45261</v>
      </c>
      <c r="J1191">
        <v>2</v>
      </c>
      <c r="K1191" t="s">
        <v>23</v>
      </c>
    </row>
    <row r="1192" spans="1:11">
      <c r="A1192" s="1">
        <v>45288</v>
      </c>
      <c r="B1192" t="s">
        <v>21</v>
      </c>
      <c r="C1192" t="s">
        <v>53</v>
      </c>
      <c r="D1192">
        <v>16</v>
      </c>
      <c r="E1192">
        <v>5</v>
      </c>
      <c r="F1192">
        <v>2</v>
      </c>
      <c r="G1192">
        <v>0</v>
      </c>
      <c r="H1192">
        <v>24</v>
      </c>
      <c r="I1192" s="1">
        <v>45261</v>
      </c>
      <c r="J1192">
        <v>2</v>
      </c>
      <c r="K1192" t="s">
        <v>23</v>
      </c>
    </row>
    <row r="1193" spans="1:11">
      <c r="A1193" s="1">
        <v>45316</v>
      </c>
      <c r="B1193" t="s">
        <v>40</v>
      </c>
      <c r="C1193" t="s">
        <v>30</v>
      </c>
      <c r="D1193">
        <v>2176</v>
      </c>
      <c r="E1193">
        <v>28</v>
      </c>
      <c r="F1193">
        <v>2</v>
      </c>
      <c r="G1193">
        <v>0</v>
      </c>
      <c r="H1193">
        <v>2206</v>
      </c>
      <c r="I1193" s="1">
        <v>45292</v>
      </c>
      <c r="J1193">
        <v>2</v>
      </c>
      <c r="K1193" t="s">
        <v>23</v>
      </c>
    </row>
    <row r="1194" spans="1:11">
      <c r="A1194" s="1">
        <v>45316</v>
      </c>
      <c r="B1194" t="s">
        <v>21</v>
      </c>
      <c r="C1194" t="s">
        <v>37</v>
      </c>
      <c r="D1194">
        <v>30</v>
      </c>
      <c r="E1194">
        <v>7</v>
      </c>
      <c r="F1194">
        <v>2</v>
      </c>
      <c r="G1194">
        <v>0</v>
      </c>
      <c r="H1194">
        <v>39</v>
      </c>
      <c r="I1194" s="1">
        <v>45292</v>
      </c>
      <c r="J1194">
        <v>2</v>
      </c>
      <c r="K1194" t="s">
        <v>23</v>
      </c>
    </row>
    <row r="1195" spans="1:11">
      <c r="A1195" s="1">
        <v>45316</v>
      </c>
      <c r="B1195" t="s">
        <v>21</v>
      </c>
      <c r="C1195" t="s">
        <v>32</v>
      </c>
      <c r="D1195">
        <v>312</v>
      </c>
      <c r="E1195">
        <v>41</v>
      </c>
      <c r="F1195">
        <v>2</v>
      </c>
      <c r="G1195">
        <v>0</v>
      </c>
      <c r="H1195">
        <v>355</v>
      </c>
      <c r="I1195" s="1">
        <v>45292</v>
      </c>
      <c r="J1195">
        <v>2</v>
      </c>
      <c r="K1195" t="s">
        <v>23</v>
      </c>
    </row>
    <row r="1196" spans="1:11">
      <c r="A1196" s="1">
        <v>45351</v>
      </c>
      <c r="B1196" t="s">
        <v>21</v>
      </c>
      <c r="C1196" t="s">
        <v>35</v>
      </c>
      <c r="D1196">
        <v>6</v>
      </c>
      <c r="E1196">
        <v>2</v>
      </c>
      <c r="F1196">
        <v>2</v>
      </c>
      <c r="G1196">
        <v>0</v>
      </c>
      <c r="H1196">
        <v>10</v>
      </c>
      <c r="I1196" s="1">
        <v>45323</v>
      </c>
      <c r="J1196">
        <v>2</v>
      </c>
      <c r="K1196" t="s">
        <v>23</v>
      </c>
    </row>
    <row r="1197" spans="1:11">
      <c r="A1197" s="1">
        <v>45351</v>
      </c>
      <c r="B1197" t="s">
        <v>21</v>
      </c>
      <c r="C1197" t="s">
        <v>32</v>
      </c>
      <c r="D1197">
        <v>311</v>
      </c>
      <c r="E1197">
        <v>45</v>
      </c>
      <c r="F1197">
        <v>2</v>
      </c>
      <c r="G1197">
        <v>0</v>
      </c>
      <c r="H1197">
        <v>358</v>
      </c>
      <c r="I1197" s="1">
        <v>45323</v>
      </c>
      <c r="J1197">
        <v>2</v>
      </c>
      <c r="K1197" t="s">
        <v>23</v>
      </c>
    </row>
    <row r="1198" spans="1:11">
      <c r="A1198" s="1">
        <v>45379</v>
      </c>
      <c r="B1198" t="s">
        <v>21</v>
      </c>
      <c r="C1198" t="s">
        <v>32</v>
      </c>
      <c r="D1198">
        <v>285</v>
      </c>
      <c r="E1198">
        <v>52</v>
      </c>
      <c r="F1198">
        <v>2</v>
      </c>
      <c r="G1198">
        <v>0</v>
      </c>
      <c r="H1198">
        <v>339</v>
      </c>
      <c r="I1198" s="1">
        <v>45352</v>
      </c>
      <c r="J1198">
        <v>2</v>
      </c>
      <c r="K1198" t="s">
        <v>23</v>
      </c>
    </row>
    <row r="1199" spans="1:11">
      <c r="A1199" s="1">
        <v>45407</v>
      </c>
      <c r="B1199" t="s">
        <v>21</v>
      </c>
      <c r="C1199" t="s">
        <v>35</v>
      </c>
      <c r="D1199">
        <v>9</v>
      </c>
      <c r="E1199">
        <v>2</v>
      </c>
      <c r="F1199">
        <v>2</v>
      </c>
      <c r="G1199">
        <v>0</v>
      </c>
      <c r="H1199">
        <v>13</v>
      </c>
      <c r="I1199" s="1">
        <v>45383</v>
      </c>
      <c r="J1199">
        <v>2</v>
      </c>
      <c r="K1199" t="s">
        <v>23</v>
      </c>
    </row>
    <row r="1200" spans="1:11">
      <c r="A1200" s="1">
        <v>45407</v>
      </c>
      <c r="B1200" t="s">
        <v>21</v>
      </c>
      <c r="C1200" t="s">
        <v>32</v>
      </c>
      <c r="D1200">
        <v>268</v>
      </c>
      <c r="E1200">
        <v>54</v>
      </c>
      <c r="F1200">
        <v>2</v>
      </c>
      <c r="G1200">
        <v>0</v>
      </c>
      <c r="H1200">
        <v>324</v>
      </c>
      <c r="I1200" s="1">
        <v>45383</v>
      </c>
      <c r="J1200">
        <v>2</v>
      </c>
      <c r="K1200" t="s">
        <v>23</v>
      </c>
    </row>
    <row r="1201" spans="1:11">
      <c r="A1201" s="1">
        <v>45442</v>
      </c>
      <c r="B1201" t="s">
        <v>21</v>
      </c>
      <c r="C1201" t="s">
        <v>25</v>
      </c>
      <c r="D1201">
        <v>172</v>
      </c>
      <c r="E1201">
        <v>58</v>
      </c>
      <c r="F1201">
        <v>2</v>
      </c>
      <c r="G1201">
        <v>0</v>
      </c>
      <c r="H1201">
        <v>231</v>
      </c>
      <c r="I1201" s="1">
        <v>45413</v>
      </c>
      <c r="J1201">
        <v>2</v>
      </c>
      <c r="K1201" t="s">
        <v>23</v>
      </c>
    </row>
    <row r="1202" spans="1:11">
      <c r="A1202" s="1">
        <v>45442</v>
      </c>
      <c r="B1202" t="s">
        <v>21</v>
      </c>
      <c r="C1202" t="s">
        <v>36</v>
      </c>
      <c r="D1202">
        <v>11</v>
      </c>
      <c r="E1202">
        <v>6</v>
      </c>
      <c r="F1202">
        <v>2</v>
      </c>
      <c r="G1202">
        <v>0</v>
      </c>
      <c r="H1202">
        <v>19</v>
      </c>
      <c r="I1202" s="1">
        <v>45413</v>
      </c>
      <c r="J1202">
        <v>2</v>
      </c>
      <c r="K1202" t="s">
        <v>23</v>
      </c>
    </row>
    <row r="1203" spans="1:11">
      <c r="A1203" s="1">
        <v>45470</v>
      </c>
      <c r="B1203" t="s">
        <v>21</v>
      </c>
      <c r="C1203" t="s">
        <v>35</v>
      </c>
      <c r="D1203">
        <v>7</v>
      </c>
      <c r="E1203">
        <v>2</v>
      </c>
      <c r="F1203">
        <v>2</v>
      </c>
      <c r="G1203">
        <v>0</v>
      </c>
      <c r="H1203">
        <v>11</v>
      </c>
      <c r="I1203" s="1">
        <v>45444</v>
      </c>
      <c r="J1203">
        <v>2</v>
      </c>
      <c r="K1203" t="s">
        <v>23</v>
      </c>
    </row>
    <row r="1204" spans="1:11">
      <c r="A1204" s="1">
        <v>45498</v>
      </c>
      <c r="B1204" t="s">
        <v>21</v>
      </c>
      <c r="C1204" t="s">
        <v>49</v>
      </c>
      <c r="D1204">
        <v>734</v>
      </c>
      <c r="E1204">
        <v>264</v>
      </c>
      <c r="F1204">
        <v>2</v>
      </c>
      <c r="G1204">
        <v>0</v>
      </c>
      <c r="H1204">
        <v>1000</v>
      </c>
      <c r="I1204" s="1">
        <v>45474</v>
      </c>
      <c r="J1204">
        <v>2</v>
      </c>
      <c r="K1204" t="s">
        <v>23</v>
      </c>
    </row>
    <row r="1205" spans="1:11">
      <c r="A1205" s="1">
        <v>45533</v>
      </c>
      <c r="B1205" t="s">
        <v>21</v>
      </c>
      <c r="C1205" t="s">
        <v>48</v>
      </c>
      <c r="D1205">
        <v>60</v>
      </c>
      <c r="E1205">
        <v>10</v>
      </c>
      <c r="F1205">
        <v>2</v>
      </c>
      <c r="G1205">
        <v>0</v>
      </c>
      <c r="H1205">
        <v>71</v>
      </c>
      <c r="I1205" s="1">
        <v>45505</v>
      </c>
      <c r="J1205">
        <v>2</v>
      </c>
      <c r="K1205" t="s">
        <v>23</v>
      </c>
    </row>
    <row r="1206" spans="1:11">
      <c r="A1206" s="1">
        <v>45596</v>
      </c>
      <c r="B1206" t="s">
        <v>40</v>
      </c>
      <c r="C1206" t="s">
        <v>50</v>
      </c>
      <c r="D1206">
        <v>621</v>
      </c>
      <c r="E1206">
        <v>99</v>
      </c>
      <c r="F1206">
        <v>2</v>
      </c>
      <c r="G1206">
        <v>0</v>
      </c>
      <c r="H1206">
        <v>723</v>
      </c>
      <c r="I1206" s="1">
        <v>45566</v>
      </c>
      <c r="J1206">
        <v>2</v>
      </c>
      <c r="K1206" t="s">
        <v>23</v>
      </c>
    </row>
    <row r="1207" spans="1:11">
      <c r="A1207" s="1">
        <v>45596</v>
      </c>
      <c r="B1207" t="s">
        <v>21</v>
      </c>
      <c r="C1207" t="s">
        <v>35</v>
      </c>
      <c r="D1207">
        <v>7</v>
      </c>
      <c r="E1207">
        <v>4</v>
      </c>
      <c r="F1207">
        <v>2</v>
      </c>
      <c r="G1207">
        <v>0</v>
      </c>
      <c r="H1207">
        <v>13</v>
      </c>
      <c r="I1207" s="1">
        <v>45566</v>
      </c>
      <c r="J1207">
        <v>2</v>
      </c>
      <c r="K1207" t="s">
        <v>23</v>
      </c>
    </row>
    <row r="1208" spans="1:11">
      <c r="A1208" s="1">
        <v>45624</v>
      </c>
      <c r="B1208" t="s">
        <v>21</v>
      </c>
      <c r="C1208" t="s">
        <v>35</v>
      </c>
      <c r="D1208">
        <v>12</v>
      </c>
      <c r="E1208">
        <v>3</v>
      </c>
      <c r="F1208">
        <v>2</v>
      </c>
      <c r="G1208">
        <v>0</v>
      </c>
      <c r="H1208">
        <v>17</v>
      </c>
      <c r="I1208" s="1">
        <v>45597</v>
      </c>
      <c r="J1208">
        <v>2</v>
      </c>
      <c r="K1208" t="s">
        <v>23</v>
      </c>
    </row>
    <row r="1209" spans="1:11">
      <c r="A1209" s="1">
        <v>45645</v>
      </c>
      <c r="B1209" t="s">
        <v>21</v>
      </c>
      <c r="C1209" t="s">
        <v>48</v>
      </c>
      <c r="D1209">
        <v>45</v>
      </c>
      <c r="E1209">
        <v>6</v>
      </c>
      <c r="F1209">
        <v>2</v>
      </c>
      <c r="G1209">
        <v>0</v>
      </c>
      <c r="H1209">
        <v>53</v>
      </c>
      <c r="I1209" s="1">
        <v>45627</v>
      </c>
      <c r="J1209">
        <v>2</v>
      </c>
      <c r="K1209" t="s">
        <v>23</v>
      </c>
    </row>
    <row r="1210" spans="1:11">
      <c r="A1210" s="1">
        <v>45645</v>
      </c>
      <c r="B1210" t="s">
        <v>21</v>
      </c>
      <c r="C1210" t="s">
        <v>38</v>
      </c>
      <c r="D1210">
        <v>33</v>
      </c>
      <c r="E1210">
        <v>2</v>
      </c>
      <c r="F1210">
        <v>2</v>
      </c>
      <c r="G1210">
        <v>0</v>
      </c>
      <c r="H1210">
        <v>37</v>
      </c>
      <c r="I1210" s="1">
        <v>45627</v>
      </c>
      <c r="J1210">
        <v>2</v>
      </c>
      <c r="K1210" t="s">
        <v>23</v>
      </c>
    </row>
    <row r="1211" spans="1:11">
      <c r="A1211" s="1">
        <v>45687</v>
      </c>
      <c r="B1211" t="s">
        <v>40</v>
      </c>
      <c r="C1211" t="s">
        <v>30</v>
      </c>
      <c r="D1211">
        <v>1697</v>
      </c>
      <c r="E1211">
        <v>161</v>
      </c>
      <c r="F1211">
        <v>2</v>
      </c>
      <c r="G1211">
        <v>0</v>
      </c>
      <c r="H1211">
        <v>1860</v>
      </c>
      <c r="I1211" s="1">
        <v>45658</v>
      </c>
      <c r="J1211">
        <v>2</v>
      </c>
      <c r="K1211" t="s">
        <v>23</v>
      </c>
    </row>
    <row r="1212" spans="1:11">
      <c r="A1212" s="1">
        <v>45687</v>
      </c>
      <c r="B1212" t="s">
        <v>40</v>
      </c>
      <c r="C1212" t="s">
        <v>42</v>
      </c>
      <c r="D1212">
        <v>1498</v>
      </c>
      <c r="E1212">
        <v>570</v>
      </c>
      <c r="F1212">
        <v>2</v>
      </c>
      <c r="G1212">
        <v>0</v>
      </c>
      <c r="H1212">
        <v>2069</v>
      </c>
      <c r="I1212" s="1">
        <v>45658</v>
      </c>
      <c r="J1212">
        <v>2</v>
      </c>
      <c r="K1212" t="s">
        <v>23</v>
      </c>
    </row>
    <row r="1213" spans="1:11">
      <c r="A1213" s="1">
        <v>45687</v>
      </c>
      <c r="B1213" t="s">
        <v>40</v>
      </c>
      <c r="C1213" t="s">
        <v>34</v>
      </c>
      <c r="D1213">
        <v>3700</v>
      </c>
      <c r="E1213">
        <v>886</v>
      </c>
      <c r="F1213">
        <v>2</v>
      </c>
      <c r="G1213">
        <v>0</v>
      </c>
      <c r="H1213">
        <v>4588</v>
      </c>
      <c r="I1213" s="1">
        <v>45658</v>
      </c>
      <c r="J1213">
        <v>2</v>
      </c>
      <c r="K1213" t="s">
        <v>23</v>
      </c>
    </row>
    <row r="1214" spans="1:11">
      <c r="A1214" s="1">
        <v>45743</v>
      </c>
      <c r="B1214" t="s">
        <v>40</v>
      </c>
      <c r="C1214" t="s">
        <v>34</v>
      </c>
      <c r="D1214">
        <v>3828</v>
      </c>
      <c r="E1214">
        <v>968</v>
      </c>
      <c r="F1214">
        <v>2</v>
      </c>
      <c r="G1214">
        <v>0</v>
      </c>
      <c r="H1214">
        <v>4798</v>
      </c>
      <c r="I1214" s="1">
        <v>45717</v>
      </c>
      <c r="J1214">
        <v>2</v>
      </c>
      <c r="K1214" t="s">
        <v>23</v>
      </c>
    </row>
    <row r="1215" spans="1:11">
      <c r="A1215" s="1">
        <v>45806</v>
      </c>
      <c r="B1215" t="s">
        <v>40</v>
      </c>
      <c r="C1215" t="s">
        <v>24</v>
      </c>
      <c r="D1215">
        <v>322</v>
      </c>
      <c r="E1215">
        <v>161</v>
      </c>
      <c r="F1215">
        <v>2</v>
      </c>
      <c r="G1215">
        <v>0</v>
      </c>
      <c r="H1215">
        <v>485</v>
      </c>
      <c r="I1215" s="1">
        <v>45778</v>
      </c>
      <c r="J1215">
        <v>2</v>
      </c>
      <c r="K1215" t="s">
        <v>23</v>
      </c>
    </row>
    <row r="1216" spans="1:11">
      <c r="A1216" s="1">
        <v>45834</v>
      </c>
      <c r="B1216" t="s">
        <v>40</v>
      </c>
      <c r="C1216" t="s">
        <v>24</v>
      </c>
      <c r="D1216">
        <v>323</v>
      </c>
      <c r="E1216">
        <v>152</v>
      </c>
      <c r="F1216">
        <v>2</v>
      </c>
      <c r="G1216">
        <v>0</v>
      </c>
      <c r="H1216">
        <v>477</v>
      </c>
      <c r="I1216" s="1">
        <v>45809</v>
      </c>
      <c r="J1216">
        <v>2</v>
      </c>
      <c r="K1216" t="s">
        <v>23</v>
      </c>
    </row>
    <row r="1217" spans="1:11">
      <c r="A1217" s="1">
        <v>45834</v>
      </c>
      <c r="B1217" t="s">
        <v>21</v>
      </c>
      <c r="C1217" t="s">
        <v>49</v>
      </c>
      <c r="D1217">
        <v>749</v>
      </c>
      <c r="E1217">
        <v>294</v>
      </c>
      <c r="F1217">
        <v>2</v>
      </c>
      <c r="G1217">
        <v>0</v>
      </c>
      <c r="H1217">
        <v>1045</v>
      </c>
      <c r="I1217" s="1">
        <v>45809</v>
      </c>
      <c r="J1217">
        <v>2</v>
      </c>
      <c r="K1217" t="s">
        <v>23</v>
      </c>
    </row>
    <row r="1218" spans="1:11">
      <c r="A1218" s="1">
        <v>45925</v>
      </c>
      <c r="B1218" t="s">
        <v>40</v>
      </c>
      <c r="C1218" t="s">
        <v>24</v>
      </c>
      <c r="D1218">
        <v>291</v>
      </c>
      <c r="E1218">
        <v>196</v>
      </c>
      <c r="F1218">
        <v>2</v>
      </c>
      <c r="G1218">
        <v>0</v>
      </c>
      <c r="H1218">
        <v>489</v>
      </c>
      <c r="I1218" s="1">
        <v>45901</v>
      </c>
      <c r="J1218">
        <v>2</v>
      </c>
      <c r="K1218" t="s">
        <v>23</v>
      </c>
    </row>
    <row r="1219" spans="1:11">
      <c r="A1219" s="1">
        <v>45925</v>
      </c>
      <c r="B1219" t="s">
        <v>21</v>
      </c>
      <c r="C1219" t="s">
        <v>43</v>
      </c>
      <c r="D1219">
        <v>792</v>
      </c>
      <c r="E1219">
        <v>343</v>
      </c>
      <c r="F1219">
        <v>2</v>
      </c>
      <c r="G1219">
        <v>0</v>
      </c>
      <c r="H1219">
        <v>1137</v>
      </c>
      <c r="I1219" s="1">
        <v>45901</v>
      </c>
      <c r="J1219">
        <v>2</v>
      </c>
      <c r="K1219" t="s">
        <v>23</v>
      </c>
    </row>
    <row r="1220" spans="1:11">
      <c r="A1220" s="1">
        <v>45925</v>
      </c>
      <c r="B1220" t="s">
        <v>21</v>
      </c>
      <c r="C1220" t="s">
        <v>49</v>
      </c>
      <c r="D1220">
        <v>664</v>
      </c>
      <c r="E1220">
        <v>334</v>
      </c>
      <c r="F1220">
        <v>2</v>
      </c>
      <c r="G1220">
        <v>0</v>
      </c>
      <c r="H1220">
        <v>999</v>
      </c>
      <c r="I1220" s="1">
        <v>45901</v>
      </c>
      <c r="J1220">
        <v>2</v>
      </c>
      <c r="K1220" t="s">
        <v>23</v>
      </c>
    </row>
    <row r="1221" spans="1:11">
      <c r="A1221" s="1">
        <v>45960</v>
      </c>
      <c r="B1221" t="s">
        <v>21</v>
      </c>
      <c r="C1221" t="s">
        <v>43</v>
      </c>
      <c r="D1221">
        <v>771</v>
      </c>
      <c r="E1221">
        <v>347</v>
      </c>
      <c r="F1221">
        <v>2</v>
      </c>
      <c r="G1221">
        <v>0</v>
      </c>
      <c r="H1221">
        <v>1120</v>
      </c>
      <c r="I1221" s="1">
        <v>45931</v>
      </c>
      <c r="J1221">
        <v>2</v>
      </c>
      <c r="K1221" t="s">
        <v>23</v>
      </c>
    </row>
    <row r="1222" spans="1:11">
      <c r="A1222" s="1">
        <v>45988</v>
      </c>
      <c r="B1222" t="s">
        <v>21</v>
      </c>
      <c r="C1222" t="s">
        <v>33</v>
      </c>
      <c r="D1222">
        <v>30</v>
      </c>
      <c r="E1222">
        <v>0</v>
      </c>
      <c r="F1222">
        <v>2</v>
      </c>
      <c r="G1222">
        <v>0</v>
      </c>
      <c r="H1222">
        <v>32</v>
      </c>
      <c r="I1222" s="1">
        <v>45962</v>
      </c>
      <c r="J1222">
        <v>2</v>
      </c>
      <c r="K1222" t="s">
        <v>23</v>
      </c>
    </row>
    <row r="1223" spans="1:11">
      <c r="A1223" s="1">
        <v>45988</v>
      </c>
      <c r="B1223" t="s">
        <v>21</v>
      </c>
      <c r="C1223" t="s">
        <v>27</v>
      </c>
      <c r="D1223">
        <v>142</v>
      </c>
      <c r="E1223">
        <v>9</v>
      </c>
      <c r="F1223">
        <v>2</v>
      </c>
      <c r="G1223">
        <v>0</v>
      </c>
      <c r="H1223">
        <v>154</v>
      </c>
      <c r="I1223" s="1">
        <v>45962</v>
      </c>
      <c r="J1223">
        <v>2</v>
      </c>
      <c r="K1223" t="s">
        <v>23</v>
      </c>
    </row>
    <row r="1224" spans="1:11">
      <c r="A1224" s="1">
        <v>46009</v>
      </c>
      <c r="B1224" t="s">
        <v>21</v>
      </c>
      <c r="C1224" t="s">
        <v>27</v>
      </c>
      <c r="D1224">
        <v>158</v>
      </c>
      <c r="E1224">
        <v>10</v>
      </c>
      <c r="F1224">
        <v>2</v>
      </c>
      <c r="G1224">
        <v>0</v>
      </c>
      <c r="H1224">
        <v>169</v>
      </c>
      <c r="I1224" s="1">
        <v>45992</v>
      </c>
      <c r="J1224">
        <v>2</v>
      </c>
      <c r="K1224" t="s">
        <v>23</v>
      </c>
    </row>
    <row r="1225" spans="1:11">
      <c r="A1225" s="1">
        <v>46009</v>
      </c>
      <c r="B1225" t="s">
        <v>21</v>
      </c>
      <c r="C1225" t="s">
        <v>46</v>
      </c>
      <c r="D1225">
        <v>419</v>
      </c>
      <c r="E1225">
        <v>60</v>
      </c>
      <c r="F1225">
        <v>2</v>
      </c>
      <c r="G1225">
        <v>0</v>
      </c>
      <c r="H1225">
        <v>481</v>
      </c>
      <c r="I1225" s="1">
        <v>45992</v>
      </c>
      <c r="J1225">
        <v>2</v>
      </c>
      <c r="K1225" t="s">
        <v>23</v>
      </c>
    </row>
    <row r="1226" spans="1:11">
      <c r="A1226" s="1">
        <v>46051</v>
      </c>
      <c r="B1226" t="s">
        <v>40</v>
      </c>
      <c r="C1226" t="s">
        <v>41</v>
      </c>
      <c r="D1226">
        <v>4608</v>
      </c>
      <c r="E1226">
        <v>218</v>
      </c>
      <c r="F1226">
        <v>2</v>
      </c>
      <c r="G1226">
        <v>0</v>
      </c>
      <c r="H1226">
        <v>4829</v>
      </c>
      <c r="I1226" s="1">
        <v>46023</v>
      </c>
      <c r="J1226">
        <v>2</v>
      </c>
      <c r="K1226" t="s">
        <v>23</v>
      </c>
    </row>
    <row r="1227" spans="1:11">
      <c r="A1227" s="1">
        <v>46051</v>
      </c>
      <c r="B1227" t="s">
        <v>21</v>
      </c>
      <c r="C1227" t="s">
        <v>27</v>
      </c>
      <c r="D1227">
        <v>127</v>
      </c>
      <c r="E1227">
        <v>16</v>
      </c>
      <c r="F1227">
        <v>2</v>
      </c>
      <c r="G1227">
        <v>0</v>
      </c>
      <c r="H1227">
        <v>144</v>
      </c>
      <c r="I1227" s="1">
        <v>46023</v>
      </c>
      <c r="J1227">
        <v>2</v>
      </c>
      <c r="K1227" t="s">
        <v>23</v>
      </c>
    </row>
    <row r="1228" spans="1:11">
      <c r="A1228" s="1">
        <v>46051</v>
      </c>
      <c r="B1228" t="s">
        <v>21</v>
      </c>
      <c r="C1228" t="s">
        <v>25</v>
      </c>
      <c r="D1228">
        <v>4</v>
      </c>
      <c r="E1228">
        <v>0</v>
      </c>
      <c r="F1228">
        <v>2</v>
      </c>
      <c r="G1228">
        <v>0</v>
      </c>
      <c r="H1228">
        <v>6</v>
      </c>
      <c r="I1228" s="1">
        <v>46023</v>
      </c>
      <c r="J1228">
        <v>2</v>
      </c>
      <c r="K1228" t="s">
        <v>23</v>
      </c>
    </row>
    <row r="1229" spans="1:11">
      <c r="A1229" s="1">
        <v>46079</v>
      </c>
      <c r="B1229" t="s">
        <v>21</v>
      </c>
      <c r="C1229" t="s">
        <v>41</v>
      </c>
      <c r="D1229">
        <v>518</v>
      </c>
      <c r="E1229">
        <v>62</v>
      </c>
      <c r="F1229">
        <v>2</v>
      </c>
      <c r="G1229">
        <v>0</v>
      </c>
      <c r="H1229">
        <v>582</v>
      </c>
      <c r="I1229" s="1">
        <v>46054</v>
      </c>
      <c r="J1229">
        <v>2</v>
      </c>
      <c r="K1229" t="s">
        <v>23</v>
      </c>
    </row>
    <row r="1230" spans="1:11">
      <c r="A1230" s="1">
        <v>46079</v>
      </c>
      <c r="B1230" t="s">
        <v>21</v>
      </c>
      <c r="C1230" t="s">
        <v>27</v>
      </c>
      <c r="D1230">
        <v>122</v>
      </c>
      <c r="E1230">
        <v>13</v>
      </c>
      <c r="F1230">
        <v>2</v>
      </c>
      <c r="G1230">
        <v>0</v>
      </c>
      <c r="H1230">
        <v>136</v>
      </c>
      <c r="I1230" s="1">
        <v>46054</v>
      </c>
      <c r="J1230">
        <v>2</v>
      </c>
      <c r="K1230" t="s">
        <v>23</v>
      </c>
    </row>
    <row r="1231" spans="1:11">
      <c r="A1231" s="1">
        <v>46079</v>
      </c>
      <c r="B1231" t="s">
        <v>21</v>
      </c>
      <c r="C1231" t="s">
        <v>25</v>
      </c>
      <c r="D1231">
        <v>4</v>
      </c>
      <c r="E1231">
        <v>0</v>
      </c>
      <c r="F1231">
        <v>2</v>
      </c>
      <c r="G1231">
        <v>0</v>
      </c>
      <c r="H1231">
        <v>6</v>
      </c>
      <c r="I1231" s="1">
        <v>46054</v>
      </c>
      <c r="J1231">
        <v>2</v>
      </c>
      <c r="K1231" t="s">
        <v>23</v>
      </c>
    </row>
    <row r="1232" spans="1:11">
      <c r="A1232" s="1">
        <v>46079</v>
      </c>
      <c r="B1232" t="s">
        <v>21</v>
      </c>
      <c r="C1232" t="s">
        <v>35</v>
      </c>
      <c r="D1232">
        <v>12</v>
      </c>
      <c r="E1232">
        <v>2</v>
      </c>
      <c r="F1232">
        <v>2</v>
      </c>
      <c r="G1232">
        <v>0</v>
      </c>
      <c r="H1232">
        <v>15</v>
      </c>
      <c r="I1232" s="1">
        <v>46054</v>
      </c>
      <c r="J1232">
        <v>2</v>
      </c>
      <c r="K1232" t="s">
        <v>23</v>
      </c>
    </row>
    <row r="1233" spans="1:11">
      <c r="A1233" s="1">
        <v>46079</v>
      </c>
      <c r="B1233" t="s">
        <v>21</v>
      </c>
      <c r="C1233" t="s">
        <v>46</v>
      </c>
      <c r="D1233">
        <v>436</v>
      </c>
      <c r="E1233">
        <v>75</v>
      </c>
      <c r="F1233">
        <v>2</v>
      </c>
      <c r="G1233">
        <v>0</v>
      </c>
      <c r="H1233">
        <v>512</v>
      </c>
      <c r="I1233" s="1">
        <v>46054</v>
      </c>
      <c r="J1233">
        <v>2</v>
      </c>
      <c r="K1233" t="s">
        <v>23</v>
      </c>
    </row>
    <row r="1234" spans="1:11">
      <c r="A1234" s="1">
        <v>46107</v>
      </c>
      <c r="B1234" t="s">
        <v>21</v>
      </c>
      <c r="C1234" t="s">
        <v>27</v>
      </c>
      <c r="D1234">
        <v>125</v>
      </c>
      <c r="E1234">
        <v>17</v>
      </c>
      <c r="F1234">
        <v>2</v>
      </c>
      <c r="G1234">
        <v>0</v>
      </c>
      <c r="H1234">
        <v>143</v>
      </c>
      <c r="I1234" s="1">
        <v>46082</v>
      </c>
      <c r="J1234">
        <v>2</v>
      </c>
      <c r="K1234" t="s">
        <v>23</v>
      </c>
    </row>
    <row r="1235" spans="1:11">
      <c r="A1235" s="1">
        <v>46107</v>
      </c>
      <c r="B1235" t="s">
        <v>21</v>
      </c>
      <c r="C1235" t="s">
        <v>35</v>
      </c>
      <c r="D1235">
        <v>17</v>
      </c>
      <c r="E1235">
        <v>3</v>
      </c>
      <c r="F1235">
        <v>2</v>
      </c>
      <c r="G1235">
        <v>0</v>
      </c>
      <c r="H1235">
        <v>22</v>
      </c>
      <c r="I1235" s="1">
        <v>46082</v>
      </c>
      <c r="J1235">
        <v>2</v>
      </c>
      <c r="K1235" t="s">
        <v>23</v>
      </c>
    </row>
    <row r="1236" spans="1:11">
      <c r="A1236" s="1">
        <v>46142</v>
      </c>
      <c r="B1236" t="s">
        <v>21</v>
      </c>
      <c r="C1236" t="s">
        <v>41</v>
      </c>
      <c r="D1236">
        <v>558</v>
      </c>
      <c r="E1236">
        <v>95</v>
      </c>
      <c r="F1236">
        <v>2</v>
      </c>
      <c r="G1236">
        <v>0</v>
      </c>
      <c r="H1236">
        <v>655</v>
      </c>
      <c r="I1236" s="1">
        <v>46113</v>
      </c>
      <c r="J1236">
        <v>2</v>
      </c>
      <c r="K1236" t="s">
        <v>23</v>
      </c>
    </row>
    <row r="1237" spans="1:11">
      <c r="A1237" s="1">
        <v>46142</v>
      </c>
      <c r="B1237" t="s">
        <v>21</v>
      </c>
      <c r="C1237" t="s">
        <v>27</v>
      </c>
      <c r="D1237">
        <v>133</v>
      </c>
      <c r="E1237">
        <v>13</v>
      </c>
      <c r="F1237">
        <v>2</v>
      </c>
      <c r="G1237">
        <v>0</v>
      </c>
      <c r="H1237">
        <v>147</v>
      </c>
      <c r="I1237" s="1">
        <v>46113</v>
      </c>
      <c r="J1237">
        <v>2</v>
      </c>
      <c r="K1237" t="s">
        <v>23</v>
      </c>
    </row>
    <row r="1238" spans="1:11">
      <c r="A1238" s="1">
        <v>46142</v>
      </c>
      <c r="B1238" t="s">
        <v>21</v>
      </c>
      <c r="C1238" t="s">
        <v>37</v>
      </c>
      <c r="D1238">
        <v>7</v>
      </c>
      <c r="E1238">
        <v>2</v>
      </c>
      <c r="F1238">
        <v>2</v>
      </c>
      <c r="G1238">
        <v>0</v>
      </c>
      <c r="H1238">
        <v>12</v>
      </c>
      <c r="I1238" s="1">
        <v>46113</v>
      </c>
      <c r="J1238">
        <v>2</v>
      </c>
      <c r="K1238" t="s">
        <v>23</v>
      </c>
    </row>
    <row r="1239" spans="1:11">
      <c r="A1239" s="1">
        <v>46142</v>
      </c>
      <c r="B1239" t="s">
        <v>21</v>
      </c>
      <c r="C1239" t="s">
        <v>36</v>
      </c>
      <c r="D1239">
        <v>8</v>
      </c>
      <c r="E1239">
        <v>2</v>
      </c>
      <c r="F1239">
        <v>2</v>
      </c>
      <c r="G1239">
        <v>0</v>
      </c>
      <c r="H1239">
        <v>11</v>
      </c>
      <c r="I1239" s="1">
        <v>46113</v>
      </c>
      <c r="J1239">
        <v>2</v>
      </c>
      <c r="K1239" t="s">
        <v>23</v>
      </c>
    </row>
    <row r="1240" spans="1:11">
      <c r="A1240" s="1">
        <v>46142</v>
      </c>
      <c r="B1240" t="s">
        <v>21</v>
      </c>
      <c r="C1240" t="s">
        <v>49</v>
      </c>
      <c r="D1240">
        <v>817</v>
      </c>
      <c r="E1240">
        <v>323</v>
      </c>
      <c r="F1240">
        <v>2</v>
      </c>
      <c r="G1240">
        <v>0</v>
      </c>
      <c r="H1240">
        <v>1142</v>
      </c>
      <c r="I1240" s="1">
        <v>46113</v>
      </c>
      <c r="J1240">
        <v>2</v>
      </c>
      <c r="K1240" t="s">
        <v>23</v>
      </c>
    </row>
    <row r="1241" spans="1:11">
      <c r="A1241" s="1">
        <v>46170</v>
      </c>
      <c r="B1241" t="s">
        <v>40</v>
      </c>
      <c r="C1241" t="s">
        <v>30</v>
      </c>
      <c r="D1241">
        <v>2782</v>
      </c>
      <c r="E1241">
        <v>130</v>
      </c>
      <c r="F1241">
        <v>2</v>
      </c>
      <c r="G1241">
        <v>0</v>
      </c>
      <c r="H1241">
        <v>2914</v>
      </c>
      <c r="I1241" s="1">
        <v>46143</v>
      </c>
      <c r="J1241">
        <v>2</v>
      </c>
      <c r="K1241" t="s">
        <v>23</v>
      </c>
    </row>
    <row r="1242" spans="1:11">
      <c r="A1242" s="1">
        <v>46170</v>
      </c>
      <c r="B1242" t="s">
        <v>21</v>
      </c>
      <c r="C1242" t="s">
        <v>27</v>
      </c>
      <c r="D1242">
        <v>136</v>
      </c>
      <c r="E1242">
        <v>7</v>
      </c>
      <c r="F1242">
        <v>2</v>
      </c>
      <c r="G1242">
        <v>0</v>
      </c>
      <c r="H1242">
        <v>144</v>
      </c>
      <c r="I1242" s="1">
        <v>46143</v>
      </c>
      <c r="J1242">
        <v>2</v>
      </c>
      <c r="K1242" t="s">
        <v>23</v>
      </c>
    </row>
    <row r="1243" spans="1:11">
      <c r="A1243" s="1">
        <v>46170</v>
      </c>
      <c r="B1243" t="s">
        <v>21</v>
      </c>
      <c r="C1243" t="s">
        <v>37</v>
      </c>
      <c r="D1243">
        <v>5</v>
      </c>
      <c r="E1243">
        <v>2</v>
      </c>
      <c r="F1243">
        <v>2</v>
      </c>
      <c r="G1243">
        <v>0</v>
      </c>
      <c r="H1243">
        <v>9</v>
      </c>
      <c r="I1243" s="1">
        <v>46143</v>
      </c>
      <c r="J1243">
        <v>2</v>
      </c>
      <c r="K1243" t="s">
        <v>23</v>
      </c>
    </row>
    <row r="1244" spans="1:11">
      <c r="A1244" s="1">
        <v>46198</v>
      </c>
      <c r="B1244" t="s">
        <v>40</v>
      </c>
      <c r="C1244" t="s">
        <v>30</v>
      </c>
      <c r="D1244">
        <v>3001</v>
      </c>
      <c r="E1244">
        <v>128</v>
      </c>
      <c r="F1244">
        <v>2</v>
      </c>
      <c r="G1244">
        <v>0</v>
      </c>
      <c r="H1244">
        <v>3131</v>
      </c>
      <c r="I1244" s="1">
        <v>46174</v>
      </c>
      <c r="J1244">
        <v>2</v>
      </c>
      <c r="K1244" t="s">
        <v>23</v>
      </c>
    </row>
    <row r="1245" spans="1:11">
      <c r="A1245" s="1">
        <v>46198</v>
      </c>
      <c r="B1245" t="s">
        <v>21</v>
      </c>
      <c r="C1245" t="s">
        <v>27</v>
      </c>
      <c r="D1245">
        <v>134</v>
      </c>
      <c r="E1245">
        <v>4</v>
      </c>
      <c r="F1245">
        <v>2</v>
      </c>
      <c r="G1245">
        <v>0</v>
      </c>
      <c r="H1245">
        <v>140</v>
      </c>
      <c r="I1245" s="1">
        <v>46174</v>
      </c>
      <c r="J1245">
        <v>2</v>
      </c>
      <c r="K1245" t="s">
        <v>23</v>
      </c>
    </row>
    <row r="1246" spans="1:11">
      <c r="A1246" s="1">
        <v>46198</v>
      </c>
      <c r="B1246" t="s">
        <v>21</v>
      </c>
      <c r="C1246" t="s">
        <v>35</v>
      </c>
      <c r="D1246">
        <v>15</v>
      </c>
      <c r="E1246">
        <v>2</v>
      </c>
      <c r="F1246">
        <v>2</v>
      </c>
      <c r="G1246">
        <v>0</v>
      </c>
      <c r="H1246">
        <v>19</v>
      </c>
      <c r="I1246" s="1">
        <v>46174</v>
      </c>
      <c r="J1246">
        <v>2</v>
      </c>
      <c r="K1246" t="s">
        <v>23</v>
      </c>
    </row>
    <row r="1247" spans="1:11">
      <c r="A1247" s="1">
        <v>46233</v>
      </c>
      <c r="B1247" t="s">
        <v>21</v>
      </c>
      <c r="C1247" t="s">
        <v>27</v>
      </c>
      <c r="D1247">
        <v>134</v>
      </c>
      <c r="E1247">
        <v>3</v>
      </c>
      <c r="F1247">
        <v>2</v>
      </c>
      <c r="G1247">
        <v>0</v>
      </c>
      <c r="H1247">
        <v>138</v>
      </c>
      <c r="I1247" s="1">
        <v>46204</v>
      </c>
      <c r="J1247">
        <v>2</v>
      </c>
      <c r="K1247" t="s">
        <v>23</v>
      </c>
    </row>
    <row r="1248" spans="1:11">
      <c r="A1248" s="1">
        <v>46261</v>
      </c>
      <c r="B1248" t="s">
        <v>21</v>
      </c>
      <c r="C1248" t="s">
        <v>35</v>
      </c>
      <c r="D1248">
        <v>10</v>
      </c>
      <c r="E1248">
        <v>3</v>
      </c>
      <c r="F1248">
        <v>2</v>
      </c>
      <c r="G1248">
        <v>0</v>
      </c>
      <c r="H1248">
        <v>15</v>
      </c>
      <c r="I1248" s="1">
        <v>46235</v>
      </c>
      <c r="J1248">
        <v>2</v>
      </c>
      <c r="K1248" t="s">
        <v>23</v>
      </c>
    </row>
    <row r="1249" spans="1:11">
      <c r="A1249" s="1">
        <v>44952</v>
      </c>
      <c r="B1249" t="s">
        <v>40</v>
      </c>
      <c r="C1249" t="s">
        <v>42</v>
      </c>
      <c r="D1249">
        <v>391</v>
      </c>
      <c r="E1249">
        <v>11</v>
      </c>
      <c r="F1249">
        <v>2</v>
      </c>
      <c r="G1249">
        <v>0</v>
      </c>
      <c r="H1249">
        <v>404</v>
      </c>
      <c r="I1249" s="1">
        <v>44927</v>
      </c>
      <c r="J1249">
        <v>2</v>
      </c>
      <c r="K1249" t="s">
        <v>26</v>
      </c>
    </row>
    <row r="1250" spans="1:11">
      <c r="A1250" s="1">
        <v>44952</v>
      </c>
      <c r="B1250" t="s">
        <v>40</v>
      </c>
      <c r="C1250" t="s">
        <v>44</v>
      </c>
      <c r="D1250">
        <v>252</v>
      </c>
      <c r="E1250">
        <v>52</v>
      </c>
      <c r="F1250">
        <v>2</v>
      </c>
      <c r="G1250">
        <v>0</v>
      </c>
      <c r="H1250">
        <v>306</v>
      </c>
      <c r="I1250" s="1">
        <v>44927</v>
      </c>
      <c r="J1250">
        <v>2</v>
      </c>
      <c r="K1250" t="s">
        <v>26</v>
      </c>
    </row>
    <row r="1251" spans="1:11">
      <c r="A1251" s="1">
        <v>44952</v>
      </c>
      <c r="B1251" t="s">
        <v>21</v>
      </c>
      <c r="C1251" t="s">
        <v>48</v>
      </c>
      <c r="D1251">
        <v>29</v>
      </c>
      <c r="E1251">
        <v>6</v>
      </c>
      <c r="F1251">
        <v>2</v>
      </c>
      <c r="G1251">
        <v>0</v>
      </c>
      <c r="H1251">
        <v>36</v>
      </c>
      <c r="I1251" s="1">
        <v>44927</v>
      </c>
      <c r="J1251">
        <v>2</v>
      </c>
      <c r="K1251" t="s">
        <v>26</v>
      </c>
    </row>
    <row r="1252" spans="1:11">
      <c r="A1252" s="1">
        <v>44952</v>
      </c>
      <c r="B1252" t="s">
        <v>21</v>
      </c>
      <c r="C1252" t="s">
        <v>43</v>
      </c>
      <c r="D1252">
        <v>124</v>
      </c>
      <c r="E1252">
        <v>44</v>
      </c>
      <c r="F1252">
        <v>2</v>
      </c>
      <c r="G1252">
        <v>0</v>
      </c>
      <c r="H1252">
        <v>170</v>
      </c>
      <c r="I1252" s="1">
        <v>44927</v>
      </c>
      <c r="J1252">
        <v>2</v>
      </c>
      <c r="K1252" t="s">
        <v>26</v>
      </c>
    </row>
    <row r="1253" spans="1:11">
      <c r="A1253" s="1">
        <v>44952</v>
      </c>
      <c r="B1253" t="s">
        <v>21</v>
      </c>
      <c r="C1253" t="s">
        <v>52</v>
      </c>
      <c r="D1253">
        <v>49</v>
      </c>
      <c r="E1253">
        <v>8</v>
      </c>
      <c r="F1253">
        <v>2</v>
      </c>
      <c r="G1253">
        <v>0</v>
      </c>
      <c r="H1253">
        <v>59</v>
      </c>
      <c r="I1253" s="1">
        <v>44927</v>
      </c>
      <c r="J1253">
        <v>2</v>
      </c>
      <c r="K1253" t="s">
        <v>26</v>
      </c>
    </row>
    <row r="1254" spans="1:11">
      <c r="A1254" s="1">
        <v>44952</v>
      </c>
      <c r="B1254" t="s">
        <v>21</v>
      </c>
      <c r="C1254" t="s">
        <v>46</v>
      </c>
      <c r="D1254">
        <v>38</v>
      </c>
      <c r="E1254">
        <v>8</v>
      </c>
      <c r="F1254">
        <v>2</v>
      </c>
      <c r="G1254">
        <v>0</v>
      </c>
      <c r="H1254">
        <v>47</v>
      </c>
      <c r="I1254" s="1">
        <v>44927</v>
      </c>
      <c r="J1254">
        <v>2</v>
      </c>
      <c r="K1254" t="s">
        <v>26</v>
      </c>
    </row>
    <row r="1255" spans="1:11">
      <c r="A1255" s="1">
        <v>44952</v>
      </c>
      <c r="B1255" t="s">
        <v>21</v>
      </c>
      <c r="C1255" t="s">
        <v>59</v>
      </c>
      <c r="D1255">
        <v>210</v>
      </c>
      <c r="E1255">
        <v>33</v>
      </c>
      <c r="F1255">
        <v>2</v>
      </c>
      <c r="G1255">
        <v>0</v>
      </c>
      <c r="H1255">
        <v>244</v>
      </c>
      <c r="I1255" s="1">
        <v>44927</v>
      </c>
      <c r="J1255">
        <v>2</v>
      </c>
      <c r="K1255" t="s">
        <v>26</v>
      </c>
    </row>
    <row r="1256" spans="1:11">
      <c r="A1256" s="1">
        <v>44980</v>
      </c>
      <c r="B1256" t="s">
        <v>40</v>
      </c>
      <c r="C1256" t="s">
        <v>56</v>
      </c>
      <c r="D1256">
        <v>531</v>
      </c>
      <c r="E1256">
        <v>45</v>
      </c>
      <c r="F1256">
        <v>2</v>
      </c>
      <c r="G1256">
        <v>0</v>
      </c>
      <c r="H1256">
        <v>578</v>
      </c>
      <c r="I1256" s="1">
        <v>44958</v>
      </c>
      <c r="J1256">
        <v>2</v>
      </c>
      <c r="K1256" t="s">
        <v>26</v>
      </c>
    </row>
    <row r="1257" spans="1:11">
      <c r="A1257" s="1">
        <v>44980</v>
      </c>
      <c r="B1257" t="s">
        <v>40</v>
      </c>
      <c r="C1257" t="s">
        <v>52</v>
      </c>
      <c r="D1257">
        <v>512</v>
      </c>
      <c r="E1257">
        <v>148</v>
      </c>
      <c r="F1257">
        <v>2</v>
      </c>
      <c r="G1257">
        <v>0</v>
      </c>
      <c r="H1257">
        <v>662</v>
      </c>
      <c r="I1257" s="1">
        <v>44958</v>
      </c>
      <c r="J1257">
        <v>2</v>
      </c>
      <c r="K1257" t="s">
        <v>26</v>
      </c>
    </row>
    <row r="1258" spans="1:11">
      <c r="A1258" s="1">
        <v>44980</v>
      </c>
      <c r="B1258" t="s">
        <v>40</v>
      </c>
      <c r="C1258" t="s">
        <v>24</v>
      </c>
      <c r="D1258">
        <v>676</v>
      </c>
      <c r="E1258">
        <v>110</v>
      </c>
      <c r="F1258">
        <v>2</v>
      </c>
      <c r="G1258">
        <v>0</v>
      </c>
      <c r="H1258">
        <v>789</v>
      </c>
      <c r="I1258" s="1">
        <v>44958</v>
      </c>
      <c r="J1258">
        <v>2</v>
      </c>
      <c r="K1258" t="s">
        <v>26</v>
      </c>
    </row>
    <row r="1259" spans="1:11">
      <c r="A1259" s="1">
        <v>44980</v>
      </c>
      <c r="B1259" t="s">
        <v>40</v>
      </c>
      <c r="C1259" t="s">
        <v>32</v>
      </c>
      <c r="D1259">
        <v>249</v>
      </c>
      <c r="E1259">
        <v>26</v>
      </c>
      <c r="F1259">
        <v>2</v>
      </c>
      <c r="G1259">
        <v>0</v>
      </c>
      <c r="H1259">
        <v>277</v>
      </c>
      <c r="I1259" s="1">
        <v>44958</v>
      </c>
      <c r="J1259">
        <v>2</v>
      </c>
      <c r="K1259" t="s">
        <v>26</v>
      </c>
    </row>
    <row r="1260" spans="1:11">
      <c r="A1260" s="1">
        <v>44980</v>
      </c>
      <c r="B1260" t="s">
        <v>40</v>
      </c>
      <c r="C1260" t="s">
        <v>44</v>
      </c>
      <c r="D1260">
        <v>257</v>
      </c>
      <c r="E1260">
        <v>50</v>
      </c>
      <c r="F1260">
        <v>2</v>
      </c>
      <c r="G1260">
        <v>0</v>
      </c>
      <c r="H1260">
        <v>310</v>
      </c>
      <c r="I1260" s="1">
        <v>44958</v>
      </c>
      <c r="J1260">
        <v>2</v>
      </c>
      <c r="K1260" t="s">
        <v>26</v>
      </c>
    </row>
    <row r="1261" spans="1:11">
      <c r="A1261" s="1">
        <v>44980</v>
      </c>
      <c r="B1261" t="s">
        <v>21</v>
      </c>
      <c r="C1261" t="s">
        <v>51</v>
      </c>
      <c r="D1261">
        <v>17</v>
      </c>
      <c r="E1261">
        <v>12</v>
      </c>
      <c r="F1261">
        <v>2</v>
      </c>
      <c r="G1261">
        <v>0</v>
      </c>
      <c r="H1261">
        <v>31</v>
      </c>
      <c r="I1261" s="1">
        <v>44958</v>
      </c>
      <c r="J1261">
        <v>2</v>
      </c>
      <c r="K1261" t="s">
        <v>26</v>
      </c>
    </row>
    <row r="1262" spans="1:11">
      <c r="A1262" s="1">
        <v>44980</v>
      </c>
      <c r="B1262" t="s">
        <v>21</v>
      </c>
      <c r="C1262" t="s">
        <v>46</v>
      </c>
      <c r="D1262">
        <v>39</v>
      </c>
      <c r="E1262">
        <v>8</v>
      </c>
      <c r="F1262">
        <v>2</v>
      </c>
      <c r="G1262">
        <v>0</v>
      </c>
      <c r="H1262">
        <v>49</v>
      </c>
      <c r="I1262" s="1">
        <v>44958</v>
      </c>
      <c r="J1262">
        <v>2</v>
      </c>
      <c r="K1262" t="s">
        <v>26</v>
      </c>
    </row>
    <row r="1263" spans="1:11">
      <c r="A1263" s="1">
        <v>45015</v>
      </c>
      <c r="B1263" t="s">
        <v>21</v>
      </c>
      <c r="C1263" t="s">
        <v>25</v>
      </c>
      <c r="D1263">
        <v>61</v>
      </c>
      <c r="E1263">
        <v>9</v>
      </c>
      <c r="F1263">
        <v>2</v>
      </c>
      <c r="G1263">
        <v>0</v>
      </c>
      <c r="H1263">
        <v>73</v>
      </c>
      <c r="I1263" s="1">
        <v>44986</v>
      </c>
      <c r="J1263">
        <v>2</v>
      </c>
      <c r="K1263" t="s">
        <v>26</v>
      </c>
    </row>
    <row r="1264" spans="1:11">
      <c r="A1264" s="1">
        <v>45043</v>
      </c>
      <c r="B1264" t="s">
        <v>21</v>
      </c>
      <c r="C1264" t="s">
        <v>25</v>
      </c>
      <c r="D1264">
        <v>62</v>
      </c>
      <c r="E1264">
        <v>9</v>
      </c>
      <c r="F1264">
        <v>2</v>
      </c>
      <c r="G1264">
        <v>0</v>
      </c>
      <c r="H1264">
        <v>73</v>
      </c>
      <c r="I1264" s="1">
        <v>45017</v>
      </c>
      <c r="J1264">
        <v>2</v>
      </c>
      <c r="K1264" t="s">
        <v>26</v>
      </c>
    </row>
    <row r="1265" spans="1:11">
      <c r="A1265" s="1">
        <v>45071</v>
      </c>
      <c r="B1265" t="s">
        <v>40</v>
      </c>
      <c r="C1265" t="s">
        <v>33</v>
      </c>
      <c r="D1265">
        <v>70</v>
      </c>
      <c r="E1265">
        <v>32</v>
      </c>
      <c r="F1265">
        <v>2</v>
      </c>
      <c r="G1265">
        <v>0</v>
      </c>
      <c r="H1265">
        <v>104</v>
      </c>
      <c r="I1265" s="1">
        <v>45047</v>
      </c>
      <c r="J1265">
        <v>2</v>
      </c>
      <c r="K1265" t="s">
        <v>26</v>
      </c>
    </row>
    <row r="1266" spans="1:11">
      <c r="A1266" s="1">
        <v>45071</v>
      </c>
      <c r="B1266" t="s">
        <v>21</v>
      </c>
      <c r="C1266" t="s">
        <v>25</v>
      </c>
      <c r="D1266">
        <v>82</v>
      </c>
      <c r="E1266">
        <v>7</v>
      </c>
      <c r="F1266">
        <v>2</v>
      </c>
      <c r="G1266">
        <v>0</v>
      </c>
      <c r="H1266">
        <v>91</v>
      </c>
      <c r="I1266" s="1">
        <v>45047</v>
      </c>
      <c r="J1266">
        <v>2</v>
      </c>
      <c r="K1266" t="s">
        <v>26</v>
      </c>
    </row>
    <row r="1267" spans="1:11">
      <c r="A1267" s="1">
        <v>45071</v>
      </c>
      <c r="B1267" t="s">
        <v>21</v>
      </c>
      <c r="C1267" t="s">
        <v>51</v>
      </c>
      <c r="D1267">
        <v>28</v>
      </c>
      <c r="E1267">
        <v>11</v>
      </c>
      <c r="F1267">
        <v>2</v>
      </c>
      <c r="G1267">
        <v>0</v>
      </c>
      <c r="H1267">
        <v>41</v>
      </c>
      <c r="I1267" s="1">
        <v>45047</v>
      </c>
      <c r="J1267">
        <v>2</v>
      </c>
      <c r="K1267" t="s">
        <v>26</v>
      </c>
    </row>
    <row r="1268" spans="1:11">
      <c r="A1268" s="1">
        <v>45106</v>
      </c>
      <c r="B1268" t="s">
        <v>40</v>
      </c>
      <c r="C1268" t="s">
        <v>55</v>
      </c>
      <c r="D1268">
        <v>931</v>
      </c>
      <c r="E1268">
        <v>109</v>
      </c>
      <c r="F1268">
        <v>2</v>
      </c>
      <c r="G1268">
        <v>0</v>
      </c>
      <c r="H1268">
        <v>1042</v>
      </c>
      <c r="I1268" s="1">
        <v>45078</v>
      </c>
      <c r="J1268">
        <v>2</v>
      </c>
      <c r="K1268" t="s">
        <v>26</v>
      </c>
    </row>
    <row r="1269" spans="1:11">
      <c r="A1269" s="1">
        <v>45106</v>
      </c>
      <c r="B1269" t="s">
        <v>40</v>
      </c>
      <c r="C1269" t="s">
        <v>56</v>
      </c>
      <c r="D1269">
        <v>558</v>
      </c>
      <c r="E1269">
        <v>63</v>
      </c>
      <c r="F1269">
        <v>2</v>
      </c>
      <c r="G1269">
        <v>0</v>
      </c>
      <c r="H1269">
        <v>623</v>
      </c>
      <c r="I1269" s="1">
        <v>45078</v>
      </c>
      <c r="J1269">
        <v>2</v>
      </c>
      <c r="K1269" t="s">
        <v>26</v>
      </c>
    </row>
    <row r="1270" spans="1:11">
      <c r="A1270" s="1">
        <v>45106</v>
      </c>
      <c r="B1270" t="s">
        <v>21</v>
      </c>
      <c r="C1270" t="s">
        <v>25</v>
      </c>
      <c r="D1270">
        <v>70</v>
      </c>
      <c r="E1270">
        <v>11</v>
      </c>
      <c r="F1270">
        <v>2</v>
      </c>
      <c r="G1270">
        <v>0</v>
      </c>
      <c r="H1270">
        <v>82</v>
      </c>
      <c r="I1270" s="1">
        <v>45078</v>
      </c>
      <c r="J1270">
        <v>2</v>
      </c>
      <c r="K1270" t="s">
        <v>26</v>
      </c>
    </row>
    <row r="1271" spans="1:11">
      <c r="A1271" s="1">
        <v>45134</v>
      </c>
      <c r="B1271" t="s">
        <v>40</v>
      </c>
      <c r="C1271" t="s">
        <v>56</v>
      </c>
      <c r="D1271">
        <v>577</v>
      </c>
      <c r="E1271">
        <v>52</v>
      </c>
      <c r="F1271">
        <v>2</v>
      </c>
      <c r="G1271">
        <v>0</v>
      </c>
      <c r="H1271">
        <v>631</v>
      </c>
      <c r="I1271" s="1">
        <v>45108</v>
      </c>
      <c r="J1271">
        <v>2</v>
      </c>
      <c r="K1271" t="s">
        <v>26</v>
      </c>
    </row>
    <row r="1272" spans="1:11">
      <c r="A1272" s="1">
        <v>45134</v>
      </c>
      <c r="B1272" t="s">
        <v>40</v>
      </c>
      <c r="C1272" t="s">
        <v>52</v>
      </c>
      <c r="D1272">
        <v>541</v>
      </c>
      <c r="E1272">
        <v>65</v>
      </c>
      <c r="F1272">
        <v>2</v>
      </c>
      <c r="G1272">
        <v>0</v>
      </c>
      <c r="H1272">
        <v>608</v>
      </c>
      <c r="I1272" s="1">
        <v>45108</v>
      </c>
      <c r="J1272">
        <v>2</v>
      </c>
      <c r="K1272" t="s">
        <v>26</v>
      </c>
    </row>
    <row r="1273" spans="1:11">
      <c r="A1273" s="1">
        <v>45134</v>
      </c>
      <c r="B1273" t="s">
        <v>21</v>
      </c>
      <c r="C1273" t="s">
        <v>25</v>
      </c>
      <c r="D1273">
        <v>62</v>
      </c>
      <c r="E1273">
        <v>13</v>
      </c>
      <c r="F1273">
        <v>2</v>
      </c>
      <c r="G1273">
        <v>0</v>
      </c>
      <c r="H1273">
        <v>77</v>
      </c>
      <c r="I1273" s="1">
        <v>45108</v>
      </c>
      <c r="J1273">
        <v>2</v>
      </c>
      <c r="K1273" t="s">
        <v>26</v>
      </c>
    </row>
    <row r="1274" spans="1:11">
      <c r="A1274" s="1">
        <v>45134</v>
      </c>
      <c r="B1274" t="s">
        <v>21</v>
      </c>
      <c r="C1274" t="s">
        <v>51</v>
      </c>
      <c r="D1274">
        <v>29</v>
      </c>
      <c r="E1274">
        <v>11</v>
      </c>
      <c r="F1274">
        <v>2</v>
      </c>
      <c r="G1274">
        <v>0</v>
      </c>
      <c r="H1274">
        <v>42</v>
      </c>
      <c r="I1274" s="1">
        <v>45108</v>
      </c>
      <c r="J1274">
        <v>2</v>
      </c>
      <c r="K1274" t="s">
        <v>26</v>
      </c>
    </row>
    <row r="1275" spans="1:11">
      <c r="A1275" s="1">
        <v>45134</v>
      </c>
      <c r="B1275" t="s">
        <v>21</v>
      </c>
      <c r="C1275" t="s">
        <v>46</v>
      </c>
      <c r="D1275">
        <v>25</v>
      </c>
      <c r="E1275">
        <v>6</v>
      </c>
      <c r="F1275">
        <v>2</v>
      </c>
      <c r="G1275">
        <v>0</v>
      </c>
      <c r="H1275">
        <v>33</v>
      </c>
      <c r="I1275" s="1">
        <v>45108</v>
      </c>
      <c r="J1275">
        <v>2</v>
      </c>
      <c r="K1275" t="s">
        <v>26</v>
      </c>
    </row>
    <row r="1276" spans="1:11">
      <c r="A1276" s="1">
        <v>45134</v>
      </c>
      <c r="B1276" t="s">
        <v>21</v>
      </c>
      <c r="C1276" t="s">
        <v>53</v>
      </c>
      <c r="D1276">
        <v>55</v>
      </c>
      <c r="E1276">
        <v>2</v>
      </c>
      <c r="F1276">
        <v>2</v>
      </c>
      <c r="G1276">
        <v>0</v>
      </c>
      <c r="H1276">
        <v>59</v>
      </c>
      <c r="I1276" s="1">
        <v>45108</v>
      </c>
      <c r="J1276">
        <v>2</v>
      </c>
      <c r="K1276" t="s">
        <v>26</v>
      </c>
    </row>
    <row r="1277" spans="1:11">
      <c r="A1277" s="1">
        <v>45169</v>
      </c>
      <c r="B1277" t="s">
        <v>40</v>
      </c>
      <c r="C1277" t="s">
        <v>41</v>
      </c>
      <c r="D1277">
        <v>328</v>
      </c>
      <c r="E1277">
        <v>2</v>
      </c>
      <c r="F1277">
        <v>2</v>
      </c>
      <c r="G1277">
        <v>0</v>
      </c>
      <c r="H1277">
        <v>332</v>
      </c>
      <c r="I1277" s="1">
        <v>45139</v>
      </c>
      <c r="J1277">
        <v>2</v>
      </c>
      <c r="K1277" t="s">
        <v>26</v>
      </c>
    </row>
    <row r="1278" spans="1:11">
      <c r="A1278" s="1">
        <v>45169</v>
      </c>
      <c r="B1278" t="s">
        <v>40</v>
      </c>
      <c r="C1278" t="s">
        <v>27</v>
      </c>
      <c r="D1278">
        <v>377</v>
      </c>
      <c r="E1278">
        <v>6</v>
      </c>
      <c r="F1278">
        <v>2</v>
      </c>
      <c r="G1278">
        <v>0</v>
      </c>
      <c r="H1278">
        <v>385</v>
      </c>
      <c r="I1278" s="1">
        <v>45139</v>
      </c>
      <c r="J1278">
        <v>2</v>
      </c>
      <c r="K1278" t="s">
        <v>26</v>
      </c>
    </row>
    <row r="1279" spans="1:11">
      <c r="A1279" s="1">
        <v>45169</v>
      </c>
      <c r="B1279" t="s">
        <v>40</v>
      </c>
      <c r="C1279" t="s">
        <v>52</v>
      </c>
      <c r="D1279">
        <v>537</v>
      </c>
      <c r="E1279">
        <v>114</v>
      </c>
      <c r="F1279">
        <v>2</v>
      </c>
      <c r="G1279">
        <v>0</v>
      </c>
      <c r="H1279">
        <v>653</v>
      </c>
      <c r="I1279" s="1">
        <v>45139</v>
      </c>
      <c r="J1279">
        <v>2</v>
      </c>
      <c r="K1279" t="s">
        <v>26</v>
      </c>
    </row>
    <row r="1280" spans="1:11">
      <c r="A1280" s="1">
        <v>45169</v>
      </c>
      <c r="B1280" t="s">
        <v>40</v>
      </c>
      <c r="C1280" t="s">
        <v>44</v>
      </c>
      <c r="D1280">
        <v>232</v>
      </c>
      <c r="E1280">
        <v>4</v>
      </c>
      <c r="F1280">
        <v>2</v>
      </c>
      <c r="G1280">
        <v>0</v>
      </c>
      <c r="H1280">
        <v>238</v>
      </c>
      <c r="I1280" s="1">
        <v>45139</v>
      </c>
      <c r="J1280">
        <v>2</v>
      </c>
      <c r="K1280" t="s">
        <v>26</v>
      </c>
    </row>
    <row r="1281" spans="1:11">
      <c r="A1281" s="1">
        <v>45169</v>
      </c>
      <c r="B1281" t="s">
        <v>21</v>
      </c>
      <c r="C1281" t="s">
        <v>46</v>
      </c>
      <c r="D1281">
        <v>18</v>
      </c>
      <c r="E1281">
        <v>6</v>
      </c>
      <c r="F1281">
        <v>2</v>
      </c>
      <c r="G1281">
        <v>0</v>
      </c>
      <c r="H1281">
        <v>26</v>
      </c>
      <c r="I1281" s="1">
        <v>45139</v>
      </c>
      <c r="J1281">
        <v>2</v>
      </c>
      <c r="K1281" t="s">
        <v>26</v>
      </c>
    </row>
    <row r="1282" spans="1:11">
      <c r="A1282" s="1">
        <v>45197</v>
      </c>
      <c r="B1282" t="s">
        <v>40</v>
      </c>
      <c r="C1282" t="s">
        <v>39</v>
      </c>
      <c r="D1282">
        <v>110</v>
      </c>
      <c r="E1282">
        <v>11</v>
      </c>
      <c r="F1282">
        <v>2</v>
      </c>
      <c r="G1282">
        <v>0</v>
      </c>
      <c r="H1282">
        <v>123</v>
      </c>
      <c r="I1282" s="1">
        <v>45170</v>
      </c>
      <c r="J1282">
        <v>2</v>
      </c>
      <c r="K1282" t="s">
        <v>26</v>
      </c>
    </row>
    <row r="1283" spans="1:11">
      <c r="A1283" s="1">
        <v>45197</v>
      </c>
      <c r="B1283" t="s">
        <v>21</v>
      </c>
      <c r="C1283" t="s">
        <v>25</v>
      </c>
      <c r="D1283">
        <v>54</v>
      </c>
      <c r="E1283">
        <v>26</v>
      </c>
      <c r="F1283">
        <v>2</v>
      </c>
      <c r="G1283">
        <v>0</v>
      </c>
      <c r="H1283">
        <v>82</v>
      </c>
      <c r="I1283" s="1">
        <v>45170</v>
      </c>
      <c r="J1283">
        <v>2</v>
      </c>
      <c r="K1283" t="s">
        <v>26</v>
      </c>
    </row>
    <row r="1284" spans="1:11">
      <c r="A1284" s="1">
        <v>45197</v>
      </c>
      <c r="B1284" t="s">
        <v>21</v>
      </c>
      <c r="C1284" t="s">
        <v>46</v>
      </c>
      <c r="D1284">
        <v>29</v>
      </c>
      <c r="E1284">
        <v>4</v>
      </c>
      <c r="F1284">
        <v>2</v>
      </c>
      <c r="G1284">
        <v>0</v>
      </c>
      <c r="H1284">
        <v>34</v>
      </c>
      <c r="I1284" s="1">
        <v>45170</v>
      </c>
      <c r="J1284">
        <v>2</v>
      </c>
      <c r="K1284" t="s">
        <v>26</v>
      </c>
    </row>
    <row r="1285" spans="1:11">
      <c r="A1285" s="1">
        <v>45225</v>
      </c>
      <c r="B1285" t="s">
        <v>40</v>
      </c>
      <c r="C1285" t="s">
        <v>37</v>
      </c>
      <c r="D1285">
        <v>401</v>
      </c>
      <c r="E1285">
        <v>24</v>
      </c>
      <c r="F1285">
        <v>2</v>
      </c>
      <c r="G1285">
        <v>0</v>
      </c>
      <c r="H1285">
        <v>427</v>
      </c>
      <c r="I1285" s="1">
        <v>45200</v>
      </c>
      <c r="J1285">
        <v>2</v>
      </c>
      <c r="K1285" t="s">
        <v>26</v>
      </c>
    </row>
    <row r="1286" spans="1:11">
      <c r="A1286" s="1">
        <v>45225</v>
      </c>
      <c r="B1286" t="s">
        <v>40</v>
      </c>
      <c r="C1286" t="s">
        <v>35</v>
      </c>
      <c r="D1286">
        <v>618</v>
      </c>
      <c r="E1286">
        <v>13</v>
      </c>
      <c r="F1286">
        <v>2</v>
      </c>
      <c r="G1286">
        <v>0</v>
      </c>
      <c r="H1286">
        <v>634</v>
      </c>
      <c r="I1286" s="1">
        <v>45200</v>
      </c>
      <c r="J1286">
        <v>2</v>
      </c>
      <c r="K1286" t="s">
        <v>26</v>
      </c>
    </row>
    <row r="1287" spans="1:11">
      <c r="A1287" s="1">
        <v>45225</v>
      </c>
      <c r="B1287" t="s">
        <v>21</v>
      </c>
      <c r="C1287" t="s">
        <v>25</v>
      </c>
      <c r="D1287">
        <v>69</v>
      </c>
      <c r="E1287">
        <v>26</v>
      </c>
      <c r="F1287">
        <v>2</v>
      </c>
      <c r="G1287">
        <v>0</v>
      </c>
      <c r="H1287">
        <v>97</v>
      </c>
      <c r="I1287" s="1">
        <v>45200</v>
      </c>
      <c r="J1287">
        <v>2</v>
      </c>
      <c r="K1287" t="s">
        <v>26</v>
      </c>
    </row>
    <row r="1288" spans="1:11">
      <c r="A1288" s="1">
        <v>45260</v>
      </c>
      <c r="B1288" t="s">
        <v>40</v>
      </c>
      <c r="C1288" t="s">
        <v>39</v>
      </c>
      <c r="D1288">
        <v>148</v>
      </c>
      <c r="E1288">
        <v>14</v>
      </c>
      <c r="F1288">
        <v>2</v>
      </c>
      <c r="G1288">
        <v>0</v>
      </c>
      <c r="H1288">
        <v>164</v>
      </c>
      <c r="I1288" s="1">
        <v>45231</v>
      </c>
      <c r="J1288">
        <v>2</v>
      </c>
      <c r="K1288" t="s">
        <v>26</v>
      </c>
    </row>
    <row r="1289" spans="1:11">
      <c r="A1289" s="1">
        <v>45260</v>
      </c>
      <c r="B1289" t="s">
        <v>21</v>
      </c>
      <c r="C1289" t="s">
        <v>51</v>
      </c>
      <c r="D1289">
        <v>26</v>
      </c>
      <c r="E1289">
        <v>13</v>
      </c>
      <c r="F1289">
        <v>2</v>
      </c>
      <c r="G1289">
        <v>0</v>
      </c>
      <c r="H1289">
        <v>41</v>
      </c>
      <c r="I1289" s="1">
        <v>45231</v>
      </c>
      <c r="J1289">
        <v>2</v>
      </c>
      <c r="K1289" t="s">
        <v>26</v>
      </c>
    </row>
    <row r="1290" spans="1:11">
      <c r="A1290" s="1">
        <v>45260</v>
      </c>
      <c r="B1290" t="s">
        <v>21</v>
      </c>
      <c r="C1290" t="s">
        <v>52</v>
      </c>
      <c r="D1290">
        <v>92</v>
      </c>
      <c r="E1290">
        <v>17</v>
      </c>
      <c r="F1290">
        <v>2</v>
      </c>
      <c r="G1290">
        <v>0</v>
      </c>
      <c r="H1290">
        <v>110</v>
      </c>
      <c r="I1290" s="1">
        <v>45231</v>
      </c>
      <c r="J1290">
        <v>2</v>
      </c>
      <c r="K1290" t="s">
        <v>26</v>
      </c>
    </row>
    <row r="1291" spans="1:11">
      <c r="A1291" s="1">
        <v>45288</v>
      </c>
      <c r="B1291" t="s">
        <v>21</v>
      </c>
      <c r="C1291" t="s">
        <v>25</v>
      </c>
      <c r="D1291">
        <v>84</v>
      </c>
      <c r="E1291">
        <v>29</v>
      </c>
      <c r="F1291">
        <v>2</v>
      </c>
      <c r="G1291">
        <v>0</v>
      </c>
      <c r="H1291">
        <v>115</v>
      </c>
      <c r="I1291" s="1">
        <v>45261</v>
      </c>
      <c r="J1291">
        <v>2</v>
      </c>
      <c r="K1291" t="s">
        <v>26</v>
      </c>
    </row>
    <row r="1292" spans="1:11">
      <c r="A1292" s="1">
        <v>45288</v>
      </c>
      <c r="B1292" t="s">
        <v>21</v>
      </c>
      <c r="C1292" t="s">
        <v>51</v>
      </c>
      <c r="D1292">
        <v>26</v>
      </c>
      <c r="E1292">
        <v>9</v>
      </c>
      <c r="F1292">
        <v>2</v>
      </c>
      <c r="G1292">
        <v>0</v>
      </c>
      <c r="H1292">
        <v>37</v>
      </c>
      <c r="I1292" s="1">
        <v>45261</v>
      </c>
      <c r="J1292">
        <v>2</v>
      </c>
      <c r="K1292" t="s">
        <v>26</v>
      </c>
    </row>
    <row r="1293" spans="1:11">
      <c r="A1293" s="1">
        <v>45288</v>
      </c>
      <c r="B1293" t="s">
        <v>21</v>
      </c>
      <c r="C1293" t="s">
        <v>49</v>
      </c>
      <c r="D1293">
        <v>30</v>
      </c>
      <c r="E1293">
        <v>13</v>
      </c>
      <c r="F1293">
        <v>2</v>
      </c>
      <c r="G1293">
        <v>0</v>
      </c>
      <c r="H1293">
        <v>45</v>
      </c>
      <c r="I1293" s="1">
        <v>45261</v>
      </c>
      <c r="J1293">
        <v>2</v>
      </c>
      <c r="K1293" t="s">
        <v>26</v>
      </c>
    </row>
    <row r="1294" spans="1:11">
      <c r="A1294" s="1">
        <v>45316</v>
      </c>
      <c r="B1294" t="s">
        <v>21</v>
      </c>
      <c r="C1294" t="s">
        <v>25</v>
      </c>
      <c r="D1294">
        <v>76</v>
      </c>
      <c r="E1294">
        <v>27</v>
      </c>
      <c r="F1294">
        <v>2</v>
      </c>
      <c r="G1294">
        <v>0</v>
      </c>
      <c r="H1294">
        <v>105</v>
      </c>
      <c r="I1294" s="1">
        <v>45292</v>
      </c>
      <c r="J1294">
        <v>2</v>
      </c>
      <c r="K1294" t="s">
        <v>26</v>
      </c>
    </row>
    <row r="1295" spans="1:11">
      <c r="A1295" s="1">
        <v>45316</v>
      </c>
      <c r="B1295" t="s">
        <v>21</v>
      </c>
      <c r="C1295" t="s">
        <v>49</v>
      </c>
      <c r="D1295">
        <v>32</v>
      </c>
      <c r="E1295">
        <v>11</v>
      </c>
      <c r="F1295">
        <v>2</v>
      </c>
      <c r="G1295">
        <v>0</v>
      </c>
      <c r="H1295">
        <v>45</v>
      </c>
      <c r="I1295" s="1">
        <v>45292</v>
      </c>
      <c r="J1295">
        <v>2</v>
      </c>
      <c r="K1295" t="s">
        <v>26</v>
      </c>
    </row>
    <row r="1296" spans="1:11">
      <c r="A1296" s="1">
        <v>45379</v>
      </c>
      <c r="B1296" t="s">
        <v>40</v>
      </c>
      <c r="C1296" t="s">
        <v>37</v>
      </c>
      <c r="D1296">
        <v>482</v>
      </c>
      <c r="E1296">
        <v>39</v>
      </c>
      <c r="F1296">
        <v>2</v>
      </c>
      <c r="G1296">
        <v>0</v>
      </c>
      <c r="H1296">
        <v>523</v>
      </c>
      <c r="I1296" s="1">
        <v>45352</v>
      </c>
      <c r="J1296">
        <v>2</v>
      </c>
      <c r="K1296" t="s">
        <v>26</v>
      </c>
    </row>
    <row r="1297" spans="1:11">
      <c r="A1297" s="1">
        <v>45379</v>
      </c>
      <c r="B1297" t="s">
        <v>21</v>
      </c>
      <c r="C1297" t="s">
        <v>60</v>
      </c>
      <c r="D1297">
        <v>135</v>
      </c>
      <c r="E1297">
        <v>57</v>
      </c>
      <c r="F1297">
        <v>2</v>
      </c>
      <c r="G1297">
        <v>0</v>
      </c>
      <c r="H1297">
        <v>194</v>
      </c>
      <c r="I1297" s="1">
        <v>45352</v>
      </c>
      <c r="J1297">
        <v>2</v>
      </c>
      <c r="K1297" t="s">
        <v>26</v>
      </c>
    </row>
    <row r="1298" spans="1:11">
      <c r="A1298" s="1">
        <v>45407</v>
      </c>
      <c r="B1298" t="s">
        <v>40</v>
      </c>
      <c r="C1298" t="s">
        <v>55</v>
      </c>
      <c r="D1298">
        <v>1037</v>
      </c>
      <c r="E1298">
        <v>270</v>
      </c>
      <c r="F1298">
        <v>2</v>
      </c>
      <c r="G1298">
        <v>0</v>
      </c>
      <c r="H1298">
        <v>1310</v>
      </c>
      <c r="I1298" s="1">
        <v>45383</v>
      </c>
      <c r="J1298">
        <v>2</v>
      </c>
      <c r="K1298" t="s">
        <v>26</v>
      </c>
    </row>
    <row r="1299" spans="1:11">
      <c r="A1299" s="1">
        <v>45407</v>
      </c>
      <c r="B1299" t="s">
        <v>40</v>
      </c>
      <c r="C1299" t="s">
        <v>22</v>
      </c>
      <c r="D1299">
        <v>569</v>
      </c>
      <c r="E1299">
        <v>38</v>
      </c>
      <c r="F1299">
        <v>2</v>
      </c>
      <c r="G1299">
        <v>0</v>
      </c>
      <c r="H1299">
        <v>609</v>
      </c>
      <c r="I1299" s="1">
        <v>45383</v>
      </c>
      <c r="J1299">
        <v>2</v>
      </c>
      <c r="K1299" t="s">
        <v>26</v>
      </c>
    </row>
    <row r="1300" spans="1:11">
      <c r="A1300" s="1">
        <v>45442</v>
      </c>
      <c r="B1300" t="s">
        <v>40</v>
      </c>
      <c r="C1300" t="s">
        <v>35</v>
      </c>
      <c r="D1300">
        <v>679</v>
      </c>
      <c r="E1300">
        <v>91</v>
      </c>
      <c r="F1300">
        <v>2</v>
      </c>
      <c r="G1300">
        <v>0</v>
      </c>
      <c r="H1300">
        <v>771</v>
      </c>
      <c r="I1300" s="1">
        <v>45413</v>
      </c>
      <c r="J1300">
        <v>2</v>
      </c>
      <c r="K1300" t="s">
        <v>26</v>
      </c>
    </row>
    <row r="1301" spans="1:11">
      <c r="A1301" s="1">
        <v>45442</v>
      </c>
      <c r="B1301" t="s">
        <v>21</v>
      </c>
      <c r="C1301" t="s">
        <v>48</v>
      </c>
      <c r="D1301">
        <v>14</v>
      </c>
      <c r="E1301">
        <v>2</v>
      </c>
      <c r="F1301">
        <v>2</v>
      </c>
      <c r="G1301">
        <v>0</v>
      </c>
      <c r="H1301">
        <v>18</v>
      </c>
      <c r="I1301" s="1">
        <v>45413</v>
      </c>
      <c r="J1301">
        <v>2</v>
      </c>
      <c r="K1301" t="s">
        <v>26</v>
      </c>
    </row>
    <row r="1302" spans="1:11">
      <c r="A1302" s="1">
        <v>45442</v>
      </c>
      <c r="B1302" t="s">
        <v>21</v>
      </c>
      <c r="C1302" t="s">
        <v>35</v>
      </c>
      <c r="D1302">
        <v>6</v>
      </c>
      <c r="E1302">
        <v>0</v>
      </c>
      <c r="F1302">
        <v>2</v>
      </c>
      <c r="G1302">
        <v>0</v>
      </c>
      <c r="H1302">
        <v>8</v>
      </c>
      <c r="I1302" s="1">
        <v>45413</v>
      </c>
      <c r="J1302">
        <v>2</v>
      </c>
      <c r="K1302" t="s">
        <v>26</v>
      </c>
    </row>
    <row r="1303" spans="1:11">
      <c r="A1303" s="1">
        <v>45470</v>
      </c>
      <c r="B1303" t="s">
        <v>40</v>
      </c>
      <c r="C1303" t="s">
        <v>37</v>
      </c>
      <c r="D1303">
        <v>504</v>
      </c>
      <c r="E1303">
        <v>83</v>
      </c>
      <c r="F1303">
        <v>2</v>
      </c>
      <c r="G1303">
        <v>0</v>
      </c>
      <c r="H1303">
        <v>589</v>
      </c>
      <c r="I1303" s="1">
        <v>45444</v>
      </c>
      <c r="J1303">
        <v>2</v>
      </c>
      <c r="K1303" t="s">
        <v>26</v>
      </c>
    </row>
    <row r="1304" spans="1:11">
      <c r="A1304" s="1">
        <v>45470</v>
      </c>
      <c r="B1304" t="s">
        <v>40</v>
      </c>
      <c r="C1304" t="s">
        <v>39</v>
      </c>
      <c r="D1304">
        <v>113</v>
      </c>
      <c r="E1304">
        <v>59</v>
      </c>
      <c r="F1304">
        <v>2</v>
      </c>
      <c r="G1304">
        <v>0</v>
      </c>
      <c r="H1304">
        <v>174</v>
      </c>
      <c r="I1304" s="1">
        <v>45444</v>
      </c>
      <c r="J1304">
        <v>2</v>
      </c>
      <c r="K1304" t="s">
        <v>26</v>
      </c>
    </row>
    <row r="1305" spans="1:11">
      <c r="A1305" s="1">
        <v>45470</v>
      </c>
      <c r="B1305" t="s">
        <v>40</v>
      </c>
      <c r="C1305" t="s">
        <v>22</v>
      </c>
      <c r="D1305">
        <v>656</v>
      </c>
      <c r="E1305">
        <v>44</v>
      </c>
      <c r="F1305">
        <v>2</v>
      </c>
      <c r="G1305">
        <v>0</v>
      </c>
      <c r="H1305">
        <v>702</v>
      </c>
      <c r="I1305" s="1">
        <v>45444</v>
      </c>
      <c r="J1305">
        <v>2</v>
      </c>
      <c r="K1305" t="s">
        <v>26</v>
      </c>
    </row>
    <row r="1306" spans="1:11">
      <c r="A1306" s="1">
        <v>45470</v>
      </c>
      <c r="B1306" t="s">
        <v>40</v>
      </c>
      <c r="C1306" t="s">
        <v>32</v>
      </c>
      <c r="D1306">
        <v>269</v>
      </c>
      <c r="E1306">
        <v>25</v>
      </c>
      <c r="F1306">
        <v>2</v>
      </c>
      <c r="G1306">
        <v>0</v>
      </c>
      <c r="H1306">
        <v>295</v>
      </c>
      <c r="I1306" s="1">
        <v>45444</v>
      </c>
      <c r="J1306">
        <v>2</v>
      </c>
      <c r="K1306" t="s">
        <v>26</v>
      </c>
    </row>
    <row r="1307" spans="1:11">
      <c r="A1307" s="1">
        <v>45470</v>
      </c>
      <c r="B1307" t="s">
        <v>21</v>
      </c>
      <c r="C1307" t="s">
        <v>52</v>
      </c>
      <c r="D1307">
        <v>49</v>
      </c>
      <c r="E1307">
        <v>41</v>
      </c>
      <c r="F1307">
        <v>2</v>
      </c>
      <c r="G1307">
        <v>0</v>
      </c>
      <c r="H1307">
        <v>92</v>
      </c>
      <c r="I1307" s="1">
        <v>45444</v>
      </c>
      <c r="J1307">
        <v>2</v>
      </c>
      <c r="K1307" t="s">
        <v>26</v>
      </c>
    </row>
    <row r="1308" spans="1:11">
      <c r="A1308" s="1">
        <v>45498</v>
      </c>
      <c r="B1308" t="s">
        <v>40</v>
      </c>
      <c r="C1308" t="s">
        <v>32</v>
      </c>
      <c r="D1308">
        <v>307</v>
      </c>
      <c r="E1308">
        <v>23</v>
      </c>
      <c r="F1308">
        <v>2</v>
      </c>
      <c r="G1308">
        <v>0</v>
      </c>
      <c r="H1308">
        <v>331</v>
      </c>
      <c r="I1308" s="1">
        <v>45474</v>
      </c>
      <c r="J1308">
        <v>2</v>
      </c>
      <c r="K1308" t="s">
        <v>26</v>
      </c>
    </row>
    <row r="1309" spans="1:11">
      <c r="A1309" s="1">
        <v>45498</v>
      </c>
      <c r="B1309" t="s">
        <v>21</v>
      </c>
      <c r="C1309" t="s">
        <v>54</v>
      </c>
      <c r="D1309">
        <v>60</v>
      </c>
      <c r="E1309">
        <v>27</v>
      </c>
      <c r="F1309">
        <v>2</v>
      </c>
      <c r="G1309">
        <v>0</v>
      </c>
      <c r="H1309">
        <v>88</v>
      </c>
      <c r="I1309" s="1">
        <v>45474</v>
      </c>
      <c r="J1309">
        <v>2</v>
      </c>
      <c r="K1309" t="s">
        <v>26</v>
      </c>
    </row>
    <row r="1310" spans="1:11">
      <c r="A1310" s="1">
        <v>45498</v>
      </c>
      <c r="B1310" t="s">
        <v>21</v>
      </c>
      <c r="C1310" t="s">
        <v>60</v>
      </c>
      <c r="D1310">
        <v>92</v>
      </c>
      <c r="E1310">
        <v>7</v>
      </c>
      <c r="F1310">
        <v>2</v>
      </c>
      <c r="G1310">
        <v>0</v>
      </c>
      <c r="H1310">
        <v>101</v>
      </c>
      <c r="I1310" s="1">
        <v>45474</v>
      </c>
      <c r="J1310">
        <v>2</v>
      </c>
      <c r="K1310" t="s">
        <v>26</v>
      </c>
    </row>
    <row r="1311" spans="1:11">
      <c r="A1311" s="1">
        <v>45533</v>
      </c>
      <c r="B1311" t="s">
        <v>40</v>
      </c>
      <c r="C1311" t="s">
        <v>55</v>
      </c>
      <c r="D1311">
        <v>975</v>
      </c>
      <c r="E1311">
        <v>70</v>
      </c>
      <c r="F1311">
        <v>2</v>
      </c>
      <c r="G1311">
        <v>0</v>
      </c>
      <c r="H1311">
        <v>1047</v>
      </c>
      <c r="I1311" s="1">
        <v>45505</v>
      </c>
      <c r="J1311">
        <v>2</v>
      </c>
      <c r="K1311" t="s">
        <v>26</v>
      </c>
    </row>
    <row r="1312" spans="1:11">
      <c r="A1312" s="1">
        <v>45533</v>
      </c>
      <c r="B1312" t="s">
        <v>21</v>
      </c>
      <c r="C1312" t="s">
        <v>37</v>
      </c>
      <c r="D1312">
        <v>11</v>
      </c>
      <c r="E1312">
        <v>3</v>
      </c>
      <c r="F1312">
        <v>2</v>
      </c>
      <c r="G1312">
        <v>0</v>
      </c>
      <c r="H1312">
        <v>16</v>
      </c>
      <c r="I1312" s="1">
        <v>45505</v>
      </c>
      <c r="J1312">
        <v>2</v>
      </c>
      <c r="K1312" t="s">
        <v>26</v>
      </c>
    </row>
    <row r="1313" spans="1:11">
      <c r="A1313" s="1">
        <v>45561</v>
      </c>
      <c r="B1313" t="s">
        <v>40</v>
      </c>
      <c r="C1313" t="s">
        <v>44</v>
      </c>
      <c r="D1313">
        <v>222</v>
      </c>
      <c r="E1313">
        <v>34</v>
      </c>
      <c r="F1313">
        <v>2</v>
      </c>
      <c r="G1313">
        <v>0</v>
      </c>
      <c r="H1313">
        <v>258</v>
      </c>
      <c r="I1313" s="1">
        <v>45536</v>
      </c>
      <c r="J1313">
        <v>2</v>
      </c>
      <c r="K1313" t="s">
        <v>26</v>
      </c>
    </row>
    <row r="1314" spans="1:11">
      <c r="A1314" s="1">
        <v>45596</v>
      </c>
      <c r="B1314" t="s">
        <v>40</v>
      </c>
      <c r="C1314" t="s">
        <v>41</v>
      </c>
      <c r="D1314">
        <v>276</v>
      </c>
      <c r="E1314">
        <v>13</v>
      </c>
      <c r="F1314">
        <v>2</v>
      </c>
      <c r="G1314">
        <v>0</v>
      </c>
      <c r="H1314">
        <v>291</v>
      </c>
      <c r="I1314" s="1">
        <v>45566</v>
      </c>
      <c r="J1314">
        <v>2</v>
      </c>
      <c r="K1314" t="s">
        <v>26</v>
      </c>
    </row>
    <row r="1315" spans="1:11">
      <c r="A1315" s="1">
        <v>45596</v>
      </c>
      <c r="B1315" t="s">
        <v>40</v>
      </c>
      <c r="C1315" t="s">
        <v>37</v>
      </c>
      <c r="D1315">
        <v>593</v>
      </c>
      <c r="E1315">
        <v>122</v>
      </c>
      <c r="F1315">
        <v>2</v>
      </c>
      <c r="G1315">
        <v>0</v>
      </c>
      <c r="H1315">
        <v>718</v>
      </c>
      <c r="I1315" s="1">
        <v>45566</v>
      </c>
      <c r="J1315">
        <v>2</v>
      </c>
      <c r="K1315" t="s">
        <v>26</v>
      </c>
    </row>
    <row r="1316" spans="1:11">
      <c r="A1316" s="1">
        <v>45596</v>
      </c>
      <c r="B1316" t="s">
        <v>40</v>
      </c>
      <c r="C1316" t="s">
        <v>35</v>
      </c>
      <c r="D1316">
        <v>730</v>
      </c>
      <c r="E1316">
        <v>219</v>
      </c>
      <c r="F1316">
        <v>2</v>
      </c>
      <c r="G1316">
        <v>0</v>
      </c>
      <c r="H1316">
        <v>951</v>
      </c>
      <c r="I1316" s="1">
        <v>45566</v>
      </c>
      <c r="J1316">
        <v>2</v>
      </c>
      <c r="K1316" t="s">
        <v>26</v>
      </c>
    </row>
    <row r="1317" spans="1:11">
      <c r="A1317" s="1">
        <v>45596</v>
      </c>
      <c r="B1317" t="s">
        <v>21</v>
      </c>
      <c r="C1317" t="s">
        <v>47</v>
      </c>
      <c r="D1317">
        <v>7</v>
      </c>
      <c r="E1317">
        <v>0</v>
      </c>
      <c r="F1317">
        <v>2</v>
      </c>
      <c r="G1317">
        <v>0</v>
      </c>
      <c r="H1317">
        <v>9</v>
      </c>
      <c r="I1317" s="1">
        <v>45566</v>
      </c>
      <c r="J1317">
        <v>2</v>
      </c>
      <c r="K1317" t="s">
        <v>26</v>
      </c>
    </row>
    <row r="1318" spans="1:11">
      <c r="A1318" s="1">
        <v>45624</v>
      </c>
      <c r="B1318" t="s">
        <v>21</v>
      </c>
      <c r="C1318" t="s">
        <v>57</v>
      </c>
      <c r="D1318">
        <v>43</v>
      </c>
      <c r="E1318">
        <v>4</v>
      </c>
      <c r="F1318">
        <v>2</v>
      </c>
      <c r="G1318">
        <v>0</v>
      </c>
      <c r="H1318">
        <v>49</v>
      </c>
      <c r="I1318" s="1">
        <v>45597</v>
      </c>
      <c r="J1318">
        <v>2</v>
      </c>
      <c r="K1318" t="s">
        <v>26</v>
      </c>
    </row>
    <row r="1319" spans="1:11">
      <c r="A1319" s="1">
        <v>45624</v>
      </c>
      <c r="B1319" t="s">
        <v>21</v>
      </c>
      <c r="C1319" t="s">
        <v>47</v>
      </c>
      <c r="D1319">
        <v>3</v>
      </c>
      <c r="E1319">
        <v>2</v>
      </c>
      <c r="F1319">
        <v>2</v>
      </c>
      <c r="G1319">
        <v>0</v>
      </c>
      <c r="H1319">
        <v>6</v>
      </c>
      <c r="I1319" s="1">
        <v>45597</v>
      </c>
      <c r="J1319">
        <v>2</v>
      </c>
      <c r="K1319" t="s">
        <v>26</v>
      </c>
    </row>
    <row r="1320" spans="1:11">
      <c r="A1320" s="1">
        <v>45645</v>
      </c>
      <c r="B1320" t="s">
        <v>40</v>
      </c>
      <c r="C1320" t="s">
        <v>35</v>
      </c>
      <c r="D1320">
        <v>875</v>
      </c>
      <c r="E1320">
        <v>371</v>
      </c>
      <c r="F1320">
        <v>2</v>
      </c>
      <c r="G1320">
        <v>0</v>
      </c>
      <c r="H1320">
        <v>1248</v>
      </c>
      <c r="I1320" s="1">
        <v>45627</v>
      </c>
      <c r="J1320">
        <v>2</v>
      </c>
      <c r="K1320" t="s">
        <v>26</v>
      </c>
    </row>
    <row r="1321" spans="1:11">
      <c r="A1321" s="1">
        <v>45645</v>
      </c>
      <c r="B1321" t="s">
        <v>21</v>
      </c>
      <c r="C1321" t="s">
        <v>54</v>
      </c>
      <c r="D1321">
        <v>25</v>
      </c>
      <c r="E1321">
        <v>11</v>
      </c>
      <c r="F1321">
        <v>2</v>
      </c>
      <c r="G1321">
        <v>0</v>
      </c>
      <c r="H1321">
        <v>38</v>
      </c>
      <c r="I1321" s="1">
        <v>45627</v>
      </c>
      <c r="J1321">
        <v>2</v>
      </c>
      <c r="K1321" t="s">
        <v>26</v>
      </c>
    </row>
    <row r="1322" spans="1:11">
      <c r="A1322" s="1">
        <v>45687</v>
      </c>
      <c r="B1322" t="s">
        <v>40</v>
      </c>
      <c r="C1322" t="s">
        <v>56</v>
      </c>
      <c r="D1322">
        <v>602</v>
      </c>
      <c r="E1322">
        <v>145</v>
      </c>
      <c r="F1322">
        <v>2</v>
      </c>
      <c r="G1322">
        <v>0</v>
      </c>
      <c r="H1322">
        <v>749</v>
      </c>
      <c r="I1322" s="1">
        <v>45658</v>
      </c>
      <c r="J1322">
        <v>2</v>
      </c>
      <c r="K1322" t="s">
        <v>26</v>
      </c>
    </row>
    <row r="1323" spans="1:11">
      <c r="A1323" s="1">
        <v>45687</v>
      </c>
      <c r="B1323" t="s">
        <v>40</v>
      </c>
      <c r="C1323" t="s">
        <v>44</v>
      </c>
      <c r="D1323">
        <v>383</v>
      </c>
      <c r="E1323">
        <v>36</v>
      </c>
      <c r="F1323">
        <v>2</v>
      </c>
      <c r="G1323">
        <v>0</v>
      </c>
      <c r="H1323">
        <v>421</v>
      </c>
      <c r="I1323" s="1">
        <v>45658</v>
      </c>
      <c r="J1323">
        <v>2</v>
      </c>
      <c r="K1323" t="s">
        <v>26</v>
      </c>
    </row>
    <row r="1324" spans="1:11">
      <c r="A1324" s="1">
        <v>45715</v>
      </c>
      <c r="B1324" t="s">
        <v>40</v>
      </c>
      <c r="C1324" t="s">
        <v>44</v>
      </c>
      <c r="D1324">
        <v>325</v>
      </c>
      <c r="E1324">
        <v>41</v>
      </c>
      <c r="F1324">
        <v>2</v>
      </c>
      <c r="G1324">
        <v>0</v>
      </c>
      <c r="H1324">
        <v>367</v>
      </c>
      <c r="I1324" s="1">
        <v>45689</v>
      </c>
      <c r="J1324">
        <v>2</v>
      </c>
      <c r="K1324" t="s">
        <v>26</v>
      </c>
    </row>
    <row r="1325" spans="1:11">
      <c r="A1325" s="1">
        <v>45771</v>
      </c>
      <c r="B1325" t="s">
        <v>40</v>
      </c>
      <c r="C1325" t="s">
        <v>44</v>
      </c>
      <c r="D1325">
        <v>280</v>
      </c>
      <c r="E1325">
        <v>43</v>
      </c>
      <c r="F1325">
        <v>2</v>
      </c>
      <c r="G1325">
        <v>0</v>
      </c>
      <c r="H1325">
        <v>325</v>
      </c>
      <c r="I1325" s="1">
        <v>45748</v>
      </c>
      <c r="J1325">
        <v>2</v>
      </c>
      <c r="K1325" t="s">
        <v>26</v>
      </c>
    </row>
    <row r="1326" spans="1:11">
      <c r="A1326" s="1">
        <v>45806</v>
      </c>
      <c r="B1326" t="s">
        <v>40</v>
      </c>
      <c r="C1326" t="s">
        <v>41</v>
      </c>
      <c r="D1326">
        <v>368</v>
      </c>
      <c r="E1326">
        <v>34</v>
      </c>
      <c r="F1326">
        <v>2</v>
      </c>
      <c r="G1326">
        <v>0</v>
      </c>
      <c r="H1326">
        <v>403</v>
      </c>
      <c r="I1326" s="1">
        <v>45778</v>
      </c>
      <c r="J1326">
        <v>2</v>
      </c>
      <c r="K1326" t="s">
        <v>26</v>
      </c>
    </row>
    <row r="1327" spans="1:11">
      <c r="A1327" s="1">
        <v>45806</v>
      </c>
      <c r="B1327" t="s">
        <v>40</v>
      </c>
      <c r="C1327" t="s">
        <v>55</v>
      </c>
      <c r="D1327">
        <v>1238</v>
      </c>
      <c r="E1327">
        <v>102</v>
      </c>
      <c r="F1327">
        <v>2</v>
      </c>
      <c r="G1327">
        <v>0</v>
      </c>
      <c r="H1327">
        <v>1342</v>
      </c>
      <c r="I1327" s="1">
        <v>45778</v>
      </c>
      <c r="J1327">
        <v>2</v>
      </c>
      <c r="K1327" t="s">
        <v>26</v>
      </c>
    </row>
    <row r="1328" spans="1:11">
      <c r="A1328" s="1">
        <v>45806</v>
      </c>
      <c r="B1328" t="s">
        <v>40</v>
      </c>
      <c r="C1328" t="s">
        <v>56</v>
      </c>
      <c r="D1328">
        <v>532</v>
      </c>
      <c r="E1328">
        <v>212</v>
      </c>
      <c r="F1328">
        <v>2</v>
      </c>
      <c r="G1328">
        <v>0</v>
      </c>
      <c r="H1328">
        <v>746</v>
      </c>
      <c r="I1328" s="1">
        <v>45778</v>
      </c>
      <c r="J1328">
        <v>2</v>
      </c>
      <c r="K1328" t="s">
        <v>26</v>
      </c>
    </row>
    <row r="1329" spans="1:11">
      <c r="A1329" s="1">
        <v>45806</v>
      </c>
      <c r="B1329" t="s">
        <v>40</v>
      </c>
      <c r="C1329" t="s">
        <v>44</v>
      </c>
      <c r="D1329">
        <v>235</v>
      </c>
      <c r="E1329">
        <v>37</v>
      </c>
      <c r="F1329">
        <v>2</v>
      </c>
      <c r="G1329">
        <v>0</v>
      </c>
      <c r="H1329">
        <v>274</v>
      </c>
      <c r="I1329" s="1">
        <v>45778</v>
      </c>
      <c r="J1329">
        <v>2</v>
      </c>
      <c r="K1329" t="s">
        <v>26</v>
      </c>
    </row>
    <row r="1330" spans="1:11">
      <c r="A1330" s="1">
        <v>45806</v>
      </c>
      <c r="B1330" t="s">
        <v>21</v>
      </c>
      <c r="C1330" t="s">
        <v>51</v>
      </c>
      <c r="D1330">
        <v>25</v>
      </c>
      <c r="E1330">
        <v>12</v>
      </c>
      <c r="F1330">
        <v>2</v>
      </c>
      <c r="G1330">
        <v>0</v>
      </c>
      <c r="H1330">
        <v>39</v>
      </c>
      <c r="I1330" s="1">
        <v>45778</v>
      </c>
      <c r="J1330">
        <v>2</v>
      </c>
      <c r="K1330" t="s">
        <v>26</v>
      </c>
    </row>
    <row r="1331" spans="1:11">
      <c r="A1331" s="1">
        <v>45834</v>
      </c>
      <c r="B1331" t="s">
        <v>40</v>
      </c>
      <c r="C1331" t="s">
        <v>55</v>
      </c>
      <c r="D1331">
        <v>1185</v>
      </c>
      <c r="E1331">
        <v>115</v>
      </c>
      <c r="F1331">
        <v>2</v>
      </c>
      <c r="G1331">
        <v>0</v>
      </c>
      <c r="H1331">
        <v>1302</v>
      </c>
      <c r="I1331" s="1">
        <v>45809</v>
      </c>
      <c r="J1331">
        <v>2</v>
      </c>
      <c r="K1331" t="s">
        <v>26</v>
      </c>
    </row>
    <row r="1332" spans="1:11">
      <c r="A1332" s="1">
        <v>45834</v>
      </c>
      <c r="B1332" t="s">
        <v>21</v>
      </c>
      <c r="C1332" t="s">
        <v>51</v>
      </c>
      <c r="D1332">
        <v>18</v>
      </c>
      <c r="E1332">
        <v>11</v>
      </c>
      <c r="F1332">
        <v>2</v>
      </c>
      <c r="G1332">
        <v>0</v>
      </c>
      <c r="H1332">
        <v>31</v>
      </c>
      <c r="I1332" s="1">
        <v>45809</v>
      </c>
      <c r="J1332">
        <v>2</v>
      </c>
      <c r="K1332" t="s">
        <v>26</v>
      </c>
    </row>
    <row r="1333" spans="1:11">
      <c r="A1333" s="1">
        <v>45869</v>
      </c>
      <c r="B1333" t="s">
        <v>40</v>
      </c>
      <c r="C1333" t="s">
        <v>44</v>
      </c>
      <c r="D1333">
        <v>317</v>
      </c>
      <c r="E1333">
        <v>30</v>
      </c>
      <c r="F1333">
        <v>2</v>
      </c>
      <c r="G1333">
        <v>0</v>
      </c>
      <c r="H1333">
        <v>349</v>
      </c>
      <c r="I1333" s="1">
        <v>45839</v>
      </c>
      <c r="J1333">
        <v>2</v>
      </c>
      <c r="K1333" t="s">
        <v>26</v>
      </c>
    </row>
    <row r="1334" spans="1:11">
      <c r="A1334" s="1">
        <v>45869</v>
      </c>
      <c r="B1334" t="s">
        <v>21</v>
      </c>
      <c r="C1334" t="s">
        <v>57</v>
      </c>
      <c r="D1334">
        <v>31</v>
      </c>
      <c r="E1334">
        <v>16</v>
      </c>
      <c r="F1334">
        <v>2</v>
      </c>
      <c r="G1334">
        <v>0</v>
      </c>
      <c r="H1334">
        <v>49</v>
      </c>
      <c r="I1334" s="1">
        <v>45839</v>
      </c>
      <c r="J1334">
        <v>2</v>
      </c>
      <c r="K1334" t="s">
        <v>26</v>
      </c>
    </row>
    <row r="1335" spans="1:11">
      <c r="A1335" s="1">
        <v>45897</v>
      </c>
      <c r="B1335" t="s">
        <v>40</v>
      </c>
      <c r="C1335" t="s">
        <v>33</v>
      </c>
      <c r="D1335">
        <v>122</v>
      </c>
      <c r="E1335">
        <v>25</v>
      </c>
      <c r="F1335">
        <v>2</v>
      </c>
      <c r="G1335">
        <v>0</v>
      </c>
      <c r="H1335">
        <v>148</v>
      </c>
      <c r="I1335" s="1">
        <v>45870</v>
      </c>
      <c r="J1335">
        <v>2</v>
      </c>
      <c r="K1335" t="s">
        <v>26</v>
      </c>
    </row>
    <row r="1336" spans="1:11">
      <c r="A1336" s="1">
        <v>45897</v>
      </c>
      <c r="B1336" t="s">
        <v>21</v>
      </c>
      <c r="C1336" t="s">
        <v>57</v>
      </c>
      <c r="D1336">
        <v>26</v>
      </c>
      <c r="E1336">
        <v>8</v>
      </c>
      <c r="F1336">
        <v>2</v>
      </c>
      <c r="G1336">
        <v>0</v>
      </c>
      <c r="H1336">
        <v>36</v>
      </c>
      <c r="I1336" s="1">
        <v>45870</v>
      </c>
      <c r="J1336">
        <v>2</v>
      </c>
      <c r="K1336" t="s">
        <v>26</v>
      </c>
    </row>
    <row r="1337" spans="1:11">
      <c r="A1337" s="1">
        <v>45925</v>
      </c>
      <c r="B1337" t="s">
        <v>40</v>
      </c>
      <c r="C1337" t="s">
        <v>39</v>
      </c>
      <c r="D1337">
        <v>197</v>
      </c>
      <c r="E1337">
        <v>62</v>
      </c>
      <c r="F1337">
        <v>2</v>
      </c>
      <c r="G1337">
        <v>0</v>
      </c>
      <c r="H1337">
        <v>261</v>
      </c>
      <c r="I1337" s="1">
        <v>45901</v>
      </c>
      <c r="J1337">
        <v>2</v>
      </c>
      <c r="K1337" t="s">
        <v>26</v>
      </c>
    </row>
    <row r="1338" spans="1:11">
      <c r="A1338" s="1">
        <v>45960</v>
      </c>
      <c r="B1338" t="s">
        <v>40</v>
      </c>
      <c r="C1338" t="s">
        <v>41</v>
      </c>
      <c r="D1338">
        <v>414</v>
      </c>
      <c r="E1338">
        <v>36</v>
      </c>
      <c r="F1338">
        <v>2</v>
      </c>
      <c r="G1338">
        <v>0</v>
      </c>
      <c r="H1338">
        <v>452</v>
      </c>
      <c r="I1338" s="1">
        <v>45931</v>
      </c>
      <c r="J1338">
        <v>2</v>
      </c>
      <c r="K1338" t="s">
        <v>26</v>
      </c>
    </row>
    <row r="1339" spans="1:11">
      <c r="A1339" s="1">
        <v>45960</v>
      </c>
      <c r="B1339" t="s">
        <v>40</v>
      </c>
      <c r="C1339" t="s">
        <v>33</v>
      </c>
      <c r="D1339">
        <v>82</v>
      </c>
      <c r="E1339">
        <v>20</v>
      </c>
      <c r="F1339">
        <v>2</v>
      </c>
      <c r="G1339">
        <v>0</v>
      </c>
      <c r="H1339">
        <v>103</v>
      </c>
      <c r="I1339" s="1">
        <v>45931</v>
      </c>
      <c r="J1339">
        <v>2</v>
      </c>
      <c r="K1339" t="s">
        <v>26</v>
      </c>
    </row>
    <row r="1340" spans="1:11">
      <c r="A1340" s="1">
        <v>45960</v>
      </c>
      <c r="B1340" t="s">
        <v>40</v>
      </c>
      <c r="C1340" t="s">
        <v>27</v>
      </c>
      <c r="D1340">
        <v>668</v>
      </c>
      <c r="E1340">
        <v>233</v>
      </c>
      <c r="F1340">
        <v>2</v>
      </c>
      <c r="G1340">
        <v>0</v>
      </c>
      <c r="H1340">
        <v>903</v>
      </c>
      <c r="I1340" s="1">
        <v>45931</v>
      </c>
      <c r="J1340">
        <v>2</v>
      </c>
      <c r="K1340" t="s">
        <v>26</v>
      </c>
    </row>
    <row r="1341" spans="1:11">
      <c r="A1341" s="1">
        <v>45960</v>
      </c>
      <c r="B1341" t="s">
        <v>21</v>
      </c>
      <c r="C1341" t="s">
        <v>54</v>
      </c>
      <c r="D1341">
        <v>37</v>
      </c>
      <c r="E1341">
        <v>4</v>
      </c>
      <c r="F1341">
        <v>2</v>
      </c>
      <c r="G1341">
        <v>0</v>
      </c>
      <c r="H1341">
        <v>43</v>
      </c>
      <c r="I1341" s="1">
        <v>45931</v>
      </c>
      <c r="J1341">
        <v>2</v>
      </c>
      <c r="K1341" t="s">
        <v>26</v>
      </c>
    </row>
    <row r="1342" spans="1:11">
      <c r="A1342" s="1">
        <v>46009</v>
      </c>
      <c r="B1342" t="s">
        <v>21</v>
      </c>
      <c r="C1342" t="s">
        <v>57</v>
      </c>
      <c r="D1342">
        <v>39</v>
      </c>
      <c r="E1342">
        <v>5</v>
      </c>
      <c r="F1342">
        <v>2</v>
      </c>
      <c r="G1342">
        <v>0</v>
      </c>
      <c r="H1342">
        <v>45</v>
      </c>
      <c r="I1342" s="1">
        <v>45992</v>
      </c>
      <c r="J1342">
        <v>2</v>
      </c>
      <c r="K1342" t="s">
        <v>26</v>
      </c>
    </row>
    <row r="1343" spans="1:11">
      <c r="A1343" s="1">
        <v>46009</v>
      </c>
      <c r="B1343" t="s">
        <v>21</v>
      </c>
      <c r="C1343" t="s">
        <v>44</v>
      </c>
      <c r="D1343">
        <v>8</v>
      </c>
      <c r="E1343">
        <v>2</v>
      </c>
      <c r="F1343">
        <v>2</v>
      </c>
      <c r="G1343">
        <v>0</v>
      </c>
      <c r="H1343">
        <v>11</v>
      </c>
      <c r="I1343" s="1">
        <v>45992</v>
      </c>
      <c r="J1343">
        <v>2</v>
      </c>
      <c r="K1343" t="s">
        <v>26</v>
      </c>
    </row>
    <row r="1344" spans="1:11">
      <c r="A1344" s="1">
        <v>46051</v>
      </c>
      <c r="B1344" t="s">
        <v>40</v>
      </c>
      <c r="C1344" t="s">
        <v>28</v>
      </c>
      <c r="D1344">
        <v>263</v>
      </c>
      <c r="E1344">
        <v>109</v>
      </c>
      <c r="F1344">
        <v>2</v>
      </c>
      <c r="G1344">
        <v>0</v>
      </c>
      <c r="H1344">
        <v>374</v>
      </c>
      <c r="I1344" s="1">
        <v>46023</v>
      </c>
      <c r="J1344">
        <v>2</v>
      </c>
      <c r="K1344" t="s">
        <v>26</v>
      </c>
    </row>
    <row r="1345" spans="1:11">
      <c r="A1345" s="1">
        <v>46079</v>
      </c>
      <c r="B1345" t="s">
        <v>40</v>
      </c>
      <c r="C1345" t="s">
        <v>42</v>
      </c>
      <c r="D1345">
        <v>532</v>
      </c>
      <c r="E1345">
        <v>68</v>
      </c>
      <c r="F1345">
        <v>2</v>
      </c>
      <c r="G1345">
        <v>0</v>
      </c>
      <c r="H1345">
        <v>603</v>
      </c>
      <c r="I1345" s="1">
        <v>46054</v>
      </c>
      <c r="J1345">
        <v>2</v>
      </c>
      <c r="K1345" t="s">
        <v>26</v>
      </c>
    </row>
    <row r="1346" spans="1:11">
      <c r="A1346" s="1">
        <v>46079</v>
      </c>
      <c r="B1346" t="s">
        <v>21</v>
      </c>
      <c r="C1346" t="s">
        <v>44</v>
      </c>
      <c r="D1346">
        <v>7</v>
      </c>
      <c r="E1346">
        <v>3</v>
      </c>
      <c r="F1346">
        <v>2</v>
      </c>
      <c r="G1346">
        <v>0</v>
      </c>
      <c r="H1346">
        <v>12</v>
      </c>
      <c r="I1346" s="1">
        <v>46054</v>
      </c>
      <c r="J1346">
        <v>2</v>
      </c>
      <c r="K1346" t="s">
        <v>26</v>
      </c>
    </row>
    <row r="1347" spans="1:11">
      <c r="A1347" s="1">
        <v>46107</v>
      </c>
      <c r="B1347" t="s">
        <v>40</v>
      </c>
      <c r="C1347" t="s">
        <v>42</v>
      </c>
      <c r="D1347">
        <v>639</v>
      </c>
      <c r="E1347">
        <v>86</v>
      </c>
      <c r="F1347">
        <v>2</v>
      </c>
      <c r="G1347">
        <v>0</v>
      </c>
      <c r="H1347">
        <v>726</v>
      </c>
      <c r="I1347" s="1">
        <v>46082</v>
      </c>
      <c r="J1347">
        <v>2</v>
      </c>
      <c r="K1347" t="s">
        <v>26</v>
      </c>
    </row>
    <row r="1348" spans="1:11">
      <c r="A1348" s="1">
        <v>46107</v>
      </c>
      <c r="B1348" t="s">
        <v>40</v>
      </c>
      <c r="C1348" t="s">
        <v>28</v>
      </c>
      <c r="D1348">
        <v>244</v>
      </c>
      <c r="E1348">
        <v>144</v>
      </c>
      <c r="F1348">
        <v>2</v>
      </c>
      <c r="G1348">
        <v>0</v>
      </c>
      <c r="H1348">
        <v>390</v>
      </c>
      <c r="I1348" s="1">
        <v>46082</v>
      </c>
      <c r="J1348">
        <v>2</v>
      </c>
      <c r="K1348" t="s">
        <v>26</v>
      </c>
    </row>
    <row r="1349" spans="1:11">
      <c r="A1349" s="1">
        <v>46107</v>
      </c>
      <c r="B1349" t="s">
        <v>21</v>
      </c>
      <c r="C1349" t="s">
        <v>57</v>
      </c>
      <c r="D1349">
        <v>46</v>
      </c>
      <c r="E1349">
        <v>11</v>
      </c>
      <c r="F1349">
        <v>2</v>
      </c>
      <c r="G1349">
        <v>0</v>
      </c>
      <c r="H1349">
        <v>59</v>
      </c>
      <c r="I1349" s="1">
        <v>46082</v>
      </c>
      <c r="J1349">
        <v>2</v>
      </c>
      <c r="K1349" t="s">
        <v>26</v>
      </c>
    </row>
    <row r="1350" spans="1:11">
      <c r="A1350" s="1">
        <v>46142</v>
      </c>
      <c r="B1350" t="s">
        <v>40</v>
      </c>
      <c r="C1350" t="s">
        <v>42</v>
      </c>
      <c r="D1350">
        <v>618</v>
      </c>
      <c r="E1350">
        <v>91</v>
      </c>
      <c r="F1350">
        <v>2</v>
      </c>
      <c r="G1350">
        <v>0</v>
      </c>
      <c r="H1350">
        <v>710</v>
      </c>
      <c r="I1350" s="1">
        <v>46113</v>
      </c>
      <c r="J1350">
        <v>2</v>
      </c>
      <c r="K1350" t="s">
        <v>26</v>
      </c>
    </row>
    <row r="1351" spans="1:11">
      <c r="A1351" s="1">
        <v>46142</v>
      </c>
      <c r="B1351" t="s">
        <v>40</v>
      </c>
      <c r="C1351" t="s">
        <v>28</v>
      </c>
      <c r="D1351">
        <v>191</v>
      </c>
      <c r="E1351">
        <v>112</v>
      </c>
      <c r="F1351">
        <v>2</v>
      </c>
      <c r="G1351">
        <v>0</v>
      </c>
      <c r="H1351">
        <v>305</v>
      </c>
      <c r="I1351" s="1">
        <v>46113</v>
      </c>
      <c r="J1351">
        <v>2</v>
      </c>
      <c r="K1351" t="s">
        <v>26</v>
      </c>
    </row>
    <row r="1352" spans="1:11">
      <c r="A1352" s="1">
        <v>46142</v>
      </c>
      <c r="B1352" t="s">
        <v>40</v>
      </c>
      <c r="C1352" t="s">
        <v>22</v>
      </c>
      <c r="D1352">
        <v>533</v>
      </c>
      <c r="E1352">
        <v>82</v>
      </c>
      <c r="F1352">
        <v>2</v>
      </c>
      <c r="G1352">
        <v>0</v>
      </c>
      <c r="H1352">
        <v>617</v>
      </c>
      <c r="I1352" s="1">
        <v>46113</v>
      </c>
      <c r="J1352">
        <v>2</v>
      </c>
      <c r="K1352" t="s">
        <v>26</v>
      </c>
    </row>
    <row r="1353" spans="1:11">
      <c r="A1353" s="1">
        <v>46142</v>
      </c>
      <c r="B1353" t="s">
        <v>21</v>
      </c>
      <c r="C1353" t="s">
        <v>43</v>
      </c>
      <c r="D1353">
        <v>171</v>
      </c>
      <c r="E1353">
        <v>13</v>
      </c>
      <c r="F1353">
        <v>2</v>
      </c>
      <c r="G1353">
        <v>0</v>
      </c>
      <c r="H1353">
        <v>186</v>
      </c>
      <c r="I1353" s="1">
        <v>46113</v>
      </c>
      <c r="J1353">
        <v>2</v>
      </c>
      <c r="K1353" t="s">
        <v>26</v>
      </c>
    </row>
    <row r="1354" spans="1:11">
      <c r="A1354" s="1">
        <v>46170</v>
      </c>
      <c r="B1354" t="s">
        <v>40</v>
      </c>
      <c r="C1354" t="s">
        <v>34</v>
      </c>
      <c r="D1354">
        <v>436</v>
      </c>
      <c r="E1354">
        <v>12</v>
      </c>
      <c r="F1354">
        <v>2</v>
      </c>
      <c r="G1354">
        <v>0</v>
      </c>
      <c r="H1354">
        <v>450</v>
      </c>
      <c r="I1354" s="1">
        <v>46143</v>
      </c>
      <c r="J1354">
        <v>2</v>
      </c>
      <c r="K1354" t="s">
        <v>26</v>
      </c>
    </row>
    <row r="1355" spans="1:11">
      <c r="A1355" s="1">
        <v>46170</v>
      </c>
      <c r="B1355" t="s">
        <v>21</v>
      </c>
      <c r="C1355" t="s">
        <v>43</v>
      </c>
      <c r="D1355">
        <v>188</v>
      </c>
      <c r="E1355">
        <v>19</v>
      </c>
      <c r="F1355">
        <v>2</v>
      </c>
      <c r="G1355">
        <v>0</v>
      </c>
      <c r="H1355">
        <v>208</v>
      </c>
      <c r="I1355" s="1">
        <v>46143</v>
      </c>
      <c r="J1355">
        <v>2</v>
      </c>
      <c r="K1355" t="s">
        <v>26</v>
      </c>
    </row>
    <row r="1356" spans="1:11">
      <c r="A1356" s="1">
        <v>46233</v>
      </c>
      <c r="B1356" t="s">
        <v>40</v>
      </c>
      <c r="C1356" t="s">
        <v>42</v>
      </c>
      <c r="D1356">
        <v>533</v>
      </c>
      <c r="E1356">
        <v>44</v>
      </c>
      <c r="F1356">
        <v>2</v>
      </c>
      <c r="G1356">
        <v>0</v>
      </c>
      <c r="H1356">
        <v>579</v>
      </c>
      <c r="I1356" s="1">
        <v>46204</v>
      </c>
      <c r="J1356">
        <v>2</v>
      </c>
      <c r="K1356" t="s">
        <v>26</v>
      </c>
    </row>
    <row r="1357" spans="1:11">
      <c r="A1357" s="1">
        <v>46261</v>
      </c>
      <c r="B1357" t="s">
        <v>40</v>
      </c>
      <c r="C1357" t="s">
        <v>28</v>
      </c>
      <c r="D1357">
        <v>214</v>
      </c>
      <c r="E1357">
        <v>76</v>
      </c>
      <c r="F1357">
        <v>2</v>
      </c>
      <c r="G1357">
        <v>0</v>
      </c>
      <c r="H1357">
        <v>292</v>
      </c>
      <c r="I1357" s="1">
        <v>46235</v>
      </c>
      <c r="J1357">
        <v>2</v>
      </c>
      <c r="K1357" t="s">
        <v>26</v>
      </c>
    </row>
    <row r="1358" spans="1:11">
      <c r="A1358" s="1">
        <v>46261</v>
      </c>
      <c r="B1358" t="s">
        <v>40</v>
      </c>
      <c r="C1358" t="s">
        <v>22</v>
      </c>
      <c r="D1358">
        <v>547</v>
      </c>
      <c r="E1358">
        <v>20</v>
      </c>
      <c r="F1358">
        <v>2</v>
      </c>
      <c r="G1358">
        <v>0</v>
      </c>
      <c r="H1358">
        <v>569</v>
      </c>
      <c r="I1358" s="1">
        <v>46235</v>
      </c>
      <c r="J1358">
        <v>2</v>
      </c>
      <c r="K1358" t="s">
        <v>26</v>
      </c>
    </row>
    <row r="1359" spans="1:11">
      <c r="A1359" s="1">
        <v>44952</v>
      </c>
      <c r="B1359" t="s">
        <v>21</v>
      </c>
      <c r="C1359" t="s">
        <v>36</v>
      </c>
      <c r="D1359">
        <v>12</v>
      </c>
      <c r="E1359">
        <v>6</v>
      </c>
      <c r="F1359">
        <v>4</v>
      </c>
      <c r="G1359">
        <v>0</v>
      </c>
      <c r="H1359">
        <v>22</v>
      </c>
      <c r="I1359" s="1">
        <v>44927</v>
      </c>
      <c r="J1359">
        <v>4</v>
      </c>
      <c r="K1359" t="s">
        <v>23</v>
      </c>
    </row>
    <row r="1360" spans="1:11">
      <c r="A1360" s="1">
        <v>44980</v>
      </c>
      <c r="B1360" t="s">
        <v>21</v>
      </c>
      <c r="C1360" t="s">
        <v>36</v>
      </c>
      <c r="D1360">
        <v>20</v>
      </c>
      <c r="E1360">
        <v>6</v>
      </c>
      <c r="F1360">
        <v>4</v>
      </c>
      <c r="G1360">
        <v>0</v>
      </c>
      <c r="H1360">
        <v>29</v>
      </c>
      <c r="I1360" s="1">
        <v>44958</v>
      </c>
      <c r="J1360">
        <v>4</v>
      </c>
      <c r="K1360" t="s">
        <v>23</v>
      </c>
    </row>
    <row r="1361" spans="1:11">
      <c r="A1361" s="1">
        <v>45071</v>
      </c>
      <c r="B1361" t="s">
        <v>21</v>
      </c>
      <c r="C1361" t="s">
        <v>32</v>
      </c>
      <c r="D1361">
        <v>382</v>
      </c>
      <c r="E1361">
        <v>102</v>
      </c>
      <c r="F1361">
        <v>4</v>
      </c>
      <c r="G1361">
        <v>0</v>
      </c>
      <c r="H1361">
        <v>488</v>
      </c>
      <c r="I1361" s="1">
        <v>45047</v>
      </c>
      <c r="J1361">
        <v>4</v>
      </c>
      <c r="K1361" t="s">
        <v>23</v>
      </c>
    </row>
    <row r="1362" spans="1:11">
      <c r="A1362" s="1">
        <v>45197</v>
      </c>
      <c r="B1362" t="s">
        <v>40</v>
      </c>
      <c r="C1362" t="s">
        <v>42</v>
      </c>
      <c r="D1362">
        <v>1669</v>
      </c>
      <c r="E1362">
        <v>583</v>
      </c>
      <c r="F1362">
        <v>4</v>
      </c>
      <c r="G1362">
        <v>0</v>
      </c>
      <c r="H1362">
        <v>2256</v>
      </c>
      <c r="I1362" s="1">
        <v>45170</v>
      </c>
      <c r="J1362">
        <v>4</v>
      </c>
      <c r="K1362" t="s">
        <v>23</v>
      </c>
    </row>
    <row r="1363" spans="1:11">
      <c r="A1363" s="1">
        <v>45197</v>
      </c>
      <c r="B1363" t="s">
        <v>40</v>
      </c>
      <c r="C1363" t="s">
        <v>38</v>
      </c>
      <c r="D1363">
        <v>2426</v>
      </c>
      <c r="E1363">
        <v>391</v>
      </c>
      <c r="F1363">
        <v>4</v>
      </c>
      <c r="G1363">
        <v>0</v>
      </c>
      <c r="H1363">
        <v>2821</v>
      </c>
      <c r="I1363" s="1">
        <v>45170</v>
      </c>
      <c r="J1363">
        <v>4</v>
      </c>
      <c r="K1363" t="s">
        <v>23</v>
      </c>
    </row>
    <row r="1364" spans="1:11">
      <c r="A1364" s="1">
        <v>45225</v>
      </c>
      <c r="B1364" t="s">
        <v>40</v>
      </c>
      <c r="C1364" t="s">
        <v>42</v>
      </c>
      <c r="D1364">
        <v>1571</v>
      </c>
      <c r="E1364">
        <v>516</v>
      </c>
      <c r="F1364">
        <v>4</v>
      </c>
      <c r="G1364">
        <v>0</v>
      </c>
      <c r="H1364">
        <v>2091</v>
      </c>
      <c r="I1364" s="1">
        <v>45200</v>
      </c>
      <c r="J1364">
        <v>4</v>
      </c>
      <c r="K1364" t="s">
        <v>23</v>
      </c>
    </row>
    <row r="1365" spans="1:11">
      <c r="A1365" s="1">
        <v>45260</v>
      </c>
      <c r="B1365" t="s">
        <v>40</v>
      </c>
      <c r="C1365" t="s">
        <v>42</v>
      </c>
      <c r="D1365">
        <v>1568</v>
      </c>
      <c r="E1365">
        <v>377</v>
      </c>
      <c r="F1365">
        <v>4</v>
      </c>
      <c r="G1365">
        <v>0</v>
      </c>
      <c r="H1365">
        <v>1950</v>
      </c>
      <c r="I1365" s="1">
        <v>45231</v>
      </c>
      <c r="J1365">
        <v>4</v>
      </c>
      <c r="K1365" t="s">
        <v>23</v>
      </c>
    </row>
    <row r="1366" spans="1:11">
      <c r="A1366" s="1">
        <v>45260</v>
      </c>
      <c r="B1366" t="s">
        <v>21</v>
      </c>
      <c r="C1366" t="s">
        <v>53</v>
      </c>
      <c r="D1366">
        <v>20</v>
      </c>
      <c r="E1366">
        <v>7</v>
      </c>
      <c r="F1366">
        <v>4</v>
      </c>
      <c r="G1366">
        <v>0</v>
      </c>
      <c r="H1366">
        <v>30</v>
      </c>
      <c r="I1366" s="1">
        <v>45231</v>
      </c>
      <c r="J1366">
        <v>4</v>
      </c>
      <c r="K1366" t="s">
        <v>23</v>
      </c>
    </row>
    <row r="1367" spans="1:11">
      <c r="A1367" s="1">
        <v>45288</v>
      </c>
      <c r="B1367" t="s">
        <v>40</v>
      </c>
      <c r="C1367" t="s">
        <v>30</v>
      </c>
      <c r="D1367">
        <v>2151</v>
      </c>
      <c r="E1367">
        <v>28</v>
      </c>
      <c r="F1367">
        <v>4</v>
      </c>
      <c r="G1367">
        <v>0</v>
      </c>
      <c r="H1367">
        <v>2183</v>
      </c>
      <c r="I1367" s="1">
        <v>45261</v>
      </c>
      <c r="J1367">
        <v>4</v>
      </c>
      <c r="K1367" t="s">
        <v>23</v>
      </c>
    </row>
    <row r="1368" spans="1:11">
      <c r="A1368" s="1">
        <v>45288</v>
      </c>
      <c r="B1368" t="s">
        <v>21</v>
      </c>
      <c r="C1368" t="s">
        <v>27</v>
      </c>
      <c r="D1368">
        <v>171</v>
      </c>
      <c r="E1368">
        <v>8</v>
      </c>
      <c r="F1368">
        <v>4</v>
      </c>
      <c r="G1368">
        <v>0</v>
      </c>
      <c r="H1368">
        <v>182</v>
      </c>
      <c r="I1368" s="1">
        <v>45261</v>
      </c>
      <c r="J1368">
        <v>4</v>
      </c>
      <c r="K1368" t="s">
        <v>23</v>
      </c>
    </row>
    <row r="1369" spans="1:11">
      <c r="A1369" s="1">
        <v>45316</v>
      </c>
      <c r="B1369" t="s">
        <v>21</v>
      </c>
      <c r="C1369" t="s">
        <v>27</v>
      </c>
      <c r="D1369">
        <v>192</v>
      </c>
      <c r="E1369">
        <v>8</v>
      </c>
      <c r="F1369">
        <v>4</v>
      </c>
      <c r="G1369">
        <v>0</v>
      </c>
      <c r="H1369">
        <v>204</v>
      </c>
      <c r="I1369" s="1">
        <v>45292</v>
      </c>
      <c r="J1369">
        <v>4</v>
      </c>
      <c r="K1369" t="s">
        <v>23</v>
      </c>
    </row>
    <row r="1370" spans="1:11">
      <c r="A1370" s="1">
        <v>45316</v>
      </c>
      <c r="B1370" t="s">
        <v>21</v>
      </c>
      <c r="C1370" t="s">
        <v>25</v>
      </c>
      <c r="D1370">
        <v>214</v>
      </c>
      <c r="E1370">
        <v>67</v>
      </c>
      <c r="F1370">
        <v>4</v>
      </c>
      <c r="G1370">
        <v>0</v>
      </c>
      <c r="H1370">
        <v>285</v>
      </c>
      <c r="I1370" s="1">
        <v>45292</v>
      </c>
      <c r="J1370">
        <v>4</v>
      </c>
      <c r="K1370" t="s">
        <v>23</v>
      </c>
    </row>
    <row r="1371" spans="1:11">
      <c r="A1371" s="1">
        <v>45351</v>
      </c>
      <c r="B1371" t="s">
        <v>40</v>
      </c>
      <c r="C1371" t="s">
        <v>42</v>
      </c>
      <c r="D1371">
        <v>1580</v>
      </c>
      <c r="E1371">
        <v>384</v>
      </c>
      <c r="F1371">
        <v>4</v>
      </c>
      <c r="G1371">
        <v>0</v>
      </c>
      <c r="H1371">
        <v>1968</v>
      </c>
      <c r="I1371" s="1">
        <v>45323</v>
      </c>
      <c r="J1371">
        <v>4</v>
      </c>
      <c r="K1371" t="s">
        <v>23</v>
      </c>
    </row>
    <row r="1372" spans="1:11">
      <c r="A1372" s="1">
        <v>45379</v>
      </c>
      <c r="B1372" t="s">
        <v>40</v>
      </c>
      <c r="C1372" t="s">
        <v>30</v>
      </c>
      <c r="D1372">
        <v>2164</v>
      </c>
      <c r="E1372">
        <v>30</v>
      </c>
      <c r="F1372">
        <v>4</v>
      </c>
      <c r="G1372">
        <v>0</v>
      </c>
      <c r="H1372">
        <v>2198</v>
      </c>
      <c r="I1372" s="1">
        <v>45352</v>
      </c>
      <c r="J1372">
        <v>4</v>
      </c>
      <c r="K1372" t="s">
        <v>23</v>
      </c>
    </row>
    <row r="1373" spans="1:11">
      <c r="A1373" s="1">
        <v>45407</v>
      </c>
      <c r="B1373" t="s">
        <v>21</v>
      </c>
      <c r="C1373" t="s">
        <v>25</v>
      </c>
      <c r="D1373">
        <v>173</v>
      </c>
      <c r="E1373">
        <v>73</v>
      </c>
      <c r="F1373">
        <v>4</v>
      </c>
      <c r="G1373">
        <v>0</v>
      </c>
      <c r="H1373">
        <v>249</v>
      </c>
      <c r="I1373" s="1">
        <v>45383</v>
      </c>
      <c r="J1373">
        <v>4</v>
      </c>
      <c r="K1373" t="s">
        <v>23</v>
      </c>
    </row>
    <row r="1374" spans="1:11">
      <c r="A1374" s="1">
        <v>45533</v>
      </c>
      <c r="B1374" t="s">
        <v>40</v>
      </c>
      <c r="C1374" t="s">
        <v>42</v>
      </c>
      <c r="D1374">
        <v>1453</v>
      </c>
      <c r="E1374">
        <v>361</v>
      </c>
      <c r="F1374">
        <v>4</v>
      </c>
      <c r="G1374">
        <v>0</v>
      </c>
      <c r="H1374">
        <v>1817</v>
      </c>
      <c r="I1374" s="1">
        <v>45505</v>
      </c>
      <c r="J1374">
        <v>4</v>
      </c>
      <c r="K1374" t="s">
        <v>23</v>
      </c>
    </row>
    <row r="1375" spans="1:11">
      <c r="A1375" s="1">
        <v>45533</v>
      </c>
      <c r="B1375" t="s">
        <v>21</v>
      </c>
      <c r="C1375" t="s">
        <v>33</v>
      </c>
      <c r="D1375">
        <v>32</v>
      </c>
      <c r="E1375">
        <v>14</v>
      </c>
      <c r="F1375">
        <v>4</v>
      </c>
      <c r="G1375">
        <v>0</v>
      </c>
      <c r="H1375">
        <v>50</v>
      </c>
      <c r="I1375" s="1">
        <v>45505</v>
      </c>
      <c r="J1375">
        <v>4</v>
      </c>
      <c r="K1375" t="s">
        <v>23</v>
      </c>
    </row>
    <row r="1376" spans="1:11">
      <c r="A1376" s="1">
        <v>45561</v>
      </c>
      <c r="B1376" t="s">
        <v>21</v>
      </c>
      <c r="C1376" t="s">
        <v>33</v>
      </c>
      <c r="D1376">
        <v>32</v>
      </c>
      <c r="E1376">
        <v>14</v>
      </c>
      <c r="F1376">
        <v>4</v>
      </c>
      <c r="G1376">
        <v>0</v>
      </c>
      <c r="H1376">
        <v>50</v>
      </c>
      <c r="I1376" s="1">
        <v>45536</v>
      </c>
      <c r="J1376">
        <v>4</v>
      </c>
      <c r="K1376" t="s">
        <v>23</v>
      </c>
    </row>
    <row r="1377" spans="1:11">
      <c r="A1377" s="1">
        <v>45596</v>
      </c>
      <c r="B1377" t="s">
        <v>40</v>
      </c>
      <c r="C1377" t="s">
        <v>30</v>
      </c>
      <c r="D1377">
        <v>2302</v>
      </c>
      <c r="E1377">
        <v>119</v>
      </c>
      <c r="F1377">
        <v>4</v>
      </c>
      <c r="G1377">
        <v>0</v>
      </c>
      <c r="H1377">
        <v>2425</v>
      </c>
      <c r="I1377" s="1">
        <v>45566</v>
      </c>
      <c r="J1377">
        <v>4</v>
      </c>
      <c r="K1377" t="s">
        <v>23</v>
      </c>
    </row>
    <row r="1378" spans="1:11">
      <c r="A1378" s="1">
        <v>45624</v>
      </c>
      <c r="B1378" t="s">
        <v>40</v>
      </c>
      <c r="C1378" t="s">
        <v>34</v>
      </c>
      <c r="D1378">
        <v>3878</v>
      </c>
      <c r="E1378">
        <v>656</v>
      </c>
      <c r="F1378">
        <v>4</v>
      </c>
      <c r="G1378">
        <v>0</v>
      </c>
      <c r="H1378">
        <v>4538</v>
      </c>
      <c r="I1378" s="1">
        <v>45597</v>
      </c>
      <c r="J1378">
        <v>4</v>
      </c>
      <c r="K1378" t="s">
        <v>23</v>
      </c>
    </row>
    <row r="1379" spans="1:11">
      <c r="A1379" s="1">
        <v>45624</v>
      </c>
      <c r="B1379" t="s">
        <v>21</v>
      </c>
      <c r="C1379" t="s">
        <v>33</v>
      </c>
      <c r="D1379">
        <v>28</v>
      </c>
      <c r="E1379">
        <v>8</v>
      </c>
      <c r="F1379">
        <v>4</v>
      </c>
      <c r="G1379">
        <v>0</v>
      </c>
      <c r="H1379">
        <v>39</v>
      </c>
      <c r="I1379" s="1">
        <v>45597</v>
      </c>
      <c r="J1379">
        <v>4</v>
      </c>
      <c r="K1379" t="s">
        <v>23</v>
      </c>
    </row>
    <row r="1380" spans="1:11">
      <c r="A1380" s="1">
        <v>45869</v>
      </c>
      <c r="B1380" t="s">
        <v>21</v>
      </c>
      <c r="C1380" t="s">
        <v>48</v>
      </c>
      <c r="D1380">
        <v>35</v>
      </c>
      <c r="E1380">
        <v>10</v>
      </c>
      <c r="F1380">
        <v>4</v>
      </c>
      <c r="G1380">
        <v>0</v>
      </c>
      <c r="H1380">
        <v>50</v>
      </c>
      <c r="I1380" s="1">
        <v>45839</v>
      </c>
      <c r="J1380">
        <v>4</v>
      </c>
      <c r="K1380" t="s">
        <v>23</v>
      </c>
    </row>
    <row r="1381" spans="1:11">
      <c r="A1381" s="1">
        <v>45869</v>
      </c>
      <c r="B1381" t="s">
        <v>21</v>
      </c>
      <c r="C1381" t="s">
        <v>49</v>
      </c>
      <c r="D1381">
        <v>732</v>
      </c>
      <c r="E1381">
        <v>290</v>
      </c>
      <c r="F1381">
        <v>4</v>
      </c>
      <c r="G1381">
        <v>0</v>
      </c>
      <c r="H1381">
        <v>1026</v>
      </c>
      <c r="I1381" s="1">
        <v>45839</v>
      </c>
      <c r="J1381">
        <v>4</v>
      </c>
      <c r="K1381" t="s">
        <v>23</v>
      </c>
    </row>
    <row r="1382" spans="1:11">
      <c r="A1382" s="1">
        <v>46107</v>
      </c>
      <c r="B1382" t="s">
        <v>21</v>
      </c>
      <c r="C1382" t="s">
        <v>41</v>
      </c>
      <c r="D1382">
        <v>553</v>
      </c>
      <c r="E1382">
        <v>92</v>
      </c>
      <c r="F1382">
        <v>4</v>
      </c>
      <c r="G1382">
        <v>0</v>
      </c>
      <c r="H1382">
        <v>649</v>
      </c>
      <c r="I1382" s="1">
        <v>46082</v>
      </c>
      <c r="J1382">
        <v>4</v>
      </c>
      <c r="K1382" t="s">
        <v>23</v>
      </c>
    </row>
    <row r="1383" spans="1:11">
      <c r="A1383" s="1">
        <v>46107</v>
      </c>
      <c r="B1383" t="s">
        <v>21</v>
      </c>
      <c r="C1383" t="s">
        <v>32</v>
      </c>
      <c r="D1383">
        <v>399</v>
      </c>
      <c r="E1383">
        <v>100</v>
      </c>
      <c r="F1383">
        <v>4</v>
      </c>
      <c r="G1383">
        <v>0</v>
      </c>
      <c r="H1383">
        <v>502</v>
      </c>
      <c r="I1383" s="1">
        <v>46082</v>
      </c>
      <c r="J1383">
        <v>4</v>
      </c>
      <c r="K1383" t="s">
        <v>23</v>
      </c>
    </row>
    <row r="1384" spans="1:11">
      <c r="A1384" s="1">
        <v>44952</v>
      </c>
      <c r="B1384" t="s">
        <v>40</v>
      </c>
      <c r="C1384" t="s">
        <v>56</v>
      </c>
      <c r="D1384">
        <v>483</v>
      </c>
      <c r="E1384">
        <v>49</v>
      </c>
      <c r="F1384">
        <v>4</v>
      </c>
      <c r="G1384">
        <v>0</v>
      </c>
      <c r="H1384">
        <v>536</v>
      </c>
      <c r="I1384" s="1">
        <v>44927</v>
      </c>
      <c r="J1384">
        <v>4</v>
      </c>
      <c r="K1384" t="s">
        <v>26</v>
      </c>
    </row>
    <row r="1385" spans="1:11">
      <c r="A1385" s="1">
        <v>44952</v>
      </c>
      <c r="B1385" t="s">
        <v>40</v>
      </c>
      <c r="C1385" t="s">
        <v>32</v>
      </c>
      <c r="D1385">
        <v>259</v>
      </c>
      <c r="E1385">
        <v>38</v>
      </c>
      <c r="F1385">
        <v>4</v>
      </c>
      <c r="G1385">
        <v>0</v>
      </c>
      <c r="H1385">
        <v>301</v>
      </c>
      <c r="I1385" s="1">
        <v>44927</v>
      </c>
      <c r="J1385">
        <v>4</v>
      </c>
      <c r="K1385" t="s">
        <v>26</v>
      </c>
    </row>
    <row r="1386" spans="1:11">
      <c r="A1386" s="1">
        <v>44980</v>
      </c>
      <c r="B1386" t="s">
        <v>21</v>
      </c>
      <c r="C1386" t="s">
        <v>48</v>
      </c>
      <c r="D1386">
        <v>29</v>
      </c>
      <c r="E1386">
        <v>11</v>
      </c>
      <c r="F1386">
        <v>4</v>
      </c>
      <c r="G1386">
        <v>0</v>
      </c>
      <c r="H1386">
        <v>44</v>
      </c>
      <c r="I1386" s="1">
        <v>44958</v>
      </c>
      <c r="J1386">
        <v>4</v>
      </c>
      <c r="K1386" t="s">
        <v>26</v>
      </c>
    </row>
    <row r="1387" spans="1:11">
      <c r="A1387" s="1">
        <v>45015</v>
      </c>
      <c r="B1387" t="s">
        <v>40</v>
      </c>
      <c r="C1387" t="s">
        <v>52</v>
      </c>
      <c r="D1387">
        <v>472</v>
      </c>
      <c r="E1387">
        <v>129</v>
      </c>
      <c r="F1387">
        <v>4</v>
      </c>
      <c r="G1387">
        <v>0</v>
      </c>
      <c r="H1387">
        <v>605</v>
      </c>
      <c r="I1387" s="1">
        <v>44986</v>
      </c>
      <c r="J1387">
        <v>4</v>
      </c>
      <c r="K1387" t="s">
        <v>26</v>
      </c>
    </row>
    <row r="1388" spans="1:11">
      <c r="A1388" s="1">
        <v>45015</v>
      </c>
      <c r="B1388" t="s">
        <v>21</v>
      </c>
      <c r="C1388" t="s">
        <v>48</v>
      </c>
      <c r="D1388">
        <v>17</v>
      </c>
      <c r="E1388">
        <v>4</v>
      </c>
      <c r="F1388">
        <v>4</v>
      </c>
      <c r="G1388">
        <v>0</v>
      </c>
      <c r="H1388">
        <v>25</v>
      </c>
      <c r="I1388" s="1">
        <v>44986</v>
      </c>
      <c r="J1388">
        <v>4</v>
      </c>
      <c r="K1388" t="s">
        <v>26</v>
      </c>
    </row>
    <row r="1389" spans="1:11">
      <c r="A1389" s="1">
        <v>45015</v>
      </c>
      <c r="B1389" t="s">
        <v>21</v>
      </c>
      <c r="C1389" t="s">
        <v>46</v>
      </c>
      <c r="D1389">
        <v>24</v>
      </c>
      <c r="E1389">
        <v>6</v>
      </c>
      <c r="F1389">
        <v>4</v>
      </c>
      <c r="G1389">
        <v>0</v>
      </c>
      <c r="H1389">
        <v>35</v>
      </c>
      <c r="I1389" s="1">
        <v>44986</v>
      </c>
      <c r="J1389">
        <v>4</v>
      </c>
      <c r="K1389" t="s">
        <v>26</v>
      </c>
    </row>
    <row r="1390" spans="1:11">
      <c r="A1390" s="1">
        <v>45043</v>
      </c>
      <c r="B1390" t="s">
        <v>40</v>
      </c>
      <c r="C1390" t="s">
        <v>56</v>
      </c>
      <c r="D1390">
        <v>561</v>
      </c>
      <c r="E1390">
        <v>44</v>
      </c>
      <c r="F1390">
        <v>4</v>
      </c>
      <c r="G1390">
        <v>0</v>
      </c>
      <c r="H1390">
        <v>609</v>
      </c>
      <c r="I1390" s="1">
        <v>45017</v>
      </c>
      <c r="J1390">
        <v>4</v>
      </c>
      <c r="K1390" t="s">
        <v>26</v>
      </c>
    </row>
    <row r="1391" spans="1:11">
      <c r="A1391" s="1">
        <v>45043</v>
      </c>
      <c r="B1391" t="s">
        <v>40</v>
      </c>
      <c r="C1391" t="s">
        <v>52</v>
      </c>
      <c r="D1391">
        <v>499</v>
      </c>
      <c r="E1391">
        <v>125</v>
      </c>
      <c r="F1391">
        <v>4</v>
      </c>
      <c r="G1391">
        <v>0</v>
      </c>
      <c r="H1391">
        <v>629</v>
      </c>
      <c r="I1391" s="1">
        <v>45017</v>
      </c>
      <c r="J1391">
        <v>4</v>
      </c>
      <c r="K1391" t="s">
        <v>26</v>
      </c>
    </row>
    <row r="1392" spans="1:11">
      <c r="A1392" s="1">
        <v>45043</v>
      </c>
      <c r="B1392" t="s">
        <v>40</v>
      </c>
      <c r="C1392" t="s">
        <v>24</v>
      </c>
      <c r="D1392">
        <v>631</v>
      </c>
      <c r="E1392">
        <v>126</v>
      </c>
      <c r="F1392">
        <v>4</v>
      </c>
      <c r="G1392">
        <v>0</v>
      </c>
      <c r="H1392">
        <v>761</v>
      </c>
      <c r="I1392" s="1">
        <v>45017</v>
      </c>
      <c r="J1392">
        <v>4</v>
      </c>
      <c r="K1392" t="s">
        <v>26</v>
      </c>
    </row>
    <row r="1393" spans="1:11">
      <c r="A1393" s="1">
        <v>45043</v>
      </c>
      <c r="B1393" t="s">
        <v>21</v>
      </c>
      <c r="C1393" t="s">
        <v>46</v>
      </c>
      <c r="D1393">
        <v>27</v>
      </c>
      <c r="E1393">
        <v>4</v>
      </c>
      <c r="F1393">
        <v>4</v>
      </c>
      <c r="G1393">
        <v>0</v>
      </c>
      <c r="H1393">
        <v>35</v>
      </c>
      <c r="I1393" s="1">
        <v>45017</v>
      </c>
      <c r="J1393">
        <v>4</v>
      </c>
      <c r="K1393" t="s">
        <v>26</v>
      </c>
    </row>
    <row r="1394" spans="1:11">
      <c r="A1394" s="1">
        <v>45043</v>
      </c>
      <c r="B1394" t="s">
        <v>21</v>
      </c>
      <c r="C1394" t="s">
        <v>59</v>
      </c>
      <c r="D1394">
        <v>370</v>
      </c>
      <c r="E1394">
        <v>62</v>
      </c>
      <c r="F1394">
        <v>4</v>
      </c>
      <c r="G1394">
        <v>0</v>
      </c>
      <c r="H1394">
        <v>436</v>
      </c>
      <c r="I1394" s="1">
        <v>45017</v>
      </c>
      <c r="J1394">
        <v>4</v>
      </c>
      <c r="K1394" t="s">
        <v>26</v>
      </c>
    </row>
    <row r="1395" spans="1:11">
      <c r="A1395" s="1">
        <v>45071</v>
      </c>
      <c r="B1395" t="s">
        <v>40</v>
      </c>
      <c r="C1395" t="s">
        <v>56</v>
      </c>
      <c r="D1395">
        <v>546</v>
      </c>
      <c r="E1395">
        <v>58</v>
      </c>
      <c r="F1395">
        <v>4</v>
      </c>
      <c r="G1395">
        <v>0</v>
      </c>
      <c r="H1395">
        <v>608</v>
      </c>
      <c r="I1395" s="1">
        <v>45047</v>
      </c>
      <c r="J1395">
        <v>4</v>
      </c>
      <c r="K1395" t="s">
        <v>26</v>
      </c>
    </row>
    <row r="1396" spans="1:11">
      <c r="A1396" s="1">
        <v>45071</v>
      </c>
      <c r="B1396" t="s">
        <v>40</v>
      </c>
      <c r="C1396" t="s">
        <v>28</v>
      </c>
      <c r="D1396">
        <v>222</v>
      </c>
      <c r="E1396">
        <v>43</v>
      </c>
      <c r="F1396">
        <v>4</v>
      </c>
      <c r="G1396">
        <v>0</v>
      </c>
      <c r="H1396">
        <v>268</v>
      </c>
      <c r="I1396" s="1">
        <v>45047</v>
      </c>
      <c r="J1396">
        <v>4</v>
      </c>
      <c r="K1396" t="s">
        <v>26</v>
      </c>
    </row>
    <row r="1397" spans="1:11">
      <c r="A1397" s="1">
        <v>45071</v>
      </c>
      <c r="B1397" t="s">
        <v>40</v>
      </c>
      <c r="C1397" t="s">
        <v>52</v>
      </c>
      <c r="D1397">
        <v>535</v>
      </c>
      <c r="E1397">
        <v>135</v>
      </c>
      <c r="F1397">
        <v>4</v>
      </c>
      <c r="G1397">
        <v>0</v>
      </c>
      <c r="H1397">
        <v>674</v>
      </c>
      <c r="I1397" s="1">
        <v>45047</v>
      </c>
      <c r="J1397">
        <v>4</v>
      </c>
      <c r="K1397" t="s">
        <v>26</v>
      </c>
    </row>
    <row r="1398" spans="1:11">
      <c r="A1398" s="1">
        <v>45106</v>
      </c>
      <c r="B1398" t="s">
        <v>40</v>
      </c>
      <c r="C1398" t="s">
        <v>39</v>
      </c>
      <c r="D1398">
        <v>116</v>
      </c>
      <c r="E1398">
        <v>31</v>
      </c>
      <c r="F1398">
        <v>4</v>
      </c>
      <c r="G1398">
        <v>0</v>
      </c>
      <c r="H1398">
        <v>151</v>
      </c>
      <c r="I1398" s="1">
        <v>45078</v>
      </c>
      <c r="J1398">
        <v>4</v>
      </c>
      <c r="K1398" t="s">
        <v>26</v>
      </c>
    </row>
    <row r="1399" spans="1:11">
      <c r="A1399" s="1">
        <v>45106</v>
      </c>
      <c r="B1399" t="s">
        <v>21</v>
      </c>
      <c r="C1399" t="s">
        <v>46</v>
      </c>
      <c r="D1399">
        <v>24</v>
      </c>
      <c r="E1399">
        <v>6</v>
      </c>
      <c r="F1399">
        <v>4</v>
      </c>
      <c r="G1399">
        <v>0</v>
      </c>
      <c r="H1399">
        <v>34</v>
      </c>
      <c r="I1399" s="1">
        <v>45078</v>
      </c>
      <c r="J1399">
        <v>4</v>
      </c>
      <c r="K1399" t="s">
        <v>26</v>
      </c>
    </row>
    <row r="1400" spans="1:11">
      <c r="A1400" s="1">
        <v>45134</v>
      </c>
      <c r="B1400" t="s">
        <v>40</v>
      </c>
      <c r="C1400" t="s">
        <v>55</v>
      </c>
      <c r="D1400">
        <v>911</v>
      </c>
      <c r="E1400">
        <v>56</v>
      </c>
      <c r="F1400">
        <v>4</v>
      </c>
      <c r="G1400">
        <v>0</v>
      </c>
      <c r="H1400">
        <v>971</v>
      </c>
      <c r="I1400" s="1">
        <v>45108</v>
      </c>
      <c r="J1400">
        <v>4</v>
      </c>
      <c r="K1400" t="s">
        <v>26</v>
      </c>
    </row>
    <row r="1401" spans="1:11">
      <c r="A1401" s="1">
        <v>45134</v>
      </c>
      <c r="B1401" t="s">
        <v>40</v>
      </c>
      <c r="C1401" t="s">
        <v>33</v>
      </c>
      <c r="D1401">
        <v>86</v>
      </c>
      <c r="E1401">
        <v>38</v>
      </c>
      <c r="F1401">
        <v>4</v>
      </c>
      <c r="G1401">
        <v>0</v>
      </c>
      <c r="H1401">
        <v>128</v>
      </c>
      <c r="I1401" s="1">
        <v>45108</v>
      </c>
      <c r="J1401">
        <v>4</v>
      </c>
      <c r="K1401" t="s">
        <v>26</v>
      </c>
    </row>
    <row r="1402" spans="1:11">
      <c r="A1402" s="1">
        <v>45134</v>
      </c>
      <c r="B1402" t="s">
        <v>40</v>
      </c>
      <c r="C1402" t="s">
        <v>28</v>
      </c>
      <c r="D1402">
        <v>208</v>
      </c>
      <c r="E1402">
        <v>53</v>
      </c>
      <c r="F1402">
        <v>4</v>
      </c>
      <c r="G1402">
        <v>0</v>
      </c>
      <c r="H1402">
        <v>265</v>
      </c>
      <c r="I1402" s="1">
        <v>45108</v>
      </c>
      <c r="J1402">
        <v>4</v>
      </c>
      <c r="K1402" t="s">
        <v>26</v>
      </c>
    </row>
    <row r="1403" spans="1:11">
      <c r="A1403" s="1">
        <v>45169</v>
      </c>
      <c r="B1403" t="s">
        <v>40</v>
      </c>
      <c r="C1403" t="s">
        <v>39</v>
      </c>
      <c r="D1403">
        <v>133</v>
      </c>
      <c r="E1403">
        <v>19</v>
      </c>
      <c r="F1403">
        <v>4</v>
      </c>
      <c r="G1403">
        <v>0</v>
      </c>
      <c r="H1403">
        <v>156</v>
      </c>
      <c r="I1403" s="1">
        <v>45139</v>
      </c>
      <c r="J1403">
        <v>4</v>
      </c>
      <c r="K1403" t="s">
        <v>26</v>
      </c>
    </row>
    <row r="1404" spans="1:11">
      <c r="A1404" s="1">
        <v>45169</v>
      </c>
      <c r="B1404" t="s">
        <v>21</v>
      </c>
      <c r="C1404" t="s">
        <v>51</v>
      </c>
      <c r="D1404">
        <v>30</v>
      </c>
      <c r="E1404">
        <v>8</v>
      </c>
      <c r="F1404">
        <v>4</v>
      </c>
      <c r="G1404">
        <v>0</v>
      </c>
      <c r="H1404">
        <v>42</v>
      </c>
      <c r="I1404" s="1">
        <v>45139</v>
      </c>
      <c r="J1404">
        <v>4</v>
      </c>
      <c r="K1404" t="s">
        <v>26</v>
      </c>
    </row>
    <row r="1405" spans="1:11">
      <c r="A1405" s="1">
        <v>45197</v>
      </c>
      <c r="B1405" t="s">
        <v>40</v>
      </c>
      <c r="C1405" t="s">
        <v>27</v>
      </c>
      <c r="D1405">
        <v>332</v>
      </c>
      <c r="E1405">
        <v>4</v>
      </c>
      <c r="F1405">
        <v>4</v>
      </c>
      <c r="G1405">
        <v>0</v>
      </c>
      <c r="H1405">
        <v>340</v>
      </c>
      <c r="I1405" s="1">
        <v>45170</v>
      </c>
      <c r="J1405">
        <v>4</v>
      </c>
      <c r="K1405" t="s">
        <v>26</v>
      </c>
    </row>
    <row r="1406" spans="1:11">
      <c r="A1406" s="1">
        <v>45197</v>
      </c>
      <c r="B1406" t="s">
        <v>21</v>
      </c>
      <c r="C1406" t="s">
        <v>51</v>
      </c>
      <c r="D1406">
        <v>20</v>
      </c>
      <c r="E1406">
        <v>8</v>
      </c>
      <c r="F1406">
        <v>4</v>
      </c>
      <c r="G1406">
        <v>0</v>
      </c>
      <c r="H1406">
        <v>31</v>
      </c>
      <c r="I1406" s="1">
        <v>45170</v>
      </c>
      <c r="J1406">
        <v>4</v>
      </c>
      <c r="K1406" t="s">
        <v>26</v>
      </c>
    </row>
    <row r="1407" spans="1:11">
      <c r="A1407" s="1">
        <v>45225</v>
      </c>
      <c r="B1407" t="s">
        <v>40</v>
      </c>
      <c r="C1407" t="s">
        <v>55</v>
      </c>
      <c r="D1407">
        <v>996</v>
      </c>
      <c r="E1407">
        <v>41</v>
      </c>
      <c r="F1407">
        <v>4</v>
      </c>
      <c r="G1407">
        <v>0</v>
      </c>
      <c r="H1407">
        <v>1041</v>
      </c>
      <c r="I1407" s="1">
        <v>45200</v>
      </c>
      <c r="J1407">
        <v>4</v>
      </c>
      <c r="K1407" t="s">
        <v>26</v>
      </c>
    </row>
    <row r="1408" spans="1:11">
      <c r="A1408" s="1">
        <v>45225</v>
      </c>
      <c r="B1408" t="s">
        <v>40</v>
      </c>
      <c r="C1408" t="s">
        <v>28</v>
      </c>
      <c r="D1408">
        <v>219</v>
      </c>
      <c r="E1408">
        <v>74</v>
      </c>
      <c r="F1408">
        <v>4</v>
      </c>
      <c r="G1408">
        <v>0</v>
      </c>
      <c r="H1408">
        <v>298</v>
      </c>
      <c r="I1408" s="1">
        <v>45200</v>
      </c>
      <c r="J1408">
        <v>4</v>
      </c>
      <c r="K1408" t="s">
        <v>26</v>
      </c>
    </row>
    <row r="1409" spans="1:11">
      <c r="A1409" s="1">
        <v>45225</v>
      </c>
      <c r="B1409" t="s">
        <v>40</v>
      </c>
      <c r="C1409" t="s">
        <v>43</v>
      </c>
      <c r="D1409">
        <v>734</v>
      </c>
      <c r="E1409">
        <v>131</v>
      </c>
      <c r="F1409">
        <v>4</v>
      </c>
      <c r="G1409">
        <v>0</v>
      </c>
      <c r="H1409">
        <v>870</v>
      </c>
      <c r="I1409" s="1">
        <v>45200</v>
      </c>
      <c r="J1409">
        <v>4</v>
      </c>
      <c r="K1409" t="s">
        <v>26</v>
      </c>
    </row>
    <row r="1410" spans="1:11">
      <c r="A1410" s="1">
        <v>45225</v>
      </c>
      <c r="B1410" t="s">
        <v>40</v>
      </c>
      <c r="C1410" t="s">
        <v>24</v>
      </c>
      <c r="D1410">
        <v>681</v>
      </c>
      <c r="E1410">
        <v>125</v>
      </c>
      <c r="F1410">
        <v>4</v>
      </c>
      <c r="G1410">
        <v>0</v>
      </c>
      <c r="H1410">
        <v>810</v>
      </c>
      <c r="I1410" s="1">
        <v>45200</v>
      </c>
      <c r="J1410">
        <v>4</v>
      </c>
      <c r="K1410" t="s">
        <v>26</v>
      </c>
    </row>
    <row r="1411" spans="1:11">
      <c r="A1411" s="1">
        <v>45379</v>
      </c>
      <c r="B1411" t="s">
        <v>40</v>
      </c>
      <c r="C1411" t="s">
        <v>22</v>
      </c>
      <c r="D1411">
        <v>534</v>
      </c>
      <c r="E1411">
        <v>33</v>
      </c>
      <c r="F1411">
        <v>4</v>
      </c>
      <c r="G1411">
        <v>0</v>
      </c>
      <c r="H1411">
        <v>571</v>
      </c>
      <c r="I1411" s="1">
        <v>45352</v>
      </c>
      <c r="J1411">
        <v>4</v>
      </c>
      <c r="K1411" t="s">
        <v>26</v>
      </c>
    </row>
    <row r="1412" spans="1:11">
      <c r="A1412" s="1">
        <v>45407</v>
      </c>
      <c r="B1412" t="s">
        <v>40</v>
      </c>
      <c r="C1412" t="s">
        <v>52</v>
      </c>
      <c r="D1412">
        <v>619</v>
      </c>
      <c r="E1412">
        <v>208</v>
      </c>
      <c r="F1412">
        <v>4</v>
      </c>
      <c r="G1412">
        <v>0</v>
      </c>
      <c r="H1412">
        <v>831</v>
      </c>
      <c r="I1412" s="1">
        <v>45383</v>
      </c>
      <c r="J1412">
        <v>4</v>
      </c>
      <c r="K1412" t="s">
        <v>26</v>
      </c>
    </row>
    <row r="1413" spans="1:11">
      <c r="A1413" s="1">
        <v>45407</v>
      </c>
      <c r="B1413" t="s">
        <v>40</v>
      </c>
      <c r="C1413" t="s">
        <v>24</v>
      </c>
      <c r="D1413">
        <v>485</v>
      </c>
      <c r="E1413">
        <v>158</v>
      </c>
      <c r="F1413">
        <v>4</v>
      </c>
      <c r="G1413">
        <v>0</v>
      </c>
      <c r="H1413">
        <v>647</v>
      </c>
      <c r="I1413" s="1">
        <v>45383</v>
      </c>
      <c r="J1413">
        <v>4</v>
      </c>
      <c r="K1413" t="s">
        <v>26</v>
      </c>
    </row>
    <row r="1414" spans="1:11">
      <c r="A1414" s="1">
        <v>45407</v>
      </c>
      <c r="B1414" t="s">
        <v>21</v>
      </c>
      <c r="C1414" t="s">
        <v>52</v>
      </c>
      <c r="D1414">
        <v>119</v>
      </c>
      <c r="E1414">
        <v>17</v>
      </c>
      <c r="F1414">
        <v>4</v>
      </c>
      <c r="G1414">
        <v>0</v>
      </c>
      <c r="H1414">
        <v>140</v>
      </c>
      <c r="I1414" s="1">
        <v>45383</v>
      </c>
      <c r="J1414">
        <v>4</v>
      </c>
      <c r="K1414" t="s">
        <v>26</v>
      </c>
    </row>
    <row r="1415" spans="1:11">
      <c r="A1415" s="1">
        <v>45442</v>
      </c>
      <c r="B1415" t="s">
        <v>40</v>
      </c>
      <c r="C1415" t="s">
        <v>22</v>
      </c>
      <c r="D1415">
        <v>626</v>
      </c>
      <c r="E1415">
        <v>40</v>
      </c>
      <c r="F1415">
        <v>4</v>
      </c>
      <c r="G1415">
        <v>0</v>
      </c>
      <c r="H1415">
        <v>669</v>
      </c>
      <c r="I1415" s="1">
        <v>45413</v>
      </c>
      <c r="J1415">
        <v>4</v>
      </c>
      <c r="K1415" t="s">
        <v>26</v>
      </c>
    </row>
    <row r="1416" spans="1:11">
      <c r="A1416" s="1">
        <v>45442</v>
      </c>
      <c r="B1416" t="s">
        <v>21</v>
      </c>
      <c r="C1416" t="s">
        <v>25</v>
      </c>
      <c r="D1416">
        <v>40</v>
      </c>
      <c r="E1416">
        <v>14</v>
      </c>
      <c r="F1416">
        <v>4</v>
      </c>
      <c r="G1416">
        <v>0</v>
      </c>
      <c r="H1416">
        <v>57</v>
      </c>
      <c r="I1416" s="1">
        <v>45413</v>
      </c>
      <c r="J1416">
        <v>4</v>
      </c>
      <c r="K1416" t="s">
        <v>26</v>
      </c>
    </row>
    <row r="1417" spans="1:11">
      <c r="A1417" s="1">
        <v>45498</v>
      </c>
      <c r="B1417" t="s">
        <v>21</v>
      </c>
      <c r="C1417" t="s">
        <v>25</v>
      </c>
      <c r="D1417">
        <v>10</v>
      </c>
      <c r="E1417">
        <v>4</v>
      </c>
      <c r="F1417">
        <v>4</v>
      </c>
      <c r="G1417">
        <v>0</v>
      </c>
      <c r="H1417">
        <v>17</v>
      </c>
      <c r="I1417" s="1">
        <v>45474</v>
      </c>
      <c r="J1417">
        <v>4</v>
      </c>
      <c r="K1417" t="s">
        <v>26</v>
      </c>
    </row>
    <row r="1418" spans="1:11">
      <c r="A1418" s="1">
        <v>45596</v>
      </c>
      <c r="B1418" t="s">
        <v>40</v>
      </c>
      <c r="C1418" t="s">
        <v>22</v>
      </c>
      <c r="D1418">
        <v>826</v>
      </c>
      <c r="E1418">
        <v>56</v>
      </c>
      <c r="F1418">
        <v>4</v>
      </c>
      <c r="G1418">
        <v>0</v>
      </c>
      <c r="H1418">
        <v>886</v>
      </c>
      <c r="I1418" s="1">
        <v>45566</v>
      </c>
      <c r="J1418">
        <v>4</v>
      </c>
      <c r="K1418" t="s">
        <v>26</v>
      </c>
    </row>
    <row r="1419" spans="1:11">
      <c r="A1419" s="1">
        <v>45624</v>
      </c>
      <c r="B1419" t="s">
        <v>40</v>
      </c>
      <c r="C1419" t="s">
        <v>35</v>
      </c>
      <c r="D1419">
        <v>750</v>
      </c>
      <c r="E1419">
        <v>310</v>
      </c>
      <c r="F1419">
        <v>4</v>
      </c>
      <c r="G1419">
        <v>0</v>
      </c>
      <c r="H1419">
        <v>1064</v>
      </c>
      <c r="I1419" s="1">
        <v>45597</v>
      </c>
      <c r="J1419">
        <v>4</v>
      </c>
      <c r="K1419" t="s">
        <v>26</v>
      </c>
    </row>
    <row r="1420" spans="1:11">
      <c r="A1420" s="1">
        <v>45645</v>
      </c>
      <c r="B1420" t="s">
        <v>40</v>
      </c>
      <c r="C1420" t="s">
        <v>37</v>
      </c>
      <c r="D1420">
        <v>504</v>
      </c>
      <c r="E1420">
        <v>141</v>
      </c>
      <c r="F1420">
        <v>4</v>
      </c>
      <c r="G1420">
        <v>0</v>
      </c>
      <c r="H1420">
        <v>648</v>
      </c>
      <c r="I1420" s="1">
        <v>45627</v>
      </c>
      <c r="J1420">
        <v>4</v>
      </c>
      <c r="K1420" t="s">
        <v>26</v>
      </c>
    </row>
    <row r="1421" spans="1:11">
      <c r="A1421" s="1">
        <v>45645</v>
      </c>
      <c r="B1421" t="s">
        <v>40</v>
      </c>
      <c r="C1421" t="s">
        <v>39</v>
      </c>
      <c r="D1421">
        <v>266</v>
      </c>
      <c r="E1421">
        <v>26</v>
      </c>
      <c r="F1421">
        <v>4</v>
      </c>
      <c r="G1421">
        <v>0</v>
      </c>
      <c r="H1421">
        <v>295</v>
      </c>
      <c r="I1421" s="1">
        <v>45627</v>
      </c>
      <c r="J1421">
        <v>4</v>
      </c>
      <c r="K1421" t="s">
        <v>26</v>
      </c>
    </row>
    <row r="1422" spans="1:11">
      <c r="A1422" s="1">
        <v>45687</v>
      </c>
      <c r="B1422" t="s">
        <v>40</v>
      </c>
      <c r="C1422" t="s">
        <v>39</v>
      </c>
      <c r="D1422">
        <v>238</v>
      </c>
      <c r="E1422">
        <v>53</v>
      </c>
      <c r="F1422">
        <v>4</v>
      </c>
      <c r="G1422">
        <v>0</v>
      </c>
      <c r="H1422">
        <v>295</v>
      </c>
      <c r="I1422" s="1">
        <v>45658</v>
      </c>
      <c r="J1422">
        <v>4</v>
      </c>
      <c r="K1422" t="s">
        <v>26</v>
      </c>
    </row>
    <row r="1423" spans="1:11">
      <c r="A1423" s="1">
        <v>45743</v>
      </c>
      <c r="B1423" t="s">
        <v>40</v>
      </c>
      <c r="C1423" t="s">
        <v>33</v>
      </c>
      <c r="D1423">
        <v>133</v>
      </c>
      <c r="E1423">
        <v>29</v>
      </c>
      <c r="F1423">
        <v>4</v>
      </c>
      <c r="G1423">
        <v>0</v>
      </c>
      <c r="H1423">
        <v>166</v>
      </c>
      <c r="I1423" s="1">
        <v>45717</v>
      </c>
      <c r="J1423">
        <v>4</v>
      </c>
      <c r="K1423" t="s">
        <v>26</v>
      </c>
    </row>
    <row r="1424" spans="1:11">
      <c r="A1424" s="1">
        <v>45960</v>
      </c>
      <c r="B1424" t="s">
        <v>40</v>
      </c>
      <c r="C1424" t="s">
        <v>30</v>
      </c>
      <c r="D1424">
        <v>585</v>
      </c>
      <c r="E1424">
        <v>86</v>
      </c>
      <c r="F1424">
        <v>4</v>
      </c>
      <c r="G1424">
        <v>0</v>
      </c>
      <c r="H1424">
        <v>675</v>
      </c>
      <c r="I1424" s="1">
        <v>45931</v>
      </c>
      <c r="J1424">
        <v>4</v>
      </c>
      <c r="K1424" t="s">
        <v>26</v>
      </c>
    </row>
    <row r="1425" spans="1:11">
      <c r="A1425" s="1">
        <v>45960</v>
      </c>
      <c r="B1425" t="s">
        <v>40</v>
      </c>
      <c r="C1425" t="s">
        <v>24</v>
      </c>
      <c r="D1425">
        <v>574</v>
      </c>
      <c r="E1425">
        <v>235</v>
      </c>
      <c r="F1425">
        <v>4</v>
      </c>
      <c r="G1425">
        <v>0</v>
      </c>
      <c r="H1425">
        <v>813</v>
      </c>
      <c r="I1425" s="1">
        <v>45931</v>
      </c>
      <c r="J1425">
        <v>4</v>
      </c>
      <c r="K1425" t="s">
        <v>26</v>
      </c>
    </row>
    <row r="1426" spans="1:11">
      <c r="A1426" s="1">
        <v>46009</v>
      </c>
      <c r="B1426" t="s">
        <v>40</v>
      </c>
      <c r="C1426" t="s">
        <v>51</v>
      </c>
      <c r="D1426">
        <v>457</v>
      </c>
      <c r="E1426">
        <v>63</v>
      </c>
      <c r="F1426">
        <v>4</v>
      </c>
      <c r="G1426">
        <v>0</v>
      </c>
      <c r="H1426">
        <v>524</v>
      </c>
      <c r="I1426" s="1">
        <v>45992</v>
      </c>
      <c r="J1426">
        <v>4</v>
      </c>
      <c r="K1426" t="s">
        <v>26</v>
      </c>
    </row>
    <row r="1427" spans="1:11">
      <c r="A1427" s="1">
        <v>46009</v>
      </c>
      <c r="B1427" t="s">
        <v>40</v>
      </c>
      <c r="C1427" t="s">
        <v>24</v>
      </c>
      <c r="D1427">
        <v>611</v>
      </c>
      <c r="E1427">
        <v>244</v>
      </c>
      <c r="F1427">
        <v>4</v>
      </c>
      <c r="G1427">
        <v>0</v>
      </c>
      <c r="H1427">
        <v>859</v>
      </c>
      <c r="I1427" s="1">
        <v>45992</v>
      </c>
      <c r="J1427">
        <v>4</v>
      </c>
      <c r="K1427" t="s">
        <v>26</v>
      </c>
    </row>
    <row r="1428" spans="1:11">
      <c r="A1428" s="1">
        <v>46079</v>
      </c>
      <c r="B1428" t="s">
        <v>40</v>
      </c>
      <c r="C1428" t="s">
        <v>30</v>
      </c>
      <c r="D1428">
        <v>613</v>
      </c>
      <c r="E1428">
        <v>83</v>
      </c>
      <c r="F1428">
        <v>4</v>
      </c>
      <c r="G1428">
        <v>0</v>
      </c>
      <c r="H1428">
        <v>700</v>
      </c>
      <c r="I1428" s="1">
        <v>46054</v>
      </c>
      <c r="J1428">
        <v>4</v>
      </c>
      <c r="K1428" t="s">
        <v>26</v>
      </c>
    </row>
    <row r="1429" spans="1:11">
      <c r="A1429" s="1">
        <v>46079</v>
      </c>
      <c r="B1429" t="s">
        <v>40</v>
      </c>
      <c r="C1429" t="s">
        <v>51</v>
      </c>
      <c r="D1429">
        <v>365</v>
      </c>
      <c r="E1429">
        <v>61</v>
      </c>
      <c r="F1429">
        <v>4</v>
      </c>
      <c r="G1429">
        <v>0</v>
      </c>
      <c r="H1429">
        <v>430</v>
      </c>
      <c r="I1429" s="1">
        <v>46054</v>
      </c>
      <c r="J1429">
        <v>4</v>
      </c>
      <c r="K1429" t="s">
        <v>26</v>
      </c>
    </row>
    <row r="1430" spans="1:11">
      <c r="A1430" s="1">
        <v>46079</v>
      </c>
      <c r="B1430" t="s">
        <v>21</v>
      </c>
      <c r="C1430" t="s">
        <v>57</v>
      </c>
      <c r="D1430">
        <v>55</v>
      </c>
      <c r="E1430">
        <v>6</v>
      </c>
      <c r="F1430">
        <v>4</v>
      </c>
      <c r="G1430">
        <v>0</v>
      </c>
      <c r="H1430">
        <v>65</v>
      </c>
      <c r="I1430" s="1">
        <v>46054</v>
      </c>
      <c r="J1430">
        <v>4</v>
      </c>
      <c r="K1430" t="s">
        <v>26</v>
      </c>
    </row>
    <row r="1431" spans="1:11">
      <c r="A1431" s="1">
        <v>46107</v>
      </c>
      <c r="B1431" t="s">
        <v>40</v>
      </c>
      <c r="C1431" t="s">
        <v>30</v>
      </c>
      <c r="D1431">
        <v>581</v>
      </c>
      <c r="E1431">
        <v>90</v>
      </c>
      <c r="F1431">
        <v>4</v>
      </c>
      <c r="G1431">
        <v>0</v>
      </c>
      <c r="H1431">
        <v>675</v>
      </c>
      <c r="I1431" s="1">
        <v>46082</v>
      </c>
      <c r="J1431">
        <v>4</v>
      </c>
      <c r="K1431" t="s">
        <v>26</v>
      </c>
    </row>
    <row r="1432" spans="1:11">
      <c r="A1432" s="1">
        <v>46170</v>
      </c>
      <c r="B1432" t="s">
        <v>40</v>
      </c>
      <c r="C1432" t="s">
        <v>28</v>
      </c>
      <c r="D1432">
        <v>204</v>
      </c>
      <c r="E1432">
        <v>122</v>
      </c>
      <c r="F1432">
        <v>4</v>
      </c>
      <c r="G1432">
        <v>0</v>
      </c>
      <c r="H1432">
        <v>330</v>
      </c>
      <c r="I1432" s="1">
        <v>46143</v>
      </c>
      <c r="J1432">
        <v>4</v>
      </c>
      <c r="K1432" t="s">
        <v>26</v>
      </c>
    </row>
    <row r="1433" spans="1:11">
      <c r="A1433" s="1">
        <v>46170</v>
      </c>
      <c r="B1433" t="s">
        <v>40</v>
      </c>
      <c r="C1433" t="s">
        <v>32</v>
      </c>
      <c r="D1433">
        <v>423</v>
      </c>
      <c r="E1433">
        <v>107</v>
      </c>
      <c r="F1433">
        <v>4</v>
      </c>
      <c r="G1433">
        <v>0</v>
      </c>
      <c r="H1433">
        <v>534</v>
      </c>
      <c r="I1433" s="1">
        <v>46143</v>
      </c>
      <c r="J1433">
        <v>4</v>
      </c>
      <c r="K1433" t="s">
        <v>26</v>
      </c>
    </row>
    <row r="1434" spans="1:11">
      <c r="A1434" s="1">
        <v>46198</v>
      </c>
      <c r="B1434" t="s">
        <v>40</v>
      </c>
      <c r="C1434" t="s">
        <v>44</v>
      </c>
      <c r="D1434">
        <v>560</v>
      </c>
      <c r="E1434">
        <v>92</v>
      </c>
      <c r="F1434">
        <v>4</v>
      </c>
      <c r="G1434">
        <v>0</v>
      </c>
      <c r="H1434">
        <v>656</v>
      </c>
      <c r="I1434" s="1">
        <v>46174</v>
      </c>
      <c r="J1434">
        <v>4</v>
      </c>
      <c r="K1434" t="s">
        <v>26</v>
      </c>
    </row>
    <row r="1435" spans="1:11">
      <c r="A1435" s="1">
        <v>46198</v>
      </c>
      <c r="B1435" t="s">
        <v>21</v>
      </c>
      <c r="C1435" t="s">
        <v>60</v>
      </c>
      <c r="D1435">
        <v>109</v>
      </c>
      <c r="E1435">
        <v>27</v>
      </c>
      <c r="F1435">
        <v>4</v>
      </c>
      <c r="G1435">
        <v>0</v>
      </c>
      <c r="H1435">
        <v>139</v>
      </c>
      <c r="I1435" s="1">
        <v>46174</v>
      </c>
      <c r="J1435">
        <v>4</v>
      </c>
      <c r="K1435" t="s">
        <v>26</v>
      </c>
    </row>
    <row r="1436" spans="1:11">
      <c r="A1436" s="1">
        <v>44980</v>
      </c>
      <c r="B1436" t="s">
        <v>40</v>
      </c>
      <c r="C1436" t="s">
        <v>55</v>
      </c>
      <c r="D1436">
        <v>4282</v>
      </c>
      <c r="E1436">
        <v>583</v>
      </c>
      <c r="F1436">
        <v>21</v>
      </c>
      <c r="G1436">
        <v>0</v>
      </c>
      <c r="H1436">
        <v>4886</v>
      </c>
      <c r="I1436" s="1">
        <v>44958</v>
      </c>
      <c r="J1436">
        <v>21</v>
      </c>
      <c r="K1436" t="s">
        <v>23</v>
      </c>
    </row>
    <row r="1437" spans="1:11">
      <c r="A1437" s="1">
        <v>44980</v>
      </c>
      <c r="B1437" t="s">
        <v>21</v>
      </c>
      <c r="C1437" t="s">
        <v>41</v>
      </c>
      <c r="D1437">
        <v>1081</v>
      </c>
      <c r="E1437">
        <v>263</v>
      </c>
      <c r="F1437">
        <v>28</v>
      </c>
      <c r="G1437">
        <v>0</v>
      </c>
      <c r="H1437">
        <v>1371</v>
      </c>
      <c r="I1437" s="1">
        <v>44958</v>
      </c>
      <c r="J1437">
        <v>28</v>
      </c>
      <c r="K1437" t="s">
        <v>23</v>
      </c>
    </row>
    <row r="1438" spans="1:11">
      <c r="A1438" s="1">
        <v>45015</v>
      </c>
      <c r="B1438" t="s">
        <v>40</v>
      </c>
      <c r="C1438" t="s">
        <v>41</v>
      </c>
      <c r="D1438">
        <v>4475</v>
      </c>
      <c r="E1438">
        <v>2959</v>
      </c>
      <c r="F1438">
        <v>533</v>
      </c>
      <c r="G1438">
        <v>0</v>
      </c>
      <c r="H1438">
        <v>7966</v>
      </c>
      <c r="I1438" s="1">
        <v>44986</v>
      </c>
      <c r="J1438">
        <v>533</v>
      </c>
      <c r="K1438" t="s">
        <v>23</v>
      </c>
    </row>
    <row r="1439" spans="1:11">
      <c r="A1439" s="1">
        <v>45015</v>
      </c>
      <c r="B1439" t="s">
        <v>21</v>
      </c>
      <c r="C1439" t="s">
        <v>41</v>
      </c>
      <c r="D1439">
        <v>1154</v>
      </c>
      <c r="E1439">
        <v>279</v>
      </c>
      <c r="F1439">
        <v>34</v>
      </c>
      <c r="G1439">
        <v>0</v>
      </c>
      <c r="H1439">
        <v>1467</v>
      </c>
      <c r="I1439" s="1">
        <v>44986</v>
      </c>
      <c r="J1439">
        <v>34</v>
      </c>
      <c r="K1439" t="s">
        <v>23</v>
      </c>
    </row>
    <row r="1440" spans="1:11">
      <c r="A1440" s="1">
        <v>45015</v>
      </c>
      <c r="B1440" t="s">
        <v>21</v>
      </c>
      <c r="C1440" t="s">
        <v>32</v>
      </c>
      <c r="D1440">
        <v>406</v>
      </c>
      <c r="E1440">
        <v>91</v>
      </c>
      <c r="F1440">
        <v>14</v>
      </c>
      <c r="G1440">
        <v>0</v>
      </c>
      <c r="H1440">
        <v>510</v>
      </c>
      <c r="I1440" s="1">
        <v>44986</v>
      </c>
      <c r="J1440">
        <v>14</v>
      </c>
      <c r="K1440" t="s">
        <v>23</v>
      </c>
    </row>
    <row r="1441" spans="1:11">
      <c r="A1441" s="1">
        <v>45043</v>
      </c>
      <c r="B1441" t="s">
        <v>40</v>
      </c>
      <c r="C1441" t="s">
        <v>41</v>
      </c>
      <c r="D1441">
        <v>4273</v>
      </c>
      <c r="E1441">
        <v>2909</v>
      </c>
      <c r="F1441">
        <v>704</v>
      </c>
      <c r="G1441">
        <v>0</v>
      </c>
      <c r="H1441">
        <v>7887</v>
      </c>
      <c r="I1441" s="1">
        <v>45017</v>
      </c>
      <c r="J1441">
        <v>704</v>
      </c>
      <c r="K1441" t="s">
        <v>23</v>
      </c>
    </row>
    <row r="1442" spans="1:11">
      <c r="A1442" s="1">
        <v>45043</v>
      </c>
      <c r="B1442" t="s">
        <v>21</v>
      </c>
      <c r="C1442" t="s">
        <v>32</v>
      </c>
      <c r="D1442">
        <v>399</v>
      </c>
      <c r="E1442">
        <v>93</v>
      </c>
      <c r="F1442">
        <v>9</v>
      </c>
      <c r="G1442">
        <v>0</v>
      </c>
      <c r="H1442">
        <v>500</v>
      </c>
      <c r="I1442" s="1">
        <v>45017</v>
      </c>
      <c r="J1442">
        <v>9</v>
      </c>
      <c r="K1442" t="s">
        <v>23</v>
      </c>
    </row>
    <row r="1443" spans="1:11">
      <c r="A1443" s="1">
        <v>45043</v>
      </c>
      <c r="B1443" t="s">
        <v>21</v>
      </c>
      <c r="C1443" t="s">
        <v>49</v>
      </c>
      <c r="D1443">
        <v>651</v>
      </c>
      <c r="E1443">
        <v>260</v>
      </c>
      <c r="F1443">
        <v>15</v>
      </c>
      <c r="G1443">
        <v>0</v>
      </c>
      <c r="H1443">
        <v>927</v>
      </c>
      <c r="I1443" s="1">
        <v>45017</v>
      </c>
      <c r="J1443">
        <v>15</v>
      </c>
      <c r="K1443" t="s">
        <v>23</v>
      </c>
    </row>
    <row r="1444" spans="1:11">
      <c r="A1444" s="1">
        <v>45071</v>
      </c>
      <c r="B1444" t="s">
        <v>40</v>
      </c>
      <c r="C1444" t="s">
        <v>38</v>
      </c>
      <c r="D1444">
        <v>2173</v>
      </c>
      <c r="E1444">
        <v>347</v>
      </c>
      <c r="F1444">
        <v>29</v>
      </c>
      <c r="G1444">
        <v>0</v>
      </c>
      <c r="H1444">
        <v>2549</v>
      </c>
      <c r="I1444" s="1">
        <v>45047</v>
      </c>
      <c r="J1444">
        <v>29</v>
      </c>
      <c r="K1444" t="s">
        <v>23</v>
      </c>
    </row>
    <row r="1445" spans="1:11">
      <c r="A1445" s="1">
        <v>45071</v>
      </c>
      <c r="B1445" t="s">
        <v>21</v>
      </c>
      <c r="C1445" t="s">
        <v>49</v>
      </c>
      <c r="D1445">
        <v>640</v>
      </c>
      <c r="E1445">
        <v>277</v>
      </c>
      <c r="F1445">
        <v>34</v>
      </c>
      <c r="G1445">
        <v>0</v>
      </c>
      <c r="H1445">
        <v>951</v>
      </c>
      <c r="I1445" s="1">
        <v>45047</v>
      </c>
      <c r="J1445">
        <v>34</v>
      </c>
      <c r="K1445" t="s">
        <v>23</v>
      </c>
    </row>
    <row r="1446" spans="1:11">
      <c r="A1446" s="1">
        <v>45106</v>
      </c>
      <c r="B1446" t="s">
        <v>40</v>
      </c>
      <c r="C1446" t="s">
        <v>42</v>
      </c>
      <c r="D1446">
        <v>1897</v>
      </c>
      <c r="E1446">
        <v>732</v>
      </c>
      <c r="F1446">
        <v>134</v>
      </c>
      <c r="G1446">
        <v>0</v>
      </c>
      <c r="H1446">
        <v>2763</v>
      </c>
      <c r="I1446" s="1">
        <v>45078</v>
      </c>
      <c r="J1446">
        <v>134</v>
      </c>
      <c r="K1446" t="s">
        <v>23</v>
      </c>
    </row>
    <row r="1447" spans="1:11">
      <c r="A1447" s="1">
        <v>45106</v>
      </c>
      <c r="B1447" t="s">
        <v>40</v>
      </c>
      <c r="C1447" t="s">
        <v>38</v>
      </c>
      <c r="D1447">
        <v>2159</v>
      </c>
      <c r="E1447">
        <v>365</v>
      </c>
      <c r="F1447">
        <v>23</v>
      </c>
      <c r="G1447">
        <v>0</v>
      </c>
      <c r="H1447">
        <v>2547</v>
      </c>
      <c r="I1447" s="1">
        <v>45078</v>
      </c>
      <c r="J1447">
        <v>23</v>
      </c>
      <c r="K1447" t="s">
        <v>23</v>
      </c>
    </row>
    <row r="1448" spans="1:11">
      <c r="A1448" s="1">
        <v>45106</v>
      </c>
      <c r="B1448" t="s">
        <v>21</v>
      </c>
      <c r="C1448" t="s">
        <v>32</v>
      </c>
      <c r="D1448">
        <v>349</v>
      </c>
      <c r="E1448">
        <v>89</v>
      </c>
      <c r="F1448">
        <v>5</v>
      </c>
      <c r="G1448">
        <v>0</v>
      </c>
      <c r="H1448">
        <v>443</v>
      </c>
      <c r="I1448" s="1">
        <v>45078</v>
      </c>
      <c r="J1448">
        <v>5</v>
      </c>
      <c r="K1448" t="s">
        <v>23</v>
      </c>
    </row>
    <row r="1449" spans="1:11">
      <c r="A1449" s="1">
        <v>45106</v>
      </c>
      <c r="B1449" t="s">
        <v>21</v>
      </c>
      <c r="C1449" t="s">
        <v>49</v>
      </c>
      <c r="D1449">
        <v>614</v>
      </c>
      <c r="E1449">
        <v>289</v>
      </c>
      <c r="F1449">
        <v>38</v>
      </c>
      <c r="G1449">
        <v>0</v>
      </c>
      <c r="H1449">
        <v>941</v>
      </c>
      <c r="I1449" s="1">
        <v>45078</v>
      </c>
      <c r="J1449">
        <v>38</v>
      </c>
      <c r="K1449" t="s">
        <v>23</v>
      </c>
    </row>
    <row r="1450" spans="1:11">
      <c r="A1450" s="1">
        <v>45134</v>
      </c>
      <c r="B1450" t="s">
        <v>40</v>
      </c>
      <c r="C1450" t="s">
        <v>30</v>
      </c>
      <c r="D1450">
        <v>2400</v>
      </c>
      <c r="E1450">
        <v>78</v>
      </c>
      <c r="F1450">
        <v>12</v>
      </c>
      <c r="G1450">
        <v>0</v>
      </c>
      <c r="H1450">
        <v>2490</v>
      </c>
      <c r="I1450" s="1">
        <v>45108</v>
      </c>
      <c r="J1450">
        <v>12</v>
      </c>
      <c r="K1450" t="s">
        <v>23</v>
      </c>
    </row>
    <row r="1451" spans="1:11">
      <c r="A1451" s="1">
        <v>45134</v>
      </c>
      <c r="B1451" t="s">
        <v>40</v>
      </c>
      <c r="C1451" t="s">
        <v>42</v>
      </c>
      <c r="D1451">
        <v>1853</v>
      </c>
      <c r="E1451">
        <v>602</v>
      </c>
      <c r="F1451">
        <v>95</v>
      </c>
      <c r="G1451">
        <v>0</v>
      </c>
      <c r="H1451">
        <v>2550</v>
      </c>
      <c r="I1451" s="1">
        <v>45108</v>
      </c>
      <c r="J1451">
        <v>95</v>
      </c>
      <c r="K1451" t="s">
        <v>23</v>
      </c>
    </row>
    <row r="1452" spans="1:11">
      <c r="A1452" s="1">
        <v>45134</v>
      </c>
      <c r="B1452" t="s">
        <v>40</v>
      </c>
      <c r="C1452" t="s">
        <v>38</v>
      </c>
      <c r="D1452">
        <v>2240</v>
      </c>
      <c r="E1452">
        <v>320</v>
      </c>
      <c r="F1452">
        <v>15</v>
      </c>
      <c r="G1452">
        <v>0</v>
      </c>
      <c r="H1452">
        <v>2575</v>
      </c>
      <c r="I1452" s="1">
        <v>45108</v>
      </c>
      <c r="J1452">
        <v>15</v>
      </c>
      <c r="K1452" t="s">
        <v>23</v>
      </c>
    </row>
    <row r="1453" spans="1:11">
      <c r="A1453" s="1">
        <v>45134</v>
      </c>
      <c r="B1453" t="s">
        <v>21</v>
      </c>
      <c r="C1453" t="s">
        <v>41</v>
      </c>
      <c r="D1453">
        <v>1026</v>
      </c>
      <c r="E1453">
        <v>386</v>
      </c>
      <c r="F1453">
        <v>19</v>
      </c>
      <c r="G1453">
        <v>0</v>
      </c>
      <c r="H1453">
        <v>1430</v>
      </c>
      <c r="I1453" s="1">
        <v>45108</v>
      </c>
      <c r="J1453">
        <v>19</v>
      </c>
      <c r="K1453" t="s">
        <v>23</v>
      </c>
    </row>
    <row r="1454" spans="1:11">
      <c r="A1454" s="1">
        <v>45134</v>
      </c>
      <c r="B1454" t="s">
        <v>21</v>
      </c>
      <c r="C1454" t="s">
        <v>28</v>
      </c>
      <c r="D1454">
        <v>264</v>
      </c>
      <c r="E1454">
        <v>99</v>
      </c>
      <c r="F1454">
        <v>5</v>
      </c>
      <c r="G1454">
        <v>0</v>
      </c>
      <c r="H1454">
        <v>368</v>
      </c>
      <c r="I1454" s="1">
        <v>45108</v>
      </c>
      <c r="J1454">
        <v>5</v>
      </c>
      <c r="K1454" t="s">
        <v>23</v>
      </c>
    </row>
    <row r="1455" spans="1:11">
      <c r="A1455" s="1">
        <v>45134</v>
      </c>
      <c r="B1455" t="s">
        <v>21</v>
      </c>
      <c r="C1455" t="s">
        <v>32</v>
      </c>
      <c r="D1455">
        <v>341</v>
      </c>
      <c r="E1455">
        <v>68</v>
      </c>
      <c r="F1455">
        <v>11</v>
      </c>
      <c r="G1455">
        <v>0</v>
      </c>
      <c r="H1455">
        <v>421</v>
      </c>
      <c r="I1455" s="1">
        <v>45108</v>
      </c>
      <c r="J1455">
        <v>11</v>
      </c>
      <c r="K1455" t="s">
        <v>23</v>
      </c>
    </row>
    <row r="1456" spans="1:11">
      <c r="A1456" s="1">
        <v>45134</v>
      </c>
      <c r="B1456" t="s">
        <v>21</v>
      </c>
      <c r="C1456" t="s">
        <v>49</v>
      </c>
      <c r="D1456">
        <v>638</v>
      </c>
      <c r="E1456">
        <v>287</v>
      </c>
      <c r="F1456">
        <v>69</v>
      </c>
      <c r="G1456">
        <v>0</v>
      </c>
      <c r="H1456">
        <v>993</v>
      </c>
      <c r="I1456" s="1">
        <v>45108</v>
      </c>
      <c r="J1456">
        <v>69</v>
      </c>
      <c r="K1456" t="s">
        <v>23</v>
      </c>
    </row>
    <row r="1457" spans="1:11">
      <c r="A1457" s="1">
        <v>45169</v>
      </c>
      <c r="B1457" t="s">
        <v>40</v>
      </c>
      <c r="C1457" t="s">
        <v>42</v>
      </c>
      <c r="D1457">
        <v>1763</v>
      </c>
      <c r="E1457">
        <v>590</v>
      </c>
      <c r="F1457">
        <v>21</v>
      </c>
      <c r="G1457">
        <v>0</v>
      </c>
      <c r="H1457">
        <v>2374</v>
      </c>
      <c r="I1457" s="1">
        <v>45139</v>
      </c>
      <c r="J1457">
        <v>21</v>
      </c>
      <c r="K1457" t="s">
        <v>23</v>
      </c>
    </row>
    <row r="1458" spans="1:11">
      <c r="A1458" s="1">
        <v>45169</v>
      </c>
      <c r="B1458" t="s">
        <v>40</v>
      </c>
      <c r="C1458" t="s">
        <v>38</v>
      </c>
      <c r="D1458">
        <v>2313</v>
      </c>
      <c r="E1458">
        <v>366</v>
      </c>
      <c r="F1458">
        <v>7</v>
      </c>
      <c r="G1458">
        <v>0</v>
      </c>
      <c r="H1458">
        <v>2686</v>
      </c>
      <c r="I1458" s="1">
        <v>45139</v>
      </c>
      <c r="J1458">
        <v>7</v>
      </c>
      <c r="K1458" t="s">
        <v>23</v>
      </c>
    </row>
    <row r="1459" spans="1:11">
      <c r="A1459" s="1">
        <v>45169</v>
      </c>
      <c r="B1459" t="s">
        <v>21</v>
      </c>
      <c r="C1459" t="s">
        <v>41</v>
      </c>
      <c r="D1459">
        <v>904</v>
      </c>
      <c r="E1459">
        <v>470</v>
      </c>
      <c r="F1459">
        <v>20</v>
      </c>
      <c r="G1459">
        <v>0</v>
      </c>
      <c r="H1459">
        <v>1393</v>
      </c>
      <c r="I1459" s="1">
        <v>45139</v>
      </c>
      <c r="J1459">
        <v>20</v>
      </c>
      <c r="K1459" t="s">
        <v>23</v>
      </c>
    </row>
    <row r="1460" spans="1:11">
      <c r="A1460" s="1">
        <v>45169</v>
      </c>
      <c r="B1460" t="s">
        <v>21</v>
      </c>
      <c r="C1460" t="s">
        <v>28</v>
      </c>
      <c r="D1460">
        <v>233</v>
      </c>
      <c r="E1460">
        <v>129</v>
      </c>
      <c r="F1460">
        <v>10</v>
      </c>
      <c r="G1460">
        <v>0</v>
      </c>
      <c r="H1460">
        <v>372</v>
      </c>
      <c r="I1460" s="1">
        <v>45139</v>
      </c>
      <c r="J1460">
        <v>10</v>
      </c>
      <c r="K1460" t="s">
        <v>23</v>
      </c>
    </row>
    <row r="1461" spans="1:11">
      <c r="A1461" s="1">
        <v>45169</v>
      </c>
      <c r="B1461" t="s">
        <v>21</v>
      </c>
      <c r="C1461" t="s">
        <v>43</v>
      </c>
      <c r="D1461">
        <v>998</v>
      </c>
      <c r="E1461">
        <v>479</v>
      </c>
      <c r="F1461">
        <v>60</v>
      </c>
      <c r="G1461">
        <v>0</v>
      </c>
      <c r="H1461">
        <v>1537</v>
      </c>
      <c r="I1461" s="1">
        <v>45139</v>
      </c>
      <c r="J1461">
        <v>60</v>
      </c>
      <c r="K1461" t="s">
        <v>23</v>
      </c>
    </row>
    <row r="1462" spans="1:11">
      <c r="A1462" s="1">
        <v>45169</v>
      </c>
      <c r="B1462" t="s">
        <v>21</v>
      </c>
      <c r="C1462" t="s">
        <v>49</v>
      </c>
      <c r="D1462">
        <v>606</v>
      </c>
      <c r="E1462">
        <v>310</v>
      </c>
      <c r="F1462">
        <v>82</v>
      </c>
      <c r="G1462">
        <v>0</v>
      </c>
      <c r="H1462">
        <v>998</v>
      </c>
      <c r="I1462" s="1">
        <v>45139</v>
      </c>
      <c r="J1462">
        <v>82</v>
      </c>
      <c r="K1462" t="s">
        <v>23</v>
      </c>
    </row>
    <row r="1463" spans="1:11">
      <c r="A1463" s="1">
        <v>45197</v>
      </c>
      <c r="B1463" t="s">
        <v>40</v>
      </c>
      <c r="C1463" t="s">
        <v>30</v>
      </c>
      <c r="D1463">
        <v>2390</v>
      </c>
      <c r="E1463">
        <v>116</v>
      </c>
      <c r="F1463">
        <v>14</v>
      </c>
      <c r="G1463">
        <v>0</v>
      </c>
      <c r="H1463">
        <v>2520</v>
      </c>
      <c r="I1463" s="1">
        <v>45170</v>
      </c>
      <c r="J1463">
        <v>14</v>
      </c>
      <c r="K1463" t="s">
        <v>23</v>
      </c>
    </row>
    <row r="1464" spans="1:11">
      <c r="A1464" s="1">
        <v>45197</v>
      </c>
      <c r="B1464" t="s">
        <v>21</v>
      </c>
      <c r="C1464" t="s">
        <v>41</v>
      </c>
      <c r="D1464">
        <v>870</v>
      </c>
      <c r="E1464">
        <v>490</v>
      </c>
      <c r="F1464">
        <v>28</v>
      </c>
      <c r="G1464">
        <v>0</v>
      </c>
      <c r="H1464">
        <v>1389</v>
      </c>
      <c r="I1464" s="1">
        <v>45170</v>
      </c>
      <c r="J1464">
        <v>28</v>
      </c>
      <c r="K1464" t="s">
        <v>23</v>
      </c>
    </row>
    <row r="1465" spans="1:11">
      <c r="A1465" s="1">
        <v>45197</v>
      </c>
      <c r="B1465" t="s">
        <v>21</v>
      </c>
      <c r="C1465" t="s">
        <v>28</v>
      </c>
      <c r="D1465">
        <v>229</v>
      </c>
      <c r="E1465">
        <v>137</v>
      </c>
      <c r="F1465">
        <v>19</v>
      </c>
      <c r="G1465">
        <v>0</v>
      </c>
      <c r="H1465">
        <v>386</v>
      </c>
      <c r="I1465" s="1">
        <v>45170</v>
      </c>
      <c r="J1465">
        <v>19</v>
      </c>
      <c r="K1465" t="s">
        <v>23</v>
      </c>
    </row>
    <row r="1466" spans="1:11">
      <c r="A1466" s="1">
        <v>45197</v>
      </c>
      <c r="B1466" t="s">
        <v>21</v>
      </c>
      <c r="C1466" t="s">
        <v>43</v>
      </c>
      <c r="D1466">
        <v>888</v>
      </c>
      <c r="E1466">
        <v>564</v>
      </c>
      <c r="F1466">
        <v>28</v>
      </c>
      <c r="G1466">
        <v>0</v>
      </c>
      <c r="H1466">
        <v>1481</v>
      </c>
      <c r="I1466" s="1">
        <v>45170</v>
      </c>
      <c r="J1466">
        <v>28</v>
      </c>
      <c r="K1466" t="s">
        <v>23</v>
      </c>
    </row>
    <row r="1467" spans="1:11">
      <c r="A1467" s="1">
        <v>45197</v>
      </c>
      <c r="B1467" t="s">
        <v>21</v>
      </c>
      <c r="C1467" t="s">
        <v>49</v>
      </c>
      <c r="D1467">
        <v>618</v>
      </c>
      <c r="E1467">
        <v>294</v>
      </c>
      <c r="F1467">
        <v>79</v>
      </c>
      <c r="G1467">
        <v>0</v>
      </c>
      <c r="H1467">
        <v>992</v>
      </c>
      <c r="I1467" s="1">
        <v>45170</v>
      </c>
      <c r="J1467">
        <v>79</v>
      </c>
      <c r="K1467" t="s">
        <v>23</v>
      </c>
    </row>
    <row r="1468" spans="1:11">
      <c r="A1468" s="1">
        <v>45225</v>
      </c>
      <c r="B1468" t="s">
        <v>40</v>
      </c>
      <c r="C1468" t="s">
        <v>30</v>
      </c>
      <c r="D1468">
        <v>2079</v>
      </c>
      <c r="E1468">
        <v>77</v>
      </c>
      <c r="F1468">
        <v>10</v>
      </c>
      <c r="G1468">
        <v>0</v>
      </c>
      <c r="H1468">
        <v>2166</v>
      </c>
      <c r="I1468" s="1">
        <v>45200</v>
      </c>
      <c r="J1468">
        <v>10</v>
      </c>
      <c r="K1468" t="s">
        <v>23</v>
      </c>
    </row>
    <row r="1469" spans="1:11">
      <c r="A1469" s="1">
        <v>45225</v>
      </c>
      <c r="B1469" t="s">
        <v>21</v>
      </c>
      <c r="C1469" t="s">
        <v>41</v>
      </c>
      <c r="D1469">
        <v>770</v>
      </c>
      <c r="E1469">
        <v>355</v>
      </c>
      <c r="F1469">
        <v>23</v>
      </c>
      <c r="G1469">
        <v>0</v>
      </c>
      <c r="H1469">
        <v>1149</v>
      </c>
      <c r="I1469" s="1">
        <v>45200</v>
      </c>
      <c r="J1469">
        <v>23</v>
      </c>
      <c r="K1469" t="s">
        <v>23</v>
      </c>
    </row>
    <row r="1470" spans="1:11">
      <c r="A1470" s="1">
        <v>45225</v>
      </c>
      <c r="B1470" t="s">
        <v>21</v>
      </c>
      <c r="C1470" t="s">
        <v>43</v>
      </c>
      <c r="D1470">
        <v>866</v>
      </c>
      <c r="E1470">
        <v>537</v>
      </c>
      <c r="F1470">
        <v>11</v>
      </c>
      <c r="G1470">
        <v>0</v>
      </c>
      <c r="H1470">
        <v>1414</v>
      </c>
      <c r="I1470" s="1">
        <v>45200</v>
      </c>
      <c r="J1470">
        <v>11</v>
      </c>
      <c r="K1470" t="s">
        <v>23</v>
      </c>
    </row>
    <row r="1471" spans="1:11">
      <c r="A1471" s="1">
        <v>45225</v>
      </c>
      <c r="B1471" t="s">
        <v>21</v>
      </c>
      <c r="C1471" t="s">
        <v>49</v>
      </c>
      <c r="D1471">
        <v>583</v>
      </c>
      <c r="E1471">
        <v>359</v>
      </c>
      <c r="F1471">
        <v>84</v>
      </c>
      <c r="G1471">
        <v>0</v>
      </c>
      <c r="H1471">
        <v>1026</v>
      </c>
      <c r="I1471" s="1">
        <v>45200</v>
      </c>
      <c r="J1471">
        <v>84</v>
      </c>
      <c r="K1471" t="s">
        <v>23</v>
      </c>
    </row>
    <row r="1472" spans="1:11">
      <c r="A1472" s="1">
        <v>45260</v>
      </c>
      <c r="B1472" t="s">
        <v>40</v>
      </c>
      <c r="C1472" t="s">
        <v>55</v>
      </c>
      <c r="D1472">
        <v>4562</v>
      </c>
      <c r="E1472">
        <v>201</v>
      </c>
      <c r="F1472">
        <v>86</v>
      </c>
      <c r="G1472">
        <v>0</v>
      </c>
      <c r="H1472">
        <v>4849</v>
      </c>
      <c r="I1472" s="1">
        <v>45231</v>
      </c>
      <c r="J1472">
        <v>86</v>
      </c>
      <c r="K1472" t="s">
        <v>23</v>
      </c>
    </row>
    <row r="1473" spans="1:11">
      <c r="A1473" s="1">
        <v>45260</v>
      </c>
      <c r="B1473" t="s">
        <v>40</v>
      </c>
      <c r="C1473" t="s">
        <v>30</v>
      </c>
      <c r="D1473">
        <v>2045</v>
      </c>
      <c r="E1473">
        <v>67</v>
      </c>
      <c r="F1473">
        <v>7</v>
      </c>
      <c r="G1473">
        <v>0</v>
      </c>
      <c r="H1473">
        <v>2119</v>
      </c>
      <c r="I1473" s="1">
        <v>45231</v>
      </c>
      <c r="J1473">
        <v>7</v>
      </c>
      <c r="K1473" t="s">
        <v>23</v>
      </c>
    </row>
    <row r="1474" spans="1:11">
      <c r="A1474" s="1">
        <v>45260</v>
      </c>
      <c r="B1474" t="s">
        <v>40</v>
      </c>
      <c r="C1474" t="s">
        <v>43</v>
      </c>
      <c r="D1474">
        <v>8062</v>
      </c>
      <c r="E1474">
        <v>2340</v>
      </c>
      <c r="F1474">
        <v>253</v>
      </c>
      <c r="G1474">
        <v>0</v>
      </c>
      <c r="H1474">
        <v>10656</v>
      </c>
      <c r="I1474" s="1">
        <v>45231</v>
      </c>
      <c r="J1474">
        <v>253</v>
      </c>
      <c r="K1474" t="s">
        <v>23</v>
      </c>
    </row>
    <row r="1475" spans="1:11">
      <c r="A1475" s="1">
        <v>45260</v>
      </c>
      <c r="B1475" t="s">
        <v>21</v>
      </c>
      <c r="C1475" t="s">
        <v>41</v>
      </c>
      <c r="D1475">
        <v>859</v>
      </c>
      <c r="E1475">
        <v>220</v>
      </c>
      <c r="F1475">
        <v>10</v>
      </c>
      <c r="G1475">
        <v>0</v>
      </c>
      <c r="H1475">
        <v>1089</v>
      </c>
      <c r="I1475" s="1">
        <v>45231</v>
      </c>
      <c r="J1475">
        <v>10</v>
      </c>
      <c r="K1475" t="s">
        <v>23</v>
      </c>
    </row>
    <row r="1476" spans="1:11">
      <c r="A1476" s="1">
        <v>45260</v>
      </c>
      <c r="B1476" t="s">
        <v>21</v>
      </c>
      <c r="C1476" t="s">
        <v>43</v>
      </c>
      <c r="D1476">
        <v>810</v>
      </c>
      <c r="E1476">
        <v>469</v>
      </c>
      <c r="F1476">
        <v>16</v>
      </c>
      <c r="G1476">
        <v>0</v>
      </c>
      <c r="H1476">
        <v>1294</v>
      </c>
      <c r="I1476" s="1">
        <v>45231</v>
      </c>
      <c r="J1476">
        <v>16</v>
      </c>
      <c r="K1476" t="s">
        <v>23</v>
      </c>
    </row>
    <row r="1477" spans="1:11">
      <c r="A1477" s="1">
        <v>45260</v>
      </c>
      <c r="B1477" t="s">
        <v>21</v>
      </c>
      <c r="C1477" t="s">
        <v>32</v>
      </c>
      <c r="D1477">
        <v>317</v>
      </c>
      <c r="E1477">
        <v>43</v>
      </c>
      <c r="F1477">
        <v>5</v>
      </c>
      <c r="G1477">
        <v>0</v>
      </c>
      <c r="H1477">
        <v>365</v>
      </c>
      <c r="I1477" s="1">
        <v>45231</v>
      </c>
      <c r="J1477">
        <v>5</v>
      </c>
      <c r="K1477" t="s">
        <v>23</v>
      </c>
    </row>
    <row r="1478" spans="1:11">
      <c r="A1478" s="1">
        <v>45288</v>
      </c>
      <c r="B1478" t="s">
        <v>40</v>
      </c>
      <c r="C1478" t="s">
        <v>43</v>
      </c>
      <c r="D1478">
        <v>7940</v>
      </c>
      <c r="E1478">
        <v>2108</v>
      </c>
      <c r="F1478">
        <v>219</v>
      </c>
      <c r="G1478">
        <v>0</v>
      </c>
      <c r="H1478">
        <v>10268</v>
      </c>
      <c r="I1478" s="1">
        <v>45261</v>
      </c>
      <c r="J1478">
        <v>219</v>
      </c>
      <c r="K1478" t="s">
        <v>23</v>
      </c>
    </row>
    <row r="1479" spans="1:11">
      <c r="A1479" s="1">
        <v>45288</v>
      </c>
      <c r="B1479" t="s">
        <v>21</v>
      </c>
      <c r="C1479" t="s">
        <v>43</v>
      </c>
      <c r="D1479">
        <v>843</v>
      </c>
      <c r="E1479">
        <v>477</v>
      </c>
      <c r="F1479">
        <v>8</v>
      </c>
      <c r="G1479">
        <v>0</v>
      </c>
      <c r="H1479">
        <v>1328</v>
      </c>
      <c r="I1479" s="1">
        <v>45261</v>
      </c>
      <c r="J1479">
        <v>8</v>
      </c>
      <c r="K1479" t="s">
        <v>23</v>
      </c>
    </row>
    <row r="1480" spans="1:11">
      <c r="A1480" s="1">
        <v>45288</v>
      </c>
      <c r="B1480" t="s">
        <v>21</v>
      </c>
      <c r="C1480" t="s">
        <v>44</v>
      </c>
      <c r="D1480">
        <v>701</v>
      </c>
      <c r="E1480">
        <v>253</v>
      </c>
      <c r="F1480">
        <v>33</v>
      </c>
      <c r="G1480">
        <v>0</v>
      </c>
      <c r="H1480">
        <v>986</v>
      </c>
      <c r="I1480" s="1">
        <v>45261</v>
      </c>
      <c r="J1480">
        <v>33</v>
      </c>
      <c r="K1480" t="s">
        <v>23</v>
      </c>
    </row>
    <row r="1481" spans="1:11">
      <c r="A1481" s="1">
        <v>45288</v>
      </c>
      <c r="B1481" t="s">
        <v>21</v>
      </c>
      <c r="C1481" t="s">
        <v>49</v>
      </c>
      <c r="D1481">
        <v>593</v>
      </c>
      <c r="E1481">
        <v>374</v>
      </c>
      <c r="F1481">
        <v>89</v>
      </c>
      <c r="G1481">
        <v>0</v>
      </c>
      <c r="H1481">
        <v>1056</v>
      </c>
      <c r="I1481" s="1">
        <v>45261</v>
      </c>
      <c r="J1481">
        <v>89</v>
      </c>
      <c r="K1481" t="s">
        <v>23</v>
      </c>
    </row>
    <row r="1482" spans="1:11">
      <c r="A1482" s="1">
        <v>45316</v>
      </c>
      <c r="B1482" t="s">
        <v>40</v>
      </c>
      <c r="C1482" t="s">
        <v>43</v>
      </c>
      <c r="D1482">
        <v>8051</v>
      </c>
      <c r="E1482">
        <v>2143</v>
      </c>
      <c r="F1482">
        <v>228</v>
      </c>
      <c r="G1482">
        <v>0</v>
      </c>
      <c r="H1482">
        <v>10421</v>
      </c>
      <c r="I1482" s="1">
        <v>45292</v>
      </c>
      <c r="J1482">
        <v>228</v>
      </c>
      <c r="K1482" t="s">
        <v>23</v>
      </c>
    </row>
    <row r="1483" spans="1:11">
      <c r="A1483" s="1">
        <v>45316</v>
      </c>
      <c r="B1483" t="s">
        <v>40</v>
      </c>
      <c r="C1483" t="s">
        <v>38</v>
      </c>
      <c r="D1483">
        <v>2372</v>
      </c>
      <c r="E1483">
        <v>526</v>
      </c>
      <c r="F1483">
        <v>7</v>
      </c>
      <c r="G1483">
        <v>0</v>
      </c>
      <c r="H1483">
        <v>2905</v>
      </c>
      <c r="I1483" s="1">
        <v>45292</v>
      </c>
      <c r="J1483">
        <v>7</v>
      </c>
      <c r="K1483" t="s">
        <v>23</v>
      </c>
    </row>
    <row r="1484" spans="1:11">
      <c r="A1484" s="1">
        <v>45316</v>
      </c>
      <c r="B1484" t="s">
        <v>21</v>
      </c>
      <c r="C1484" t="s">
        <v>48</v>
      </c>
      <c r="D1484">
        <v>45</v>
      </c>
      <c r="E1484">
        <v>6</v>
      </c>
      <c r="F1484">
        <v>1</v>
      </c>
      <c r="G1484">
        <v>0</v>
      </c>
      <c r="H1484">
        <v>52</v>
      </c>
      <c r="I1484" s="1">
        <v>45292</v>
      </c>
      <c r="J1484">
        <v>1</v>
      </c>
      <c r="K1484" t="s">
        <v>23</v>
      </c>
    </row>
    <row r="1485" spans="1:11">
      <c r="A1485" s="1">
        <v>45316</v>
      </c>
      <c r="B1485" t="s">
        <v>21</v>
      </c>
      <c r="C1485" t="s">
        <v>33</v>
      </c>
      <c r="D1485">
        <v>29</v>
      </c>
      <c r="E1485">
        <v>16</v>
      </c>
      <c r="F1485">
        <v>6</v>
      </c>
      <c r="G1485">
        <v>0</v>
      </c>
      <c r="H1485">
        <v>51</v>
      </c>
      <c r="I1485" s="1">
        <v>45292</v>
      </c>
      <c r="J1485">
        <v>6</v>
      </c>
      <c r="K1485" t="s">
        <v>23</v>
      </c>
    </row>
    <row r="1486" spans="1:11">
      <c r="A1486" s="1">
        <v>45316</v>
      </c>
      <c r="B1486" t="s">
        <v>21</v>
      </c>
      <c r="C1486" t="s">
        <v>43</v>
      </c>
      <c r="D1486">
        <v>875</v>
      </c>
      <c r="E1486">
        <v>391</v>
      </c>
      <c r="F1486">
        <v>14</v>
      </c>
      <c r="G1486">
        <v>0</v>
      </c>
      <c r="H1486">
        <v>1280</v>
      </c>
      <c r="I1486" s="1">
        <v>45292</v>
      </c>
      <c r="J1486">
        <v>14</v>
      </c>
      <c r="K1486" t="s">
        <v>23</v>
      </c>
    </row>
    <row r="1487" spans="1:11">
      <c r="A1487" s="1">
        <v>45316</v>
      </c>
      <c r="B1487" t="s">
        <v>21</v>
      </c>
      <c r="C1487" t="s">
        <v>44</v>
      </c>
      <c r="D1487">
        <v>712</v>
      </c>
      <c r="E1487">
        <v>251</v>
      </c>
      <c r="F1487">
        <v>42</v>
      </c>
      <c r="G1487">
        <v>0</v>
      </c>
      <c r="H1487">
        <v>1004</v>
      </c>
      <c r="I1487" s="1">
        <v>45292</v>
      </c>
      <c r="J1487">
        <v>42</v>
      </c>
      <c r="K1487" t="s">
        <v>23</v>
      </c>
    </row>
    <row r="1488" spans="1:11">
      <c r="A1488" s="1">
        <v>45316</v>
      </c>
      <c r="B1488" t="s">
        <v>21</v>
      </c>
      <c r="C1488" t="s">
        <v>49</v>
      </c>
      <c r="D1488">
        <v>577</v>
      </c>
      <c r="E1488">
        <v>364</v>
      </c>
      <c r="F1488">
        <v>112</v>
      </c>
      <c r="G1488">
        <v>0</v>
      </c>
      <c r="H1488">
        <v>1053</v>
      </c>
      <c r="I1488" s="1">
        <v>45292</v>
      </c>
      <c r="J1488">
        <v>112</v>
      </c>
      <c r="K1488" t="s">
        <v>23</v>
      </c>
    </row>
    <row r="1489" spans="1:11">
      <c r="A1489" s="1">
        <v>45351</v>
      </c>
      <c r="B1489" t="s">
        <v>40</v>
      </c>
      <c r="C1489" t="s">
        <v>41</v>
      </c>
      <c r="D1489">
        <v>5315</v>
      </c>
      <c r="E1489">
        <v>2016</v>
      </c>
      <c r="F1489">
        <v>55</v>
      </c>
      <c r="G1489">
        <v>0</v>
      </c>
      <c r="H1489">
        <v>7386</v>
      </c>
      <c r="I1489" s="1">
        <v>45323</v>
      </c>
      <c r="J1489">
        <v>55</v>
      </c>
      <c r="K1489" t="s">
        <v>23</v>
      </c>
    </row>
    <row r="1490" spans="1:11">
      <c r="A1490" s="1">
        <v>45351</v>
      </c>
      <c r="B1490" t="s">
        <v>40</v>
      </c>
      <c r="C1490" t="s">
        <v>43</v>
      </c>
      <c r="D1490">
        <v>8115</v>
      </c>
      <c r="E1490">
        <v>2151</v>
      </c>
      <c r="F1490">
        <v>238</v>
      </c>
      <c r="G1490">
        <v>0</v>
      </c>
      <c r="H1490">
        <v>10504</v>
      </c>
      <c r="I1490" s="1">
        <v>45323</v>
      </c>
      <c r="J1490">
        <v>238</v>
      </c>
      <c r="K1490" t="s">
        <v>23</v>
      </c>
    </row>
    <row r="1491" spans="1:11">
      <c r="A1491" s="1">
        <v>45351</v>
      </c>
      <c r="B1491" t="s">
        <v>21</v>
      </c>
      <c r="C1491" t="s">
        <v>48</v>
      </c>
      <c r="D1491">
        <v>51</v>
      </c>
      <c r="E1491">
        <v>6</v>
      </c>
      <c r="F1491">
        <v>1</v>
      </c>
      <c r="G1491">
        <v>0</v>
      </c>
      <c r="H1491">
        <v>58</v>
      </c>
      <c r="I1491" s="1">
        <v>45323</v>
      </c>
      <c r="J1491">
        <v>1</v>
      </c>
      <c r="K1491" t="s">
        <v>23</v>
      </c>
    </row>
    <row r="1492" spans="1:11">
      <c r="A1492" s="1">
        <v>45351</v>
      </c>
      <c r="B1492" t="s">
        <v>21</v>
      </c>
      <c r="C1492" t="s">
        <v>41</v>
      </c>
      <c r="D1492">
        <v>846</v>
      </c>
      <c r="E1492">
        <v>278</v>
      </c>
      <c r="F1492">
        <v>7</v>
      </c>
      <c r="G1492">
        <v>0</v>
      </c>
      <c r="H1492">
        <v>1131</v>
      </c>
      <c r="I1492" s="1">
        <v>45323</v>
      </c>
      <c r="J1492">
        <v>7</v>
      </c>
      <c r="K1492" t="s">
        <v>23</v>
      </c>
    </row>
    <row r="1493" spans="1:11">
      <c r="A1493" s="1">
        <v>45351</v>
      </c>
      <c r="B1493" t="s">
        <v>21</v>
      </c>
      <c r="C1493" t="s">
        <v>33</v>
      </c>
      <c r="D1493">
        <v>33</v>
      </c>
      <c r="E1493">
        <v>15</v>
      </c>
      <c r="F1493">
        <v>6</v>
      </c>
      <c r="G1493">
        <v>0</v>
      </c>
      <c r="H1493">
        <v>54</v>
      </c>
      <c r="I1493" s="1">
        <v>45323</v>
      </c>
      <c r="J1493">
        <v>6</v>
      </c>
      <c r="K1493" t="s">
        <v>23</v>
      </c>
    </row>
    <row r="1494" spans="1:11">
      <c r="A1494" s="1">
        <v>45351</v>
      </c>
      <c r="B1494" t="s">
        <v>21</v>
      </c>
      <c r="C1494" t="s">
        <v>37</v>
      </c>
      <c r="D1494">
        <v>31</v>
      </c>
      <c r="E1494">
        <v>10</v>
      </c>
      <c r="F1494">
        <v>3</v>
      </c>
      <c r="G1494">
        <v>0</v>
      </c>
      <c r="H1494">
        <v>43</v>
      </c>
      <c r="I1494" s="1">
        <v>45323</v>
      </c>
      <c r="J1494">
        <v>3</v>
      </c>
      <c r="K1494" t="s">
        <v>23</v>
      </c>
    </row>
    <row r="1495" spans="1:11">
      <c r="A1495" s="1">
        <v>45351</v>
      </c>
      <c r="B1495" t="s">
        <v>21</v>
      </c>
      <c r="C1495" t="s">
        <v>43</v>
      </c>
      <c r="D1495">
        <v>985</v>
      </c>
      <c r="E1495">
        <v>264</v>
      </c>
      <c r="F1495">
        <v>22</v>
      </c>
      <c r="G1495">
        <v>0</v>
      </c>
      <c r="H1495">
        <v>1271</v>
      </c>
      <c r="I1495" s="1">
        <v>45323</v>
      </c>
      <c r="J1495">
        <v>22</v>
      </c>
      <c r="K1495" t="s">
        <v>23</v>
      </c>
    </row>
    <row r="1496" spans="1:11">
      <c r="A1496" s="1">
        <v>45351</v>
      </c>
      <c r="B1496" t="s">
        <v>21</v>
      </c>
      <c r="C1496" t="s">
        <v>38</v>
      </c>
      <c r="D1496">
        <v>42</v>
      </c>
      <c r="E1496">
        <v>19</v>
      </c>
      <c r="F1496">
        <v>1</v>
      </c>
      <c r="G1496">
        <v>0</v>
      </c>
      <c r="H1496">
        <v>62</v>
      </c>
      <c r="I1496" s="1">
        <v>45323</v>
      </c>
      <c r="J1496">
        <v>1</v>
      </c>
      <c r="K1496" t="s">
        <v>23</v>
      </c>
    </row>
    <row r="1497" spans="1:11">
      <c r="A1497" s="1">
        <v>45351</v>
      </c>
      <c r="B1497" t="s">
        <v>21</v>
      </c>
      <c r="C1497" t="s">
        <v>49</v>
      </c>
      <c r="D1497">
        <v>617</v>
      </c>
      <c r="E1497">
        <v>342</v>
      </c>
      <c r="F1497">
        <v>107</v>
      </c>
      <c r="G1497">
        <v>0</v>
      </c>
      <c r="H1497">
        <v>1066</v>
      </c>
      <c r="I1497" s="1">
        <v>45323</v>
      </c>
      <c r="J1497">
        <v>107</v>
      </c>
      <c r="K1497" t="s">
        <v>23</v>
      </c>
    </row>
    <row r="1498" spans="1:11">
      <c r="A1498" s="1">
        <v>45379</v>
      </c>
      <c r="B1498" t="s">
        <v>40</v>
      </c>
      <c r="C1498" t="s">
        <v>38</v>
      </c>
      <c r="D1498">
        <v>2570</v>
      </c>
      <c r="E1498">
        <v>609</v>
      </c>
      <c r="F1498">
        <v>60</v>
      </c>
      <c r="G1498">
        <v>0</v>
      </c>
      <c r="H1498">
        <v>3239</v>
      </c>
      <c r="I1498" s="1">
        <v>45352</v>
      </c>
      <c r="J1498">
        <v>60</v>
      </c>
      <c r="K1498" t="s">
        <v>23</v>
      </c>
    </row>
    <row r="1499" spans="1:11">
      <c r="A1499" s="1">
        <v>45379</v>
      </c>
      <c r="B1499" t="s">
        <v>21</v>
      </c>
      <c r="C1499" t="s">
        <v>48</v>
      </c>
      <c r="D1499">
        <v>47</v>
      </c>
      <c r="E1499">
        <v>8</v>
      </c>
      <c r="F1499">
        <v>3</v>
      </c>
      <c r="G1499">
        <v>0</v>
      </c>
      <c r="H1499">
        <v>58</v>
      </c>
      <c r="I1499" s="1">
        <v>45352</v>
      </c>
      <c r="J1499">
        <v>3</v>
      </c>
      <c r="K1499" t="s">
        <v>23</v>
      </c>
    </row>
    <row r="1500" spans="1:11">
      <c r="A1500" s="1">
        <v>45379</v>
      </c>
      <c r="B1500" t="s">
        <v>21</v>
      </c>
      <c r="C1500" t="s">
        <v>33</v>
      </c>
      <c r="D1500">
        <v>31</v>
      </c>
      <c r="E1500">
        <v>13</v>
      </c>
      <c r="F1500">
        <v>5</v>
      </c>
      <c r="G1500">
        <v>0</v>
      </c>
      <c r="H1500">
        <v>49</v>
      </c>
      <c r="I1500" s="1">
        <v>45352</v>
      </c>
      <c r="J1500">
        <v>5</v>
      </c>
      <c r="K1500" t="s">
        <v>23</v>
      </c>
    </row>
    <row r="1501" spans="1:11">
      <c r="A1501" s="1">
        <v>45379</v>
      </c>
      <c r="B1501" t="s">
        <v>21</v>
      </c>
      <c r="C1501" t="s">
        <v>37</v>
      </c>
      <c r="D1501">
        <v>31</v>
      </c>
      <c r="E1501">
        <v>6</v>
      </c>
      <c r="F1501">
        <v>6</v>
      </c>
      <c r="G1501">
        <v>0</v>
      </c>
      <c r="H1501">
        <v>42</v>
      </c>
      <c r="I1501" s="1">
        <v>45352</v>
      </c>
      <c r="J1501">
        <v>6</v>
      </c>
      <c r="K1501" t="s">
        <v>23</v>
      </c>
    </row>
    <row r="1502" spans="1:11">
      <c r="A1502" s="1">
        <v>45379</v>
      </c>
      <c r="B1502" t="s">
        <v>21</v>
      </c>
      <c r="C1502" t="s">
        <v>43</v>
      </c>
      <c r="D1502">
        <v>1010</v>
      </c>
      <c r="E1502">
        <v>272</v>
      </c>
      <c r="F1502">
        <v>38</v>
      </c>
      <c r="G1502">
        <v>0</v>
      </c>
      <c r="H1502">
        <v>1320</v>
      </c>
      <c r="I1502" s="1">
        <v>45352</v>
      </c>
      <c r="J1502">
        <v>38</v>
      </c>
      <c r="K1502" t="s">
        <v>23</v>
      </c>
    </row>
    <row r="1503" spans="1:11">
      <c r="A1503" s="1">
        <v>45379</v>
      </c>
      <c r="B1503" t="s">
        <v>21</v>
      </c>
      <c r="C1503" t="s">
        <v>35</v>
      </c>
      <c r="D1503">
        <v>8</v>
      </c>
      <c r="E1503">
        <v>3</v>
      </c>
      <c r="F1503">
        <v>3</v>
      </c>
      <c r="G1503">
        <v>0</v>
      </c>
      <c r="H1503">
        <v>13</v>
      </c>
      <c r="I1503" s="1">
        <v>45352</v>
      </c>
      <c r="J1503">
        <v>3</v>
      </c>
      <c r="K1503" t="s">
        <v>23</v>
      </c>
    </row>
    <row r="1504" spans="1:11">
      <c r="A1504" s="1">
        <v>45379</v>
      </c>
      <c r="B1504" t="s">
        <v>21</v>
      </c>
      <c r="C1504" t="s">
        <v>46</v>
      </c>
      <c r="D1504">
        <v>367</v>
      </c>
      <c r="E1504">
        <v>41</v>
      </c>
      <c r="F1504">
        <v>10</v>
      </c>
      <c r="G1504">
        <v>0</v>
      </c>
      <c r="H1504">
        <v>418</v>
      </c>
      <c r="I1504" s="1">
        <v>45352</v>
      </c>
      <c r="J1504">
        <v>10</v>
      </c>
      <c r="K1504" t="s">
        <v>23</v>
      </c>
    </row>
    <row r="1505" spans="1:11">
      <c r="A1505" s="1">
        <v>45407</v>
      </c>
      <c r="B1505" t="s">
        <v>40</v>
      </c>
      <c r="C1505" t="s">
        <v>55</v>
      </c>
      <c r="D1505">
        <v>4838</v>
      </c>
      <c r="E1505">
        <v>244</v>
      </c>
      <c r="F1505">
        <v>19</v>
      </c>
      <c r="G1505">
        <v>0</v>
      </c>
      <c r="H1505">
        <v>5101</v>
      </c>
      <c r="I1505" s="1">
        <v>45383</v>
      </c>
      <c r="J1505">
        <v>19</v>
      </c>
      <c r="K1505" t="s">
        <v>23</v>
      </c>
    </row>
    <row r="1506" spans="1:11">
      <c r="A1506" s="1">
        <v>45407</v>
      </c>
      <c r="B1506" t="s">
        <v>40</v>
      </c>
      <c r="C1506" t="s">
        <v>30</v>
      </c>
      <c r="D1506">
        <v>2253</v>
      </c>
      <c r="E1506">
        <v>56</v>
      </c>
      <c r="F1506">
        <v>3</v>
      </c>
      <c r="G1506">
        <v>0</v>
      </c>
      <c r="H1506">
        <v>2311</v>
      </c>
      <c r="I1506" s="1">
        <v>45383</v>
      </c>
      <c r="J1506">
        <v>3</v>
      </c>
      <c r="K1506" t="s">
        <v>23</v>
      </c>
    </row>
    <row r="1507" spans="1:11">
      <c r="A1507" s="1">
        <v>45407</v>
      </c>
      <c r="B1507" t="s">
        <v>40</v>
      </c>
      <c r="C1507" t="s">
        <v>42</v>
      </c>
      <c r="D1507">
        <v>1449</v>
      </c>
      <c r="E1507">
        <v>393</v>
      </c>
      <c r="F1507">
        <v>3</v>
      </c>
      <c r="G1507">
        <v>0</v>
      </c>
      <c r="H1507">
        <v>1845</v>
      </c>
      <c r="I1507" s="1">
        <v>45383</v>
      </c>
      <c r="J1507">
        <v>3</v>
      </c>
      <c r="K1507" t="s">
        <v>23</v>
      </c>
    </row>
    <row r="1508" spans="1:11">
      <c r="A1508" s="1">
        <v>45407</v>
      </c>
      <c r="B1508" t="s">
        <v>40</v>
      </c>
      <c r="C1508" t="s">
        <v>43</v>
      </c>
      <c r="D1508">
        <v>8387</v>
      </c>
      <c r="E1508">
        <v>2058</v>
      </c>
      <c r="F1508">
        <v>260</v>
      </c>
      <c r="G1508">
        <v>0</v>
      </c>
      <c r="H1508">
        <v>10704</v>
      </c>
      <c r="I1508" s="1">
        <v>45383</v>
      </c>
      <c r="J1508">
        <v>260</v>
      </c>
      <c r="K1508" t="s">
        <v>23</v>
      </c>
    </row>
    <row r="1509" spans="1:11">
      <c r="A1509" s="1">
        <v>45407</v>
      </c>
      <c r="B1509" t="s">
        <v>40</v>
      </c>
      <c r="C1509" t="s">
        <v>38</v>
      </c>
      <c r="D1509">
        <v>2603</v>
      </c>
      <c r="E1509">
        <v>615</v>
      </c>
      <c r="F1509">
        <v>95</v>
      </c>
      <c r="G1509">
        <v>0</v>
      </c>
      <c r="H1509">
        <v>3313</v>
      </c>
      <c r="I1509" s="1">
        <v>45383</v>
      </c>
      <c r="J1509">
        <v>95</v>
      </c>
      <c r="K1509" t="s">
        <v>23</v>
      </c>
    </row>
    <row r="1510" spans="1:11">
      <c r="A1510" s="1">
        <v>45407</v>
      </c>
      <c r="B1510" t="s">
        <v>40</v>
      </c>
      <c r="C1510" t="s">
        <v>24</v>
      </c>
      <c r="D1510">
        <v>427</v>
      </c>
      <c r="E1510">
        <v>260</v>
      </c>
      <c r="F1510">
        <v>40</v>
      </c>
      <c r="G1510">
        <v>0</v>
      </c>
      <c r="H1510">
        <v>727</v>
      </c>
      <c r="I1510" s="1">
        <v>45383</v>
      </c>
      <c r="J1510">
        <v>40</v>
      </c>
      <c r="K1510" t="s">
        <v>23</v>
      </c>
    </row>
    <row r="1511" spans="1:11">
      <c r="A1511" s="1">
        <v>45407</v>
      </c>
      <c r="B1511" t="s">
        <v>21</v>
      </c>
      <c r="C1511" t="s">
        <v>48</v>
      </c>
      <c r="D1511">
        <v>55</v>
      </c>
      <c r="E1511">
        <v>5</v>
      </c>
      <c r="F1511">
        <v>3</v>
      </c>
      <c r="G1511">
        <v>0</v>
      </c>
      <c r="H1511">
        <v>64</v>
      </c>
      <c r="I1511" s="1">
        <v>45383</v>
      </c>
      <c r="J1511">
        <v>3</v>
      </c>
      <c r="K1511" t="s">
        <v>23</v>
      </c>
    </row>
    <row r="1512" spans="1:11">
      <c r="A1512" s="1">
        <v>45407</v>
      </c>
      <c r="B1512" t="s">
        <v>21</v>
      </c>
      <c r="C1512" t="s">
        <v>33</v>
      </c>
      <c r="D1512">
        <v>30</v>
      </c>
      <c r="E1512">
        <v>14</v>
      </c>
      <c r="F1512">
        <v>6</v>
      </c>
      <c r="G1512">
        <v>0</v>
      </c>
      <c r="H1512">
        <v>50</v>
      </c>
      <c r="I1512" s="1">
        <v>45383</v>
      </c>
      <c r="J1512">
        <v>6</v>
      </c>
      <c r="K1512" t="s">
        <v>23</v>
      </c>
    </row>
    <row r="1513" spans="1:11">
      <c r="A1513" s="1">
        <v>45407</v>
      </c>
      <c r="B1513" t="s">
        <v>21</v>
      </c>
      <c r="C1513" t="s">
        <v>43</v>
      </c>
      <c r="D1513">
        <v>1053</v>
      </c>
      <c r="E1513">
        <v>276</v>
      </c>
      <c r="F1513">
        <v>37</v>
      </c>
      <c r="G1513">
        <v>0</v>
      </c>
      <c r="H1513">
        <v>1366</v>
      </c>
      <c r="I1513" s="1">
        <v>45383</v>
      </c>
      <c r="J1513">
        <v>37</v>
      </c>
      <c r="K1513" t="s">
        <v>23</v>
      </c>
    </row>
    <row r="1514" spans="1:11">
      <c r="A1514" s="1">
        <v>45407</v>
      </c>
      <c r="B1514" t="s">
        <v>21</v>
      </c>
      <c r="C1514" t="s">
        <v>46</v>
      </c>
      <c r="D1514">
        <v>393</v>
      </c>
      <c r="E1514">
        <v>36</v>
      </c>
      <c r="F1514">
        <v>20</v>
      </c>
      <c r="G1514">
        <v>0</v>
      </c>
      <c r="H1514">
        <v>449</v>
      </c>
      <c r="I1514" s="1">
        <v>45383</v>
      </c>
      <c r="J1514">
        <v>20</v>
      </c>
      <c r="K1514" t="s">
        <v>23</v>
      </c>
    </row>
    <row r="1515" spans="1:11">
      <c r="A1515" s="1">
        <v>45407</v>
      </c>
      <c r="B1515" t="s">
        <v>21</v>
      </c>
      <c r="C1515" t="s">
        <v>49</v>
      </c>
      <c r="D1515">
        <v>675</v>
      </c>
      <c r="E1515">
        <v>284</v>
      </c>
      <c r="F1515">
        <v>96</v>
      </c>
      <c r="G1515">
        <v>0</v>
      </c>
      <c r="H1515">
        <v>1055</v>
      </c>
      <c r="I1515" s="1">
        <v>45383</v>
      </c>
      <c r="J1515">
        <v>96</v>
      </c>
      <c r="K1515" t="s">
        <v>23</v>
      </c>
    </row>
    <row r="1516" spans="1:11">
      <c r="A1516" s="1">
        <v>45442</v>
      </c>
      <c r="B1516" t="s">
        <v>40</v>
      </c>
      <c r="C1516" t="s">
        <v>50</v>
      </c>
      <c r="D1516">
        <v>793</v>
      </c>
      <c r="E1516">
        <v>99</v>
      </c>
      <c r="F1516">
        <v>14</v>
      </c>
      <c r="G1516">
        <v>0</v>
      </c>
      <c r="H1516">
        <v>905</v>
      </c>
      <c r="I1516" s="1">
        <v>45413</v>
      </c>
      <c r="J1516">
        <v>14</v>
      </c>
      <c r="K1516" t="s">
        <v>23</v>
      </c>
    </row>
    <row r="1517" spans="1:11">
      <c r="A1517" s="1">
        <v>45442</v>
      </c>
      <c r="B1517" t="s">
        <v>40</v>
      </c>
      <c r="C1517" t="s">
        <v>55</v>
      </c>
      <c r="D1517">
        <v>4771</v>
      </c>
      <c r="E1517">
        <v>292</v>
      </c>
      <c r="F1517">
        <v>18</v>
      </c>
      <c r="G1517">
        <v>0</v>
      </c>
      <c r="H1517">
        <v>5081</v>
      </c>
      <c r="I1517" s="1">
        <v>45413</v>
      </c>
      <c r="J1517">
        <v>18</v>
      </c>
      <c r="K1517" t="s">
        <v>23</v>
      </c>
    </row>
    <row r="1518" spans="1:11">
      <c r="A1518" s="1">
        <v>45442</v>
      </c>
      <c r="B1518" t="s">
        <v>40</v>
      </c>
      <c r="C1518" t="s">
        <v>30</v>
      </c>
      <c r="D1518">
        <v>2159</v>
      </c>
      <c r="E1518">
        <v>47</v>
      </c>
      <c r="F1518">
        <v>5</v>
      </c>
      <c r="G1518">
        <v>0</v>
      </c>
      <c r="H1518">
        <v>2211</v>
      </c>
      <c r="I1518" s="1">
        <v>45413</v>
      </c>
      <c r="J1518">
        <v>5</v>
      </c>
      <c r="K1518" t="s">
        <v>23</v>
      </c>
    </row>
    <row r="1519" spans="1:11">
      <c r="A1519" s="1">
        <v>45442</v>
      </c>
      <c r="B1519" t="s">
        <v>40</v>
      </c>
      <c r="C1519" t="s">
        <v>43</v>
      </c>
      <c r="D1519">
        <v>8859</v>
      </c>
      <c r="E1519">
        <v>2012</v>
      </c>
      <c r="F1519">
        <v>251</v>
      </c>
      <c r="G1519">
        <v>0</v>
      </c>
      <c r="H1519">
        <v>11122</v>
      </c>
      <c r="I1519" s="1">
        <v>45413</v>
      </c>
      <c r="J1519">
        <v>251</v>
      </c>
      <c r="K1519" t="s">
        <v>23</v>
      </c>
    </row>
    <row r="1520" spans="1:11">
      <c r="A1520" s="1">
        <v>45442</v>
      </c>
      <c r="B1520" t="s">
        <v>40</v>
      </c>
      <c r="C1520" t="s">
        <v>34</v>
      </c>
      <c r="D1520">
        <v>3741</v>
      </c>
      <c r="E1520">
        <v>808</v>
      </c>
      <c r="F1520">
        <v>1</v>
      </c>
      <c r="G1520">
        <v>0</v>
      </c>
      <c r="H1520">
        <v>4550</v>
      </c>
      <c r="I1520" s="1">
        <v>45413</v>
      </c>
      <c r="J1520">
        <v>1</v>
      </c>
      <c r="K1520" t="s">
        <v>23</v>
      </c>
    </row>
    <row r="1521" spans="1:11">
      <c r="A1521" s="1">
        <v>45442</v>
      </c>
      <c r="B1521" t="s">
        <v>40</v>
      </c>
      <c r="C1521" t="s">
        <v>24</v>
      </c>
      <c r="D1521">
        <v>378</v>
      </c>
      <c r="E1521">
        <v>268</v>
      </c>
      <c r="F1521">
        <v>58</v>
      </c>
      <c r="G1521">
        <v>0</v>
      </c>
      <c r="H1521">
        <v>703</v>
      </c>
      <c r="I1521" s="1">
        <v>45413</v>
      </c>
      <c r="J1521">
        <v>58</v>
      </c>
      <c r="K1521" t="s">
        <v>23</v>
      </c>
    </row>
    <row r="1522" spans="1:11">
      <c r="A1522" s="1">
        <v>45442</v>
      </c>
      <c r="B1522" t="s">
        <v>21</v>
      </c>
      <c r="C1522" t="s">
        <v>48</v>
      </c>
      <c r="D1522">
        <v>60</v>
      </c>
      <c r="E1522">
        <v>8</v>
      </c>
      <c r="F1522">
        <v>3</v>
      </c>
      <c r="G1522">
        <v>0</v>
      </c>
      <c r="H1522">
        <v>71</v>
      </c>
      <c r="I1522" s="1">
        <v>45413</v>
      </c>
      <c r="J1522">
        <v>3</v>
      </c>
      <c r="K1522" t="s">
        <v>23</v>
      </c>
    </row>
    <row r="1523" spans="1:11">
      <c r="A1523" s="1">
        <v>45442</v>
      </c>
      <c r="B1523" t="s">
        <v>21</v>
      </c>
      <c r="C1523" t="s">
        <v>33</v>
      </c>
      <c r="D1523">
        <v>27</v>
      </c>
      <c r="E1523">
        <v>14</v>
      </c>
      <c r="F1523">
        <v>7</v>
      </c>
      <c r="G1523">
        <v>0</v>
      </c>
      <c r="H1523">
        <v>47</v>
      </c>
      <c r="I1523" s="1">
        <v>45413</v>
      </c>
      <c r="J1523">
        <v>7</v>
      </c>
      <c r="K1523" t="s">
        <v>23</v>
      </c>
    </row>
    <row r="1524" spans="1:11">
      <c r="A1524" s="1">
        <v>45442</v>
      </c>
      <c r="B1524" t="s">
        <v>21</v>
      </c>
      <c r="C1524" t="s">
        <v>37</v>
      </c>
      <c r="D1524">
        <v>29</v>
      </c>
      <c r="E1524">
        <v>11</v>
      </c>
      <c r="F1524">
        <v>3</v>
      </c>
      <c r="G1524">
        <v>0</v>
      </c>
      <c r="H1524">
        <v>43</v>
      </c>
      <c r="I1524" s="1">
        <v>45413</v>
      </c>
      <c r="J1524">
        <v>3</v>
      </c>
      <c r="K1524" t="s">
        <v>23</v>
      </c>
    </row>
    <row r="1525" spans="1:11">
      <c r="A1525" s="1">
        <v>45442</v>
      </c>
      <c r="B1525" t="s">
        <v>21</v>
      </c>
      <c r="C1525" t="s">
        <v>43</v>
      </c>
      <c r="D1525">
        <v>1134</v>
      </c>
      <c r="E1525">
        <v>251</v>
      </c>
      <c r="F1525">
        <v>37</v>
      </c>
      <c r="G1525">
        <v>0</v>
      </c>
      <c r="H1525">
        <v>1422</v>
      </c>
      <c r="I1525" s="1">
        <v>45413</v>
      </c>
      <c r="J1525">
        <v>37</v>
      </c>
      <c r="K1525" t="s">
        <v>23</v>
      </c>
    </row>
    <row r="1526" spans="1:11">
      <c r="A1526" s="1">
        <v>45442</v>
      </c>
      <c r="B1526" t="s">
        <v>21</v>
      </c>
      <c r="C1526" t="s">
        <v>35</v>
      </c>
      <c r="D1526">
        <v>8</v>
      </c>
      <c r="E1526">
        <v>1</v>
      </c>
      <c r="F1526">
        <v>1</v>
      </c>
      <c r="G1526">
        <v>0</v>
      </c>
      <c r="H1526">
        <v>10</v>
      </c>
      <c r="I1526" s="1">
        <v>45413</v>
      </c>
      <c r="J1526">
        <v>1</v>
      </c>
      <c r="K1526" t="s">
        <v>23</v>
      </c>
    </row>
    <row r="1527" spans="1:11">
      <c r="A1527" s="1">
        <v>45442</v>
      </c>
      <c r="B1527" t="s">
        <v>21</v>
      </c>
      <c r="C1527" t="s">
        <v>46</v>
      </c>
      <c r="D1527">
        <v>418</v>
      </c>
      <c r="E1527">
        <v>34</v>
      </c>
      <c r="F1527">
        <v>19</v>
      </c>
      <c r="G1527">
        <v>0</v>
      </c>
      <c r="H1527">
        <v>471</v>
      </c>
      <c r="I1527" s="1">
        <v>45413</v>
      </c>
      <c r="J1527">
        <v>19</v>
      </c>
      <c r="K1527" t="s">
        <v>23</v>
      </c>
    </row>
    <row r="1528" spans="1:11">
      <c r="A1528" s="1">
        <v>45442</v>
      </c>
      <c r="B1528" t="s">
        <v>21</v>
      </c>
      <c r="C1528" t="s">
        <v>32</v>
      </c>
      <c r="D1528">
        <v>298</v>
      </c>
      <c r="E1528">
        <v>47</v>
      </c>
      <c r="F1528">
        <v>3</v>
      </c>
      <c r="G1528">
        <v>0</v>
      </c>
      <c r="H1528">
        <v>347</v>
      </c>
      <c r="I1528" s="1">
        <v>45413</v>
      </c>
      <c r="J1528">
        <v>3</v>
      </c>
      <c r="K1528" t="s">
        <v>23</v>
      </c>
    </row>
    <row r="1529" spans="1:11">
      <c r="A1529" s="1">
        <v>45442</v>
      </c>
      <c r="B1529" t="s">
        <v>21</v>
      </c>
      <c r="C1529" t="s">
        <v>49</v>
      </c>
      <c r="D1529">
        <v>705</v>
      </c>
      <c r="E1529">
        <v>278</v>
      </c>
      <c r="F1529">
        <v>53</v>
      </c>
      <c r="G1529">
        <v>0</v>
      </c>
      <c r="H1529">
        <v>1035</v>
      </c>
      <c r="I1529" s="1">
        <v>45413</v>
      </c>
      <c r="J1529">
        <v>53</v>
      </c>
      <c r="K1529" t="s">
        <v>23</v>
      </c>
    </row>
    <row r="1530" spans="1:11">
      <c r="A1530" s="1">
        <v>45470</v>
      </c>
      <c r="B1530" t="s">
        <v>40</v>
      </c>
      <c r="C1530" t="s">
        <v>50</v>
      </c>
      <c r="D1530">
        <v>728</v>
      </c>
      <c r="E1530">
        <v>89</v>
      </c>
      <c r="F1530">
        <v>18</v>
      </c>
      <c r="G1530">
        <v>0</v>
      </c>
      <c r="H1530">
        <v>836</v>
      </c>
      <c r="I1530" s="1">
        <v>45444</v>
      </c>
      <c r="J1530">
        <v>18</v>
      </c>
      <c r="K1530" t="s">
        <v>23</v>
      </c>
    </row>
    <row r="1531" spans="1:11">
      <c r="A1531" s="1">
        <v>45470</v>
      </c>
      <c r="B1531" t="s">
        <v>40</v>
      </c>
      <c r="C1531" t="s">
        <v>55</v>
      </c>
      <c r="D1531">
        <v>5035</v>
      </c>
      <c r="E1531">
        <v>372</v>
      </c>
      <c r="F1531">
        <v>11</v>
      </c>
      <c r="G1531">
        <v>0</v>
      </c>
      <c r="H1531">
        <v>5418</v>
      </c>
      <c r="I1531" s="1">
        <v>45444</v>
      </c>
      <c r="J1531">
        <v>11</v>
      </c>
      <c r="K1531" t="s">
        <v>23</v>
      </c>
    </row>
    <row r="1532" spans="1:11">
      <c r="A1532" s="1">
        <v>45470</v>
      </c>
      <c r="B1532" t="s">
        <v>40</v>
      </c>
      <c r="C1532" t="s">
        <v>30</v>
      </c>
      <c r="D1532">
        <v>2188</v>
      </c>
      <c r="E1532">
        <v>50</v>
      </c>
      <c r="F1532">
        <v>9</v>
      </c>
      <c r="G1532">
        <v>0</v>
      </c>
      <c r="H1532">
        <v>2246</v>
      </c>
      <c r="I1532" s="1">
        <v>45444</v>
      </c>
      <c r="J1532">
        <v>9</v>
      </c>
      <c r="K1532" t="s">
        <v>23</v>
      </c>
    </row>
    <row r="1533" spans="1:11">
      <c r="A1533" s="1">
        <v>45470</v>
      </c>
      <c r="B1533" t="s">
        <v>40</v>
      </c>
      <c r="C1533" t="s">
        <v>42</v>
      </c>
      <c r="D1533">
        <v>1498</v>
      </c>
      <c r="E1533">
        <v>364</v>
      </c>
      <c r="F1533">
        <v>5</v>
      </c>
      <c r="G1533">
        <v>0</v>
      </c>
      <c r="H1533">
        <v>1867</v>
      </c>
      <c r="I1533" s="1">
        <v>45444</v>
      </c>
      <c r="J1533">
        <v>5</v>
      </c>
      <c r="K1533" t="s">
        <v>23</v>
      </c>
    </row>
    <row r="1534" spans="1:11">
      <c r="A1534" s="1">
        <v>45470</v>
      </c>
      <c r="B1534" t="s">
        <v>40</v>
      </c>
      <c r="C1534" t="s">
        <v>43</v>
      </c>
      <c r="D1534">
        <v>9154</v>
      </c>
      <c r="E1534">
        <v>2014</v>
      </c>
      <c r="F1534">
        <v>314</v>
      </c>
      <c r="G1534">
        <v>0</v>
      </c>
      <c r="H1534">
        <v>11482</v>
      </c>
      <c r="I1534" s="1">
        <v>45444</v>
      </c>
      <c r="J1534">
        <v>314</v>
      </c>
      <c r="K1534" t="s">
        <v>23</v>
      </c>
    </row>
    <row r="1535" spans="1:11">
      <c r="A1535" s="1">
        <v>45470</v>
      </c>
      <c r="B1535" t="s">
        <v>40</v>
      </c>
      <c r="C1535" t="s">
        <v>34</v>
      </c>
      <c r="D1535">
        <v>3738</v>
      </c>
      <c r="E1535">
        <v>787</v>
      </c>
      <c r="F1535">
        <v>1</v>
      </c>
      <c r="G1535">
        <v>0</v>
      </c>
      <c r="H1535">
        <v>4526</v>
      </c>
      <c r="I1535" s="1">
        <v>45444</v>
      </c>
      <c r="J1535">
        <v>1</v>
      </c>
      <c r="K1535" t="s">
        <v>23</v>
      </c>
    </row>
    <row r="1536" spans="1:11">
      <c r="A1536" s="1">
        <v>45470</v>
      </c>
      <c r="B1536" t="s">
        <v>40</v>
      </c>
      <c r="C1536" t="s">
        <v>24</v>
      </c>
      <c r="D1536">
        <v>353</v>
      </c>
      <c r="E1536">
        <v>226</v>
      </c>
      <c r="F1536">
        <v>86</v>
      </c>
      <c r="G1536">
        <v>0</v>
      </c>
      <c r="H1536">
        <v>664</v>
      </c>
      <c r="I1536" s="1">
        <v>45444</v>
      </c>
      <c r="J1536">
        <v>86</v>
      </c>
      <c r="K1536" t="s">
        <v>23</v>
      </c>
    </row>
    <row r="1537" spans="1:11">
      <c r="A1537" s="1">
        <v>45470</v>
      </c>
      <c r="B1537" t="s">
        <v>21</v>
      </c>
      <c r="C1537" t="s">
        <v>48</v>
      </c>
      <c r="D1537">
        <v>46</v>
      </c>
      <c r="E1537">
        <v>11</v>
      </c>
      <c r="F1537">
        <v>3</v>
      </c>
      <c r="G1537">
        <v>0</v>
      </c>
      <c r="H1537">
        <v>59</v>
      </c>
      <c r="I1537" s="1">
        <v>45444</v>
      </c>
      <c r="J1537">
        <v>3</v>
      </c>
      <c r="K1537" t="s">
        <v>23</v>
      </c>
    </row>
    <row r="1538" spans="1:11">
      <c r="A1538" s="1">
        <v>45470</v>
      </c>
      <c r="B1538" t="s">
        <v>21</v>
      </c>
      <c r="C1538" t="s">
        <v>41</v>
      </c>
      <c r="D1538">
        <v>848</v>
      </c>
      <c r="E1538">
        <v>207</v>
      </c>
      <c r="F1538">
        <v>42</v>
      </c>
      <c r="G1538">
        <v>0</v>
      </c>
      <c r="H1538">
        <v>1097</v>
      </c>
      <c r="I1538" s="1">
        <v>45444</v>
      </c>
      <c r="J1538">
        <v>42</v>
      </c>
      <c r="K1538" t="s">
        <v>23</v>
      </c>
    </row>
    <row r="1539" spans="1:11">
      <c r="A1539" s="1">
        <v>45470</v>
      </c>
      <c r="B1539" t="s">
        <v>21</v>
      </c>
      <c r="C1539" t="s">
        <v>33</v>
      </c>
      <c r="D1539">
        <v>26</v>
      </c>
      <c r="E1539">
        <v>14</v>
      </c>
      <c r="F1539">
        <v>6</v>
      </c>
      <c r="G1539">
        <v>0</v>
      </c>
      <c r="H1539">
        <v>46</v>
      </c>
      <c r="I1539" s="1">
        <v>45444</v>
      </c>
      <c r="J1539">
        <v>6</v>
      </c>
      <c r="K1539" t="s">
        <v>23</v>
      </c>
    </row>
    <row r="1540" spans="1:11">
      <c r="A1540" s="1">
        <v>45470</v>
      </c>
      <c r="B1540" t="s">
        <v>21</v>
      </c>
      <c r="C1540" t="s">
        <v>37</v>
      </c>
      <c r="D1540">
        <v>32</v>
      </c>
      <c r="E1540">
        <v>10</v>
      </c>
      <c r="F1540">
        <v>6</v>
      </c>
      <c r="G1540">
        <v>0</v>
      </c>
      <c r="H1540">
        <v>47</v>
      </c>
      <c r="I1540" s="1">
        <v>45444</v>
      </c>
      <c r="J1540">
        <v>6</v>
      </c>
      <c r="K1540" t="s">
        <v>23</v>
      </c>
    </row>
    <row r="1541" spans="1:11">
      <c r="A1541" s="1">
        <v>45470</v>
      </c>
      <c r="B1541" t="s">
        <v>21</v>
      </c>
      <c r="C1541" t="s">
        <v>43</v>
      </c>
      <c r="D1541">
        <v>1164</v>
      </c>
      <c r="E1541">
        <v>310</v>
      </c>
      <c r="F1541">
        <v>13</v>
      </c>
      <c r="G1541">
        <v>0</v>
      </c>
      <c r="H1541">
        <v>1487</v>
      </c>
      <c r="I1541" s="1">
        <v>45444</v>
      </c>
      <c r="J1541">
        <v>13</v>
      </c>
      <c r="K1541" t="s">
        <v>23</v>
      </c>
    </row>
    <row r="1542" spans="1:11">
      <c r="A1542" s="1">
        <v>45470</v>
      </c>
      <c r="B1542" t="s">
        <v>21</v>
      </c>
      <c r="C1542" t="s">
        <v>46</v>
      </c>
      <c r="D1542">
        <v>437</v>
      </c>
      <c r="E1542">
        <v>30</v>
      </c>
      <c r="F1542">
        <v>17</v>
      </c>
      <c r="G1542">
        <v>0</v>
      </c>
      <c r="H1542">
        <v>485</v>
      </c>
      <c r="I1542" s="1">
        <v>45444</v>
      </c>
      <c r="J1542">
        <v>17</v>
      </c>
      <c r="K1542" t="s">
        <v>23</v>
      </c>
    </row>
    <row r="1543" spans="1:11">
      <c r="A1543" s="1">
        <v>45470</v>
      </c>
      <c r="B1543" t="s">
        <v>21</v>
      </c>
      <c r="C1543" t="s">
        <v>32</v>
      </c>
      <c r="D1543">
        <v>310</v>
      </c>
      <c r="E1543">
        <v>47</v>
      </c>
      <c r="F1543">
        <v>7</v>
      </c>
      <c r="G1543">
        <v>0</v>
      </c>
      <c r="H1543">
        <v>364</v>
      </c>
      <c r="I1543" s="1">
        <v>45444</v>
      </c>
      <c r="J1543">
        <v>7</v>
      </c>
      <c r="K1543" t="s">
        <v>23</v>
      </c>
    </row>
    <row r="1544" spans="1:11">
      <c r="A1544" s="1">
        <v>45470</v>
      </c>
      <c r="B1544" t="s">
        <v>21</v>
      </c>
      <c r="C1544" t="s">
        <v>49</v>
      </c>
      <c r="D1544">
        <v>735</v>
      </c>
      <c r="E1544">
        <v>275</v>
      </c>
      <c r="F1544">
        <v>15</v>
      </c>
      <c r="G1544">
        <v>0</v>
      </c>
      <c r="H1544">
        <v>1025</v>
      </c>
      <c r="I1544" s="1">
        <v>45444</v>
      </c>
      <c r="J1544">
        <v>15</v>
      </c>
      <c r="K1544" t="s">
        <v>23</v>
      </c>
    </row>
    <row r="1545" spans="1:11">
      <c r="A1545" s="1">
        <v>45498</v>
      </c>
      <c r="B1545" t="s">
        <v>40</v>
      </c>
      <c r="C1545" t="s">
        <v>50</v>
      </c>
      <c r="D1545">
        <v>750</v>
      </c>
      <c r="E1545">
        <v>80</v>
      </c>
      <c r="F1545">
        <v>14</v>
      </c>
      <c r="G1545">
        <v>0</v>
      </c>
      <c r="H1545">
        <v>844</v>
      </c>
      <c r="I1545" s="1">
        <v>45474</v>
      </c>
      <c r="J1545">
        <v>14</v>
      </c>
      <c r="K1545" t="s">
        <v>23</v>
      </c>
    </row>
    <row r="1546" spans="1:11">
      <c r="A1546" s="1">
        <v>45498</v>
      </c>
      <c r="B1546" t="s">
        <v>40</v>
      </c>
      <c r="C1546" t="s">
        <v>55</v>
      </c>
      <c r="D1546">
        <v>5234</v>
      </c>
      <c r="E1546">
        <v>401</v>
      </c>
      <c r="F1546">
        <v>102</v>
      </c>
      <c r="G1546">
        <v>0</v>
      </c>
      <c r="H1546">
        <v>5737</v>
      </c>
      <c r="I1546" s="1">
        <v>45474</v>
      </c>
      <c r="J1546">
        <v>102</v>
      </c>
      <c r="K1546" t="s">
        <v>23</v>
      </c>
    </row>
    <row r="1547" spans="1:11">
      <c r="A1547" s="1">
        <v>45498</v>
      </c>
      <c r="B1547" t="s">
        <v>40</v>
      </c>
      <c r="C1547" t="s">
        <v>42</v>
      </c>
      <c r="D1547">
        <v>1484</v>
      </c>
      <c r="E1547">
        <v>375</v>
      </c>
      <c r="F1547">
        <v>5</v>
      </c>
      <c r="G1547">
        <v>0</v>
      </c>
      <c r="H1547">
        <v>1864</v>
      </c>
      <c r="I1547" s="1">
        <v>45474</v>
      </c>
      <c r="J1547">
        <v>5</v>
      </c>
      <c r="K1547" t="s">
        <v>23</v>
      </c>
    </row>
    <row r="1548" spans="1:11">
      <c r="A1548" s="1">
        <v>45498</v>
      </c>
      <c r="B1548" t="s">
        <v>40</v>
      </c>
      <c r="C1548" t="s">
        <v>34</v>
      </c>
      <c r="D1548">
        <v>3875</v>
      </c>
      <c r="E1548">
        <v>661</v>
      </c>
      <c r="F1548">
        <v>3</v>
      </c>
      <c r="G1548">
        <v>0</v>
      </c>
      <c r="H1548">
        <v>4539</v>
      </c>
      <c r="I1548" s="1">
        <v>45474</v>
      </c>
      <c r="J1548">
        <v>3</v>
      </c>
      <c r="K1548" t="s">
        <v>23</v>
      </c>
    </row>
    <row r="1549" spans="1:11">
      <c r="A1549" s="1">
        <v>45498</v>
      </c>
      <c r="B1549" t="s">
        <v>40</v>
      </c>
      <c r="C1549" t="s">
        <v>24</v>
      </c>
      <c r="D1549">
        <v>335</v>
      </c>
      <c r="E1549">
        <v>209</v>
      </c>
      <c r="F1549">
        <v>84</v>
      </c>
      <c r="G1549">
        <v>0</v>
      </c>
      <c r="H1549">
        <v>628</v>
      </c>
      <c r="I1549" s="1">
        <v>45474</v>
      </c>
      <c r="J1549">
        <v>84</v>
      </c>
      <c r="K1549" t="s">
        <v>23</v>
      </c>
    </row>
    <row r="1550" spans="1:11">
      <c r="A1550" s="1">
        <v>45498</v>
      </c>
      <c r="B1550" t="s">
        <v>21</v>
      </c>
      <c r="C1550" t="s">
        <v>41</v>
      </c>
      <c r="D1550">
        <v>855</v>
      </c>
      <c r="E1550">
        <v>140</v>
      </c>
      <c r="F1550">
        <v>63</v>
      </c>
      <c r="G1550">
        <v>0</v>
      </c>
      <c r="H1550">
        <v>1058</v>
      </c>
      <c r="I1550" s="1">
        <v>45474</v>
      </c>
      <c r="J1550">
        <v>63</v>
      </c>
      <c r="K1550" t="s">
        <v>23</v>
      </c>
    </row>
    <row r="1551" spans="1:11">
      <c r="A1551" s="1">
        <v>45498</v>
      </c>
      <c r="B1551" t="s">
        <v>21</v>
      </c>
      <c r="C1551" t="s">
        <v>33</v>
      </c>
      <c r="D1551">
        <v>26</v>
      </c>
      <c r="E1551">
        <v>14</v>
      </c>
      <c r="F1551">
        <v>6</v>
      </c>
      <c r="G1551">
        <v>0</v>
      </c>
      <c r="H1551">
        <v>47</v>
      </c>
      <c r="I1551" s="1">
        <v>45474</v>
      </c>
      <c r="J1551">
        <v>6</v>
      </c>
      <c r="K1551" t="s">
        <v>23</v>
      </c>
    </row>
    <row r="1552" spans="1:11">
      <c r="A1552" s="1">
        <v>45498</v>
      </c>
      <c r="B1552" t="s">
        <v>21</v>
      </c>
      <c r="C1552" t="s">
        <v>43</v>
      </c>
      <c r="D1552">
        <v>1077</v>
      </c>
      <c r="E1552">
        <v>356</v>
      </c>
      <c r="F1552">
        <v>5</v>
      </c>
      <c r="G1552">
        <v>0</v>
      </c>
      <c r="H1552">
        <v>1437</v>
      </c>
      <c r="I1552" s="1">
        <v>45474</v>
      </c>
      <c r="J1552">
        <v>5</v>
      </c>
      <c r="K1552" t="s">
        <v>23</v>
      </c>
    </row>
    <row r="1553" spans="1:11">
      <c r="A1553" s="1">
        <v>45498</v>
      </c>
      <c r="B1553" t="s">
        <v>21</v>
      </c>
      <c r="C1553" t="s">
        <v>38</v>
      </c>
      <c r="D1553">
        <v>56</v>
      </c>
      <c r="E1553">
        <v>10</v>
      </c>
      <c r="F1553">
        <v>3</v>
      </c>
      <c r="G1553">
        <v>0</v>
      </c>
      <c r="H1553">
        <v>68</v>
      </c>
      <c r="I1553" s="1">
        <v>45474</v>
      </c>
      <c r="J1553">
        <v>3</v>
      </c>
      <c r="K1553" t="s">
        <v>23</v>
      </c>
    </row>
    <row r="1554" spans="1:11">
      <c r="A1554" s="1">
        <v>45498</v>
      </c>
      <c r="B1554" t="s">
        <v>21</v>
      </c>
      <c r="C1554" t="s">
        <v>46</v>
      </c>
      <c r="D1554">
        <v>411</v>
      </c>
      <c r="E1554">
        <v>29</v>
      </c>
      <c r="F1554">
        <v>5</v>
      </c>
      <c r="G1554">
        <v>0</v>
      </c>
      <c r="H1554">
        <v>445</v>
      </c>
      <c r="I1554" s="1">
        <v>45474</v>
      </c>
      <c r="J1554">
        <v>5</v>
      </c>
      <c r="K1554" t="s">
        <v>23</v>
      </c>
    </row>
    <row r="1555" spans="1:11">
      <c r="A1555" s="1">
        <v>45498</v>
      </c>
      <c r="B1555" t="s">
        <v>21</v>
      </c>
      <c r="C1555" t="s">
        <v>32</v>
      </c>
      <c r="D1555">
        <v>300</v>
      </c>
      <c r="E1555">
        <v>41</v>
      </c>
      <c r="F1555">
        <v>5</v>
      </c>
      <c r="G1555">
        <v>0</v>
      </c>
      <c r="H1555">
        <v>346</v>
      </c>
      <c r="I1555" s="1">
        <v>45474</v>
      </c>
      <c r="J1555">
        <v>5</v>
      </c>
      <c r="K1555" t="s">
        <v>23</v>
      </c>
    </row>
    <row r="1556" spans="1:11">
      <c r="A1556" s="1">
        <v>45533</v>
      </c>
      <c r="B1556" t="s">
        <v>40</v>
      </c>
      <c r="C1556" t="s">
        <v>55</v>
      </c>
      <c r="D1556">
        <v>5665</v>
      </c>
      <c r="E1556">
        <v>349</v>
      </c>
      <c r="F1556">
        <v>23</v>
      </c>
      <c r="G1556">
        <v>0</v>
      </c>
      <c r="H1556">
        <v>6037</v>
      </c>
      <c r="I1556" s="1">
        <v>45505</v>
      </c>
      <c r="J1556">
        <v>23</v>
      </c>
      <c r="K1556" t="s">
        <v>23</v>
      </c>
    </row>
    <row r="1557" spans="1:11">
      <c r="A1557" s="1">
        <v>45533</v>
      </c>
      <c r="B1557" t="s">
        <v>21</v>
      </c>
      <c r="C1557" t="s">
        <v>41</v>
      </c>
      <c r="D1557">
        <v>788</v>
      </c>
      <c r="E1557">
        <v>115</v>
      </c>
      <c r="F1557">
        <v>57</v>
      </c>
      <c r="G1557">
        <v>0</v>
      </c>
      <c r="H1557">
        <v>960</v>
      </c>
      <c r="I1557" s="1">
        <v>45505</v>
      </c>
      <c r="J1557">
        <v>57</v>
      </c>
      <c r="K1557" t="s">
        <v>23</v>
      </c>
    </row>
    <row r="1558" spans="1:11">
      <c r="A1558" s="1">
        <v>45533</v>
      </c>
      <c r="B1558" t="s">
        <v>21</v>
      </c>
      <c r="C1558" t="s">
        <v>43</v>
      </c>
      <c r="D1558">
        <v>1017</v>
      </c>
      <c r="E1558">
        <v>427</v>
      </c>
      <c r="F1558">
        <v>5</v>
      </c>
      <c r="G1558">
        <v>0</v>
      </c>
      <c r="H1558">
        <v>1448</v>
      </c>
      <c r="I1558" s="1">
        <v>45505</v>
      </c>
      <c r="J1558">
        <v>5</v>
      </c>
      <c r="K1558" t="s">
        <v>23</v>
      </c>
    </row>
    <row r="1559" spans="1:11">
      <c r="A1559" s="1">
        <v>45533</v>
      </c>
      <c r="B1559" t="s">
        <v>21</v>
      </c>
      <c r="C1559" t="s">
        <v>38</v>
      </c>
      <c r="D1559">
        <v>45</v>
      </c>
      <c r="E1559">
        <v>3</v>
      </c>
      <c r="F1559">
        <v>3</v>
      </c>
      <c r="G1559">
        <v>0</v>
      </c>
      <c r="H1559">
        <v>50</v>
      </c>
      <c r="I1559" s="1">
        <v>45505</v>
      </c>
      <c r="J1559">
        <v>3</v>
      </c>
      <c r="K1559" t="s">
        <v>23</v>
      </c>
    </row>
    <row r="1560" spans="1:11">
      <c r="A1560" s="1">
        <v>45533</v>
      </c>
      <c r="B1560" t="s">
        <v>21</v>
      </c>
      <c r="C1560" t="s">
        <v>35</v>
      </c>
      <c r="D1560">
        <v>9</v>
      </c>
      <c r="E1560">
        <v>1</v>
      </c>
      <c r="F1560">
        <v>1</v>
      </c>
      <c r="G1560">
        <v>0</v>
      </c>
      <c r="H1560">
        <v>12</v>
      </c>
      <c r="I1560" s="1">
        <v>45505</v>
      </c>
      <c r="J1560">
        <v>1</v>
      </c>
      <c r="K1560" t="s">
        <v>23</v>
      </c>
    </row>
    <row r="1561" spans="1:11">
      <c r="A1561" s="1">
        <v>45533</v>
      </c>
      <c r="B1561" t="s">
        <v>21</v>
      </c>
      <c r="C1561" t="s">
        <v>46</v>
      </c>
      <c r="D1561">
        <v>421</v>
      </c>
      <c r="E1561">
        <v>27</v>
      </c>
      <c r="F1561">
        <v>13</v>
      </c>
      <c r="G1561">
        <v>0</v>
      </c>
      <c r="H1561">
        <v>461</v>
      </c>
      <c r="I1561" s="1">
        <v>45505</v>
      </c>
      <c r="J1561">
        <v>13</v>
      </c>
      <c r="K1561" t="s">
        <v>23</v>
      </c>
    </row>
    <row r="1562" spans="1:11">
      <c r="A1562" s="1">
        <v>45533</v>
      </c>
      <c r="B1562" t="s">
        <v>21</v>
      </c>
      <c r="C1562" t="s">
        <v>32</v>
      </c>
      <c r="D1562">
        <v>265</v>
      </c>
      <c r="E1562">
        <v>44</v>
      </c>
      <c r="F1562">
        <v>10</v>
      </c>
      <c r="G1562">
        <v>0</v>
      </c>
      <c r="H1562">
        <v>319</v>
      </c>
      <c r="I1562" s="1">
        <v>45505</v>
      </c>
      <c r="J1562">
        <v>10</v>
      </c>
      <c r="K1562" t="s">
        <v>23</v>
      </c>
    </row>
    <row r="1563" spans="1:11">
      <c r="A1563" s="1">
        <v>45561</v>
      </c>
      <c r="B1563" t="s">
        <v>40</v>
      </c>
      <c r="C1563" t="s">
        <v>55</v>
      </c>
      <c r="D1563">
        <v>5670</v>
      </c>
      <c r="E1563">
        <v>404</v>
      </c>
      <c r="F1563">
        <v>150</v>
      </c>
      <c r="G1563">
        <v>0</v>
      </c>
      <c r="H1563">
        <v>6224</v>
      </c>
      <c r="I1563" s="1">
        <v>45536</v>
      </c>
      <c r="J1563">
        <v>150</v>
      </c>
      <c r="K1563" t="s">
        <v>23</v>
      </c>
    </row>
    <row r="1564" spans="1:11">
      <c r="A1564" s="1">
        <v>45561</v>
      </c>
      <c r="B1564" t="s">
        <v>40</v>
      </c>
      <c r="C1564" t="s">
        <v>38</v>
      </c>
      <c r="D1564">
        <v>2240</v>
      </c>
      <c r="E1564">
        <v>608</v>
      </c>
      <c r="F1564">
        <v>114</v>
      </c>
      <c r="G1564">
        <v>0</v>
      </c>
      <c r="H1564">
        <v>2962</v>
      </c>
      <c r="I1564" s="1">
        <v>45536</v>
      </c>
      <c r="J1564">
        <v>114</v>
      </c>
      <c r="K1564" t="s">
        <v>23</v>
      </c>
    </row>
    <row r="1565" spans="1:11">
      <c r="A1565" s="1">
        <v>45561</v>
      </c>
      <c r="B1565" t="s">
        <v>21</v>
      </c>
      <c r="C1565" t="s">
        <v>37</v>
      </c>
      <c r="D1565">
        <v>25</v>
      </c>
      <c r="E1565">
        <v>16</v>
      </c>
      <c r="F1565">
        <v>3</v>
      </c>
      <c r="G1565">
        <v>0</v>
      </c>
      <c r="H1565">
        <v>44</v>
      </c>
      <c r="I1565" s="1">
        <v>45536</v>
      </c>
      <c r="J1565">
        <v>3</v>
      </c>
      <c r="K1565" t="s">
        <v>23</v>
      </c>
    </row>
    <row r="1566" spans="1:11">
      <c r="A1566" s="1">
        <v>45561</v>
      </c>
      <c r="B1566" t="s">
        <v>21</v>
      </c>
      <c r="C1566" t="s">
        <v>43</v>
      </c>
      <c r="D1566">
        <v>969</v>
      </c>
      <c r="E1566">
        <v>417</v>
      </c>
      <c r="F1566">
        <v>5</v>
      </c>
      <c r="G1566">
        <v>0</v>
      </c>
      <c r="H1566">
        <v>1391</v>
      </c>
      <c r="I1566" s="1">
        <v>45536</v>
      </c>
      <c r="J1566">
        <v>5</v>
      </c>
      <c r="K1566" t="s">
        <v>23</v>
      </c>
    </row>
    <row r="1567" spans="1:11">
      <c r="A1567" s="1">
        <v>45561</v>
      </c>
      <c r="B1567" t="s">
        <v>21</v>
      </c>
      <c r="C1567" t="s">
        <v>38</v>
      </c>
      <c r="D1567">
        <v>39</v>
      </c>
      <c r="E1567">
        <v>6</v>
      </c>
      <c r="F1567">
        <v>1</v>
      </c>
      <c r="G1567">
        <v>0</v>
      </c>
      <c r="H1567">
        <v>46</v>
      </c>
      <c r="I1567" s="1">
        <v>45536</v>
      </c>
      <c r="J1567">
        <v>1</v>
      </c>
      <c r="K1567" t="s">
        <v>23</v>
      </c>
    </row>
    <row r="1568" spans="1:11">
      <c r="A1568" s="1">
        <v>45561</v>
      </c>
      <c r="B1568" t="s">
        <v>21</v>
      </c>
      <c r="C1568" t="s">
        <v>35</v>
      </c>
      <c r="D1568">
        <v>9</v>
      </c>
      <c r="E1568">
        <v>3</v>
      </c>
      <c r="F1568">
        <v>1</v>
      </c>
      <c r="G1568">
        <v>0</v>
      </c>
      <c r="H1568">
        <v>13</v>
      </c>
      <c r="I1568" s="1">
        <v>45536</v>
      </c>
      <c r="J1568">
        <v>1</v>
      </c>
      <c r="K1568" t="s">
        <v>23</v>
      </c>
    </row>
    <row r="1569" spans="1:11">
      <c r="A1569" s="1">
        <v>45561</v>
      </c>
      <c r="B1569" t="s">
        <v>21</v>
      </c>
      <c r="C1569" t="s">
        <v>46</v>
      </c>
      <c r="D1569">
        <v>410</v>
      </c>
      <c r="E1569">
        <v>34</v>
      </c>
      <c r="F1569">
        <v>9</v>
      </c>
      <c r="G1569">
        <v>0</v>
      </c>
      <c r="H1569">
        <v>452</v>
      </c>
      <c r="I1569" s="1">
        <v>45536</v>
      </c>
      <c r="J1569">
        <v>9</v>
      </c>
      <c r="K1569" t="s">
        <v>23</v>
      </c>
    </row>
    <row r="1570" spans="1:11">
      <c r="A1570" s="1">
        <v>45561</v>
      </c>
      <c r="B1570" t="s">
        <v>21</v>
      </c>
      <c r="C1570" t="s">
        <v>32</v>
      </c>
      <c r="D1570">
        <v>276</v>
      </c>
      <c r="E1570">
        <v>36</v>
      </c>
      <c r="F1570">
        <v>11</v>
      </c>
      <c r="G1570">
        <v>0</v>
      </c>
      <c r="H1570">
        <v>323</v>
      </c>
      <c r="I1570" s="1">
        <v>45536</v>
      </c>
      <c r="J1570">
        <v>11</v>
      </c>
      <c r="K1570" t="s">
        <v>23</v>
      </c>
    </row>
    <row r="1571" spans="1:11">
      <c r="A1571" s="1">
        <v>45596</v>
      </c>
      <c r="B1571" t="s">
        <v>40</v>
      </c>
      <c r="C1571" t="s">
        <v>55</v>
      </c>
      <c r="D1571">
        <v>6058</v>
      </c>
      <c r="E1571">
        <v>402</v>
      </c>
      <c r="F1571">
        <v>52</v>
      </c>
      <c r="G1571">
        <v>0</v>
      </c>
      <c r="H1571">
        <v>6513</v>
      </c>
      <c r="I1571" s="1">
        <v>45566</v>
      </c>
      <c r="J1571">
        <v>52</v>
      </c>
      <c r="K1571" t="s">
        <v>23</v>
      </c>
    </row>
    <row r="1572" spans="1:11">
      <c r="A1572" s="1">
        <v>45596</v>
      </c>
      <c r="B1572" t="s">
        <v>40</v>
      </c>
      <c r="C1572" t="s">
        <v>43</v>
      </c>
      <c r="D1572">
        <v>9143</v>
      </c>
      <c r="E1572">
        <v>1586</v>
      </c>
      <c r="F1572">
        <v>95</v>
      </c>
      <c r="G1572">
        <v>0</v>
      </c>
      <c r="H1572">
        <v>10825</v>
      </c>
      <c r="I1572" s="1">
        <v>45566</v>
      </c>
      <c r="J1572">
        <v>95</v>
      </c>
      <c r="K1572" t="s">
        <v>23</v>
      </c>
    </row>
    <row r="1573" spans="1:11">
      <c r="A1573" s="1">
        <v>45596</v>
      </c>
      <c r="B1573" t="s">
        <v>40</v>
      </c>
      <c r="C1573" t="s">
        <v>34</v>
      </c>
      <c r="D1573">
        <v>3884</v>
      </c>
      <c r="E1573">
        <v>700</v>
      </c>
      <c r="F1573">
        <v>3</v>
      </c>
      <c r="G1573">
        <v>0</v>
      </c>
      <c r="H1573">
        <v>4587</v>
      </c>
      <c r="I1573" s="1">
        <v>45566</v>
      </c>
      <c r="J1573">
        <v>3</v>
      </c>
      <c r="K1573" t="s">
        <v>23</v>
      </c>
    </row>
    <row r="1574" spans="1:11">
      <c r="A1574" s="1">
        <v>45596</v>
      </c>
      <c r="B1574" t="s">
        <v>21</v>
      </c>
      <c r="C1574" t="s">
        <v>33</v>
      </c>
      <c r="D1574">
        <v>26</v>
      </c>
      <c r="E1574">
        <v>13</v>
      </c>
      <c r="F1574">
        <v>7</v>
      </c>
      <c r="G1574">
        <v>0</v>
      </c>
      <c r="H1574">
        <v>46</v>
      </c>
      <c r="I1574" s="1">
        <v>45566</v>
      </c>
      <c r="J1574">
        <v>7</v>
      </c>
      <c r="K1574" t="s">
        <v>23</v>
      </c>
    </row>
    <row r="1575" spans="1:11">
      <c r="A1575" s="1">
        <v>45596</v>
      </c>
      <c r="B1575" t="s">
        <v>21</v>
      </c>
      <c r="C1575" t="s">
        <v>43</v>
      </c>
      <c r="D1575">
        <v>929</v>
      </c>
      <c r="E1575">
        <v>436</v>
      </c>
      <c r="F1575">
        <v>3</v>
      </c>
      <c r="G1575">
        <v>0</v>
      </c>
      <c r="H1575">
        <v>1368</v>
      </c>
      <c r="I1575" s="1">
        <v>45566</v>
      </c>
      <c r="J1575">
        <v>3</v>
      </c>
      <c r="K1575" t="s">
        <v>23</v>
      </c>
    </row>
    <row r="1576" spans="1:11">
      <c r="A1576" s="1">
        <v>45596</v>
      </c>
      <c r="B1576" t="s">
        <v>21</v>
      </c>
      <c r="C1576" t="s">
        <v>38</v>
      </c>
      <c r="D1576">
        <v>37</v>
      </c>
      <c r="E1576">
        <v>6</v>
      </c>
      <c r="F1576">
        <v>1</v>
      </c>
      <c r="G1576">
        <v>0</v>
      </c>
      <c r="H1576">
        <v>44</v>
      </c>
      <c r="I1576" s="1">
        <v>45566</v>
      </c>
      <c r="J1576">
        <v>1</v>
      </c>
      <c r="K1576" t="s">
        <v>23</v>
      </c>
    </row>
    <row r="1577" spans="1:11">
      <c r="A1577" s="1">
        <v>45596</v>
      </c>
      <c r="B1577" t="s">
        <v>21</v>
      </c>
      <c r="C1577" t="s">
        <v>32</v>
      </c>
      <c r="D1577">
        <v>285</v>
      </c>
      <c r="E1577">
        <v>42</v>
      </c>
      <c r="F1577">
        <v>9</v>
      </c>
      <c r="G1577">
        <v>0</v>
      </c>
      <c r="H1577">
        <v>336</v>
      </c>
      <c r="I1577" s="1">
        <v>45566</v>
      </c>
      <c r="J1577">
        <v>9</v>
      </c>
      <c r="K1577" t="s">
        <v>23</v>
      </c>
    </row>
    <row r="1578" spans="1:11">
      <c r="A1578" s="1">
        <v>45624</v>
      </c>
      <c r="B1578" t="s">
        <v>40</v>
      </c>
      <c r="C1578" t="s">
        <v>55</v>
      </c>
      <c r="D1578">
        <v>5943</v>
      </c>
      <c r="E1578">
        <v>368</v>
      </c>
      <c r="F1578">
        <v>5</v>
      </c>
      <c r="G1578">
        <v>0</v>
      </c>
      <c r="H1578">
        <v>6316</v>
      </c>
      <c r="I1578" s="1">
        <v>45597</v>
      </c>
      <c r="J1578">
        <v>5</v>
      </c>
      <c r="K1578" t="s">
        <v>23</v>
      </c>
    </row>
    <row r="1579" spans="1:11">
      <c r="A1579" s="1">
        <v>45624</v>
      </c>
      <c r="B1579" t="s">
        <v>40</v>
      </c>
      <c r="C1579" t="s">
        <v>42</v>
      </c>
      <c r="D1579">
        <v>1445</v>
      </c>
      <c r="E1579">
        <v>451</v>
      </c>
      <c r="F1579">
        <v>11</v>
      </c>
      <c r="G1579">
        <v>0</v>
      </c>
      <c r="H1579">
        <v>1906</v>
      </c>
      <c r="I1579" s="1">
        <v>45597</v>
      </c>
      <c r="J1579">
        <v>11</v>
      </c>
      <c r="K1579" t="s">
        <v>23</v>
      </c>
    </row>
    <row r="1580" spans="1:11">
      <c r="A1580" s="1">
        <v>45624</v>
      </c>
      <c r="B1580" t="s">
        <v>40</v>
      </c>
      <c r="C1580" t="s">
        <v>43</v>
      </c>
      <c r="D1580">
        <v>8997</v>
      </c>
      <c r="E1580">
        <v>1512</v>
      </c>
      <c r="F1580">
        <v>54</v>
      </c>
      <c r="G1580">
        <v>0</v>
      </c>
      <c r="H1580">
        <v>10563</v>
      </c>
      <c r="I1580" s="1">
        <v>45597</v>
      </c>
      <c r="J1580">
        <v>54</v>
      </c>
      <c r="K1580" t="s">
        <v>23</v>
      </c>
    </row>
    <row r="1581" spans="1:11">
      <c r="A1581" s="1">
        <v>45624</v>
      </c>
      <c r="B1581" t="s">
        <v>40</v>
      </c>
      <c r="C1581" t="s">
        <v>38</v>
      </c>
      <c r="D1581">
        <v>2127</v>
      </c>
      <c r="E1581">
        <v>676</v>
      </c>
      <c r="F1581">
        <v>107</v>
      </c>
      <c r="G1581">
        <v>0</v>
      </c>
      <c r="H1581">
        <v>2910</v>
      </c>
      <c r="I1581" s="1">
        <v>45597</v>
      </c>
      <c r="J1581">
        <v>107</v>
      </c>
      <c r="K1581" t="s">
        <v>23</v>
      </c>
    </row>
    <row r="1582" spans="1:11">
      <c r="A1582" s="1">
        <v>45624</v>
      </c>
      <c r="B1582" t="s">
        <v>21</v>
      </c>
      <c r="C1582" t="s">
        <v>41</v>
      </c>
      <c r="D1582">
        <v>595</v>
      </c>
      <c r="E1582">
        <v>151</v>
      </c>
      <c r="F1582">
        <v>15</v>
      </c>
      <c r="G1582">
        <v>0</v>
      </c>
      <c r="H1582">
        <v>762</v>
      </c>
      <c r="I1582" s="1">
        <v>45597</v>
      </c>
      <c r="J1582">
        <v>15</v>
      </c>
      <c r="K1582" t="s">
        <v>23</v>
      </c>
    </row>
    <row r="1583" spans="1:11">
      <c r="A1583" s="1">
        <v>45624</v>
      </c>
      <c r="B1583" t="s">
        <v>21</v>
      </c>
      <c r="C1583" t="s">
        <v>37</v>
      </c>
      <c r="D1583">
        <v>29</v>
      </c>
      <c r="E1583">
        <v>18</v>
      </c>
      <c r="F1583">
        <v>8</v>
      </c>
      <c r="G1583">
        <v>0</v>
      </c>
      <c r="H1583">
        <v>55</v>
      </c>
      <c r="I1583" s="1">
        <v>45597</v>
      </c>
      <c r="J1583">
        <v>8</v>
      </c>
      <c r="K1583" t="s">
        <v>23</v>
      </c>
    </row>
    <row r="1584" spans="1:11">
      <c r="A1584" s="1">
        <v>45624</v>
      </c>
      <c r="B1584" t="s">
        <v>21</v>
      </c>
      <c r="C1584" t="s">
        <v>38</v>
      </c>
      <c r="D1584">
        <v>31</v>
      </c>
      <c r="E1584">
        <v>5</v>
      </c>
      <c r="F1584">
        <v>3</v>
      </c>
      <c r="G1584">
        <v>0</v>
      </c>
      <c r="H1584">
        <v>38</v>
      </c>
      <c r="I1584" s="1">
        <v>45597</v>
      </c>
      <c r="J1584">
        <v>3</v>
      </c>
      <c r="K1584" t="s">
        <v>23</v>
      </c>
    </row>
    <row r="1585" spans="1:11">
      <c r="A1585" s="1">
        <v>45624</v>
      </c>
      <c r="B1585" t="s">
        <v>21</v>
      </c>
      <c r="C1585" t="s">
        <v>46</v>
      </c>
      <c r="D1585">
        <v>405</v>
      </c>
      <c r="E1585">
        <v>19</v>
      </c>
      <c r="F1585">
        <v>3</v>
      </c>
      <c r="G1585">
        <v>0</v>
      </c>
      <c r="H1585">
        <v>427</v>
      </c>
      <c r="I1585" s="1">
        <v>45597</v>
      </c>
      <c r="J1585">
        <v>3</v>
      </c>
      <c r="K1585" t="s">
        <v>23</v>
      </c>
    </row>
    <row r="1586" spans="1:11">
      <c r="A1586" s="1">
        <v>45624</v>
      </c>
      <c r="B1586" t="s">
        <v>21</v>
      </c>
      <c r="C1586" t="s">
        <v>36</v>
      </c>
      <c r="D1586">
        <v>6</v>
      </c>
      <c r="E1586">
        <v>3</v>
      </c>
      <c r="F1586">
        <v>1</v>
      </c>
      <c r="G1586">
        <v>0</v>
      </c>
      <c r="H1586">
        <v>10</v>
      </c>
      <c r="I1586" s="1">
        <v>45597</v>
      </c>
      <c r="J1586">
        <v>1</v>
      </c>
      <c r="K1586" t="s">
        <v>23</v>
      </c>
    </row>
    <row r="1587" spans="1:11">
      <c r="A1587" s="1">
        <v>45624</v>
      </c>
      <c r="B1587" t="s">
        <v>21</v>
      </c>
      <c r="C1587" t="s">
        <v>32</v>
      </c>
      <c r="D1587">
        <v>292</v>
      </c>
      <c r="E1587">
        <v>40</v>
      </c>
      <c r="F1587">
        <v>10</v>
      </c>
      <c r="G1587">
        <v>0</v>
      </c>
      <c r="H1587">
        <v>342</v>
      </c>
      <c r="I1587" s="1">
        <v>45597</v>
      </c>
      <c r="J1587">
        <v>10</v>
      </c>
      <c r="K1587" t="s">
        <v>23</v>
      </c>
    </row>
    <row r="1588" spans="1:11">
      <c r="A1588" s="1">
        <v>45645</v>
      </c>
      <c r="B1588" t="s">
        <v>40</v>
      </c>
      <c r="C1588" t="s">
        <v>30</v>
      </c>
      <c r="D1588">
        <v>1667</v>
      </c>
      <c r="E1588">
        <v>115</v>
      </c>
      <c r="F1588">
        <v>1</v>
      </c>
      <c r="G1588">
        <v>0</v>
      </c>
      <c r="H1588">
        <v>1783</v>
      </c>
      <c r="I1588" s="1">
        <v>45627</v>
      </c>
      <c r="J1588">
        <v>1</v>
      </c>
      <c r="K1588" t="s">
        <v>23</v>
      </c>
    </row>
    <row r="1589" spans="1:11">
      <c r="A1589" s="1">
        <v>45645</v>
      </c>
      <c r="B1589" t="s">
        <v>40</v>
      </c>
      <c r="C1589" t="s">
        <v>42</v>
      </c>
      <c r="D1589">
        <v>1420</v>
      </c>
      <c r="E1589">
        <v>472</v>
      </c>
      <c r="F1589">
        <v>6</v>
      </c>
      <c r="G1589">
        <v>0</v>
      </c>
      <c r="H1589">
        <v>1898</v>
      </c>
      <c r="I1589" s="1">
        <v>45627</v>
      </c>
      <c r="J1589">
        <v>6</v>
      </c>
      <c r="K1589" t="s">
        <v>23</v>
      </c>
    </row>
    <row r="1590" spans="1:11">
      <c r="A1590" s="1">
        <v>45645</v>
      </c>
      <c r="B1590" t="s">
        <v>40</v>
      </c>
      <c r="C1590" t="s">
        <v>43</v>
      </c>
      <c r="D1590">
        <v>8385</v>
      </c>
      <c r="E1590">
        <v>1377</v>
      </c>
      <c r="F1590">
        <v>24</v>
      </c>
      <c r="G1590">
        <v>0</v>
      </c>
      <c r="H1590">
        <v>9786</v>
      </c>
      <c r="I1590" s="1">
        <v>45627</v>
      </c>
      <c r="J1590">
        <v>24</v>
      </c>
      <c r="K1590" t="s">
        <v>23</v>
      </c>
    </row>
    <row r="1591" spans="1:11">
      <c r="A1591" s="1">
        <v>45645</v>
      </c>
      <c r="B1591" t="s">
        <v>40</v>
      </c>
      <c r="C1591" t="s">
        <v>38</v>
      </c>
      <c r="D1591">
        <v>2122</v>
      </c>
      <c r="E1591">
        <v>585</v>
      </c>
      <c r="F1591">
        <v>81</v>
      </c>
      <c r="G1591">
        <v>0</v>
      </c>
      <c r="H1591">
        <v>2788</v>
      </c>
      <c r="I1591" s="1">
        <v>45627</v>
      </c>
      <c r="J1591">
        <v>81</v>
      </c>
      <c r="K1591" t="s">
        <v>23</v>
      </c>
    </row>
    <row r="1592" spans="1:11">
      <c r="A1592" s="1">
        <v>45645</v>
      </c>
      <c r="B1592" t="s">
        <v>40</v>
      </c>
      <c r="C1592" t="s">
        <v>46</v>
      </c>
      <c r="D1592">
        <v>2116</v>
      </c>
      <c r="E1592">
        <v>436</v>
      </c>
      <c r="F1592">
        <v>59</v>
      </c>
      <c r="G1592">
        <v>0</v>
      </c>
      <c r="H1592">
        <v>2611</v>
      </c>
      <c r="I1592" s="1">
        <v>45627</v>
      </c>
      <c r="J1592">
        <v>59</v>
      </c>
      <c r="K1592" t="s">
        <v>23</v>
      </c>
    </row>
    <row r="1593" spans="1:11">
      <c r="A1593" s="1">
        <v>45645</v>
      </c>
      <c r="B1593" t="s">
        <v>40</v>
      </c>
      <c r="C1593" t="s">
        <v>34</v>
      </c>
      <c r="D1593">
        <v>3862</v>
      </c>
      <c r="E1593">
        <v>649</v>
      </c>
      <c r="F1593">
        <v>3</v>
      </c>
      <c r="G1593">
        <v>0</v>
      </c>
      <c r="H1593">
        <v>4514</v>
      </c>
      <c r="I1593" s="1">
        <v>45627</v>
      </c>
      <c r="J1593">
        <v>3</v>
      </c>
      <c r="K1593" t="s">
        <v>23</v>
      </c>
    </row>
    <row r="1594" spans="1:11">
      <c r="A1594" s="1">
        <v>45645</v>
      </c>
      <c r="B1594" t="s">
        <v>40</v>
      </c>
      <c r="C1594" t="s">
        <v>49</v>
      </c>
      <c r="D1594">
        <v>3139</v>
      </c>
      <c r="E1594">
        <v>553</v>
      </c>
      <c r="F1594">
        <v>28</v>
      </c>
      <c r="G1594">
        <v>0</v>
      </c>
      <c r="H1594">
        <v>3719</v>
      </c>
      <c r="I1594" s="1">
        <v>45627</v>
      </c>
      <c r="J1594">
        <v>28</v>
      </c>
      <c r="K1594" t="s">
        <v>23</v>
      </c>
    </row>
    <row r="1595" spans="1:11">
      <c r="A1595" s="1">
        <v>45645</v>
      </c>
      <c r="B1595" t="s">
        <v>21</v>
      </c>
      <c r="C1595" t="s">
        <v>37</v>
      </c>
      <c r="D1595">
        <v>33</v>
      </c>
      <c r="E1595">
        <v>18</v>
      </c>
      <c r="F1595">
        <v>8</v>
      </c>
      <c r="G1595">
        <v>0</v>
      </c>
      <c r="H1595">
        <v>58</v>
      </c>
      <c r="I1595" s="1">
        <v>45627</v>
      </c>
      <c r="J1595">
        <v>8</v>
      </c>
      <c r="K1595" t="s">
        <v>23</v>
      </c>
    </row>
    <row r="1596" spans="1:11">
      <c r="A1596" s="1">
        <v>45645</v>
      </c>
      <c r="B1596" t="s">
        <v>21</v>
      </c>
      <c r="C1596" t="s">
        <v>35</v>
      </c>
      <c r="D1596">
        <v>17</v>
      </c>
      <c r="E1596">
        <v>2</v>
      </c>
      <c r="F1596">
        <v>1</v>
      </c>
      <c r="G1596">
        <v>0</v>
      </c>
      <c r="H1596">
        <v>20</v>
      </c>
      <c r="I1596" s="1">
        <v>45627</v>
      </c>
      <c r="J1596">
        <v>1</v>
      </c>
      <c r="K1596" t="s">
        <v>23</v>
      </c>
    </row>
    <row r="1597" spans="1:11">
      <c r="A1597" s="1">
        <v>45645</v>
      </c>
      <c r="B1597" t="s">
        <v>21</v>
      </c>
      <c r="C1597" t="s">
        <v>46</v>
      </c>
      <c r="D1597">
        <v>434</v>
      </c>
      <c r="E1597">
        <v>18</v>
      </c>
      <c r="F1597">
        <v>3</v>
      </c>
      <c r="G1597">
        <v>0</v>
      </c>
      <c r="H1597">
        <v>455</v>
      </c>
      <c r="I1597" s="1">
        <v>45627</v>
      </c>
      <c r="J1597">
        <v>3</v>
      </c>
      <c r="K1597" t="s">
        <v>23</v>
      </c>
    </row>
    <row r="1598" spans="1:11">
      <c r="A1598" s="1">
        <v>45645</v>
      </c>
      <c r="B1598" t="s">
        <v>21</v>
      </c>
      <c r="C1598" t="s">
        <v>36</v>
      </c>
      <c r="D1598">
        <v>12</v>
      </c>
      <c r="E1598">
        <v>2</v>
      </c>
      <c r="F1598">
        <v>1</v>
      </c>
      <c r="G1598">
        <v>0</v>
      </c>
      <c r="H1598">
        <v>15</v>
      </c>
      <c r="I1598" s="1">
        <v>45627</v>
      </c>
      <c r="J1598">
        <v>1</v>
      </c>
      <c r="K1598" t="s">
        <v>23</v>
      </c>
    </row>
    <row r="1599" spans="1:11">
      <c r="A1599" s="1">
        <v>45645</v>
      </c>
      <c r="B1599" t="s">
        <v>21</v>
      </c>
      <c r="C1599" t="s">
        <v>32</v>
      </c>
      <c r="D1599">
        <v>308</v>
      </c>
      <c r="E1599">
        <v>42</v>
      </c>
      <c r="F1599">
        <v>13</v>
      </c>
      <c r="G1599">
        <v>0</v>
      </c>
      <c r="H1599">
        <v>363</v>
      </c>
      <c r="I1599" s="1">
        <v>45627</v>
      </c>
      <c r="J1599">
        <v>13</v>
      </c>
      <c r="K1599" t="s">
        <v>23</v>
      </c>
    </row>
    <row r="1600" spans="1:11">
      <c r="A1600" s="1">
        <v>45687</v>
      </c>
      <c r="B1600" t="s">
        <v>40</v>
      </c>
      <c r="C1600" t="s">
        <v>55</v>
      </c>
      <c r="D1600">
        <v>5543</v>
      </c>
      <c r="E1600">
        <v>609</v>
      </c>
      <c r="F1600">
        <v>1</v>
      </c>
      <c r="G1600">
        <v>0</v>
      </c>
      <c r="H1600">
        <v>6153</v>
      </c>
      <c r="I1600" s="1">
        <v>45658</v>
      </c>
      <c r="J1600">
        <v>1</v>
      </c>
      <c r="K1600" t="s">
        <v>23</v>
      </c>
    </row>
    <row r="1601" spans="1:11">
      <c r="A1601" s="1">
        <v>45687</v>
      </c>
      <c r="B1601" t="s">
        <v>40</v>
      </c>
      <c r="C1601" t="s">
        <v>43</v>
      </c>
      <c r="D1601">
        <v>9172</v>
      </c>
      <c r="E1601">
        <v>1853</v>
      </c>
      <c r="F1601">
        <v>32</v>
      </c>
      <c r="G1601">
        <v>0</v>
      </c>
      <c r="H1601">
        <v>11056</v>
      </c>
      <c r="I1601" s="1">
        <v>45658</v>
      </c>
      <c r="J1601">
        <v>32</v>
      </c>
      <c r="K1601" t="s">
        <v>23</v>
      </c>
    </row>
    <row r="1602" spans="1:11">
      <c r="A1602" s="1">
        <v>45687</v>
      </c>
      <c r="B1602" t="s">
        <v>21</v>
      </c>
      <c r="C1602" t="s">
        <v>41</v>
      </c>
      <c r="D1602">
        <v>501</v>
      </c>
      <c r="E1602">
        <v>180</v>
      </c>
      <c r="F1602">
        <v>5</v>
      </c>
      <c r="G1602">
        <v>0</v>
      </c>
      <c r="H1602">
        <v>686</v>
      </c>
      <c r="I1602" s="1">
        <v>45658</v>
      </c>
      <c r="J1602">
        <v>5</v>
      </c>
      <c r="K1602" t="s">
        <v>23</v>
      </c>
    </row>
    <row r="1603" spans="1:11">
      <c r="A1603" s="1">
        <v>45687</v>
      </c>
      <c r="B1603" t="s">
        <v>21</v>
      </c>
      <c r="C1603" t="s">
        <v>37</v>
      </c>
      <c r="D1603">
        <v>53</v>
      </c>
      <c r="E1603">
        <v>13</v>
      </c>
      <c r="F1603">
        <v>3</v>
      </c>
      <c r="G1603">
        <v>0</v>
      </c>
      <c r="H1603">
        <v>69</v>
      </c>
      <c r="I1603" s="1">
        <v>45658</v>
      </c>
      <c r="J1603">
        <v>3</v>
      </c>
      <c r="K1603" t="s">
        <v>23</v>
      </c>
    </row>
    <row r="1604" spans="1:11">
      <c r="A1604" s="1">
        <v>45687</v>
      </c>
      <c r="B1604" t="s">
        <v>21</v>
      </c>
      <c r="C1604" t="s">
        <v>43</v>
      </c>
      <c r="D1604">
        <v>725</v>
      </c>
      <c r="E1604">
        <v>515</v>
      </c>
      <c r="F1604">
        <v>1</v>
      </c>
      <c r="G1604">
        <v>0</v>
      </c>
      <c r="H1604">
        <v>1241</v>
      </c>
      <c r="I1604" s="1">
        <v>45658</v>
      </c>
      <c r="J1604">
        <v>1</v>
      </c>
      <c r="K1604" t="s">
        <v>23</v>
      </c>
    </row>
    <row r="1605" spans="1:11">
      <c r="A1605" s="1">
        <v>45687</v>
      </c>
      <c r="B1605" t="s">
        <v>21</v>
      </c>
      <c r="C1605" t="s">
        <v>35</v>
      </c>
      <c r="D1605">
        <v>15</v>
      </c>
      <c r="E1605">
        <v>1</v>
      </c>
      <c r="F1605">
        <v>3</v>
      </c>
      <c r="G1605">
        <v>0</v>
      </c>
      <c r="H1605">
        <v>19</v>
      </c>
      <c r="I1605" s="1">
        <v>45658</v>
      </c>
      <c r="J1605">
        <v>3</v>
      </c>
      <c r="K1605" t="s">
        <v>23</v>
      </c>
    </row>
    <row r="1606" spans="1:11">
      <c r="A1606" s="1">
        <v>45687</v>
      </c>
      <c r="B1606" t="s">
        <v>21</v>
      </c>
      <c r="C1606" t="s">
        <v>36</v>
      </c>
      <c r="D1606">
        <v>6</v>
      </c>
      <c r="E1606">
        <v>2</v>
      </c>
      <c r="F1606">
        <v>1</v>
      </c>
      <c r="G1606">
        <v>0</v>
      </c>
      <c r="H1606">
        <v>9</v>
      </c>
      <c r="I1606" s="1">
        <v>45658</v>
      </c>
      <c r="J1606">
        <v>1</v>
      </c>
      <c r="K1606" t="s">
        <v>23</v>
      </c>
    </row>
    <row r="1607" spans="1:11">
      <c r="A1607" s="1">
        <v>45715</v>
      </c>
      <c r="B1607" t="s">
        <v>40</v>
      </c>
      <c r="C1607" t="s">
        <v>55</v>
      </c>
      <c r="D1607">
        <v>5849</v>
      </c>
      <c r="E1607">
        <v>647</v>
      </c>
      <c r="F1607">
        <v>42</v>
      </c>
      <c r="G1607">
        <v>0</v>
      </c>
      <c r="H1607">
        <v>6538</v>
      </c>
      <c r="I1607" s="1">
        <v>45689</v>
      </c>
      <c r="J1607">
        <v>42</v>
      </c>
      <c r="K1607" t="s">
        <v>23</v>
      </c>
    </row>
    <row r="1608" spans="1:11">
      <c r="A1608" s="1">
        <v>45715</v>
      </c>
      <c r="B1608" t="s">
        <v>40</v>
      </c>
      <c r="C1608" t="s">
        <v>30</v>
      </c>
      <c r="D1608">
        <v>1720</v>
      </c>
      <c r="E1608">
        <v>181</v>
      </c>
      <c r="F1608">
        <v>3</v>
      </c>
      <c r="G1608">
        <v>0</v>
      </c>
      <c r="H1608">
        <v>1904</v>
      </c>
      <c r="I1608" s="1">
        <v>45689</v>
      </c>
      <c r="J1608">
        <v>3</v>
      </c>
      <c r="K1608" t="s">
        <v>23</v>
      </c>
    </row>
    <row r="1609" spans="1:11">
      <c r="A1609" s="1">
        <v>45715</v>
      </c>
      <c r="B1609" t="s">
        <v>40</v>
      </c>
      <c r="C1609" t="s">
        <v>43</v>
      </c>
      <c r="D1609">
        <v>9664</v>
      </c>
      <c r="E1609">
        <v>2015</v>
      </c>
      <c r="F1609">
        <v>42</v>
      </c>
      <c r="G1609">
        <v>0</v>
      </c>
      <c r="H1609">
        <v>11720</v>
      </c>
      <c r="I1609" s="1">
        <v>45689</v>
      </c>
      <c r="J1609">
        <v>42</v>
      </c>
      <c r="K1609" t="s">
        <v>23</v>
      </c>
    </row>
    <row r="1610" spans="1:11">
      <c r="A1610" s="1">
        <v>45715</v>
      </c>
      <c r="B1610" t="s">
        <v>40</v>
      </c>
      <c r="C1610" t="s">
        <v>34</v>
      </c>
      <c r="D1610">
        <v>3812</v>
      </c>
      <c r="E1610">
        <v>887</v>
      </c>
      <c r="F1610">
        <v>3</v>
      </c>
      <c r="G1610">
        <v>0</v>
      </c>
      <c r="H1610">
        <v>4702</v>
      </c>
      <c r="I1610" s="1">
        <v>45689</v>
      </c>
      <c r="J1610">
        <v>3</v>
      </c>
      <c r="K1610" t="s">
        <v>23</v>
      </c>
    </row>
    <row r="1611" spans="1:11">
      <c r="A1611" s="1">
        <v>45715</v>
      </c>
      <c r="B1611" t="s">
        <v>21</v>
      </c>
      <c r="C1611" t="s">
        <v>41</v>
      </c>
      <c r="D1611">
        <v>503</v>
      </c>
      <c r="E1611">
        <v>191</v>
      </c>
      <c r="F1611">
        <v>5</v>
      </c>
      <c r="G1611">
        <v>0</v>
      </c>
      <c r="H1611">
        <v>699</v>
      </c>
      <c r="I1611" s="1">
        <v>45689</v>
      </c>
      <c r="J1611">
        <v>5</v>
      </c>
      <c r="K1611" t="s">
        <v>23</v>
      </c>
    </row>
    <row r="1612" spans="1:11">
      <c r="A1612" s="1">
        <v>45715</v>
      </c>
      <c r="B1612" t="s">
        <v>21</v>
      </c>
      <c r="C1612" t="s">
        <v>37</v>
      </c>
      <c r="D1612">
        <v>47</v>
      </c>
      <c r="E1612">
        <v>18</v>
      </c>
      <c r="F1612">
        <v>3</v>
      </c>
      <c r="G1612">
        <v>0</v>
      </c>
      <c r="H1612">
        <v>68</v>
      </c>
      <c r="I1612" s="1">
        <v>45689</v>
      </c>
      <c r="J1612">
        <v>3</v>
      </c>
      <c r="K1612" t="s">
        <v>23</v>
      </c>
    </row>
    <row r="1613" spans="1:11">
      <c r="A1613" s="1">
        <v>45715</v>
      </c>
      <c r="B1613" t="s">
        <v>21</v>
      </c>
      <c r="C1613" t="s">
        <v>43</v>
      </c>
      <c r="D1613">
        <v>752</v>
      </c>
      <c r="E1613">
        <v>458</v>
      </c>
      <c r="F1613">
        <v>9</v>
      </c>
      <c r="G1613">
        <v>0</v>
      </c>
      <c r="H1613">
        <v>1218</v>
      </c>
      <c r="I1613" s="1">
        <v>45689</v>
      </c>
      <c r="J1613">
        <v>9</v>
      </c>
      <c r="K1613" t="s">
        <v>23</v>
      </c>
    </row>
    <row r="1614" spans="1:11">
      <c r="A1614" s="1">
        <v>45715</v>
      </c>
      <c r="B1614" t="s">
        <v>21</v>
      </c>
      <c r="C1614" t="s">
        <v>36</v>
      </c>
      <c r="D1614">
        <v>6</v>
      </c>
      <c r="E1614">
        <v>1</v>
      </c>
      <c r="F1614">
        <v>3</v>
      </c>
      <c r="G1614">
        <v>0</v>
      </c>
      <c r="H1614">
        <v>10</v>
      </c>
      <c r="I1614" s="1">
        <v>45689</v>
      </c>
      <c r="J1614">
        <v>3</v>
      </c>
      <c r="K1614" t="s">
        <v>23</v>
      </c>
    </row>
    <row r="1615" spans="1:11">
      <c r="A1615" s="1">
        <v>45743</v>
      </c>
      <c r="B1615" t="s">
        <v>40</v>
      </c>
      <c r="C1615" t="s">
        <v>50</v>
      </c>
      <c r="D1615">
        <v>732</v>
      </c>
      <c r="E1615">
        <v>5</v>
      </c>
      <c r="F1615">
        <v>8</v>
      </c>
      <c r="G1615">
        <v>0</v>
      </c>
      <c r="H1615">
        <v>745</v>
      </c>
      <c r="I1615" s="1">
        <v>45717</v>
      </c>
      <c r="J1615">
        <v>8</v>
      </c>
      <c r="K1615" t="s">
        <v>23</v>
      </c>
    </row>
    <row r="1616" spans="1:11">
      <c r="A1616" s="1">
        <v>45743</v>
      </c>
      <c r="B1616" t="s">
        <v>40</v>
      </c>
      <c r="C1616" t="s">
        <v>55</v>
      </c>
      <c r="D1616">
        <v>6007</v>
      </c>
      <c r="E1616">
        <v>606</v>
      </c>
      <c r="F1616">
        <v>13</v>
      </c>
      <c r="G1616">
        <v>0</v>
      </c>
      <c r="H1616">
        <v>6625</v>
      </c>
      <c r="I1616" s="1">
        <v>45717</v>
      </c>
      <c r="J1616">
        <v>13</v>
      </c>
      <c r="K1616" t="s">
        <v>23</v>
      </c>
    </row>
    <row r="1617" spans="1:11">
      <c r="A1617" s="1">
        <v>45743</v>
      </c>
      <c r="B1617" t="s">
        <v>40</v>
      </c>
      <c r="C1617" t="s">
        <v>30</v>
      </c>
      <c r="D1617">
        <v>1789</v>
      </c>
      <c r="E1617">
        <v>177</v>
      </c>
      <c r="F1617">
        <v>27</v>
      </c>
      <c r="G1617">
        <v>0</v>
      </c>
      <c r="H1617">
        <v>1993</v>
      </c>
      <c r="I1617" s="1">
        <v>45717</v>
      </c>
      <c r="J1617">
        <v>27</v>
      </c>
      <c r="K1617" t="s">
        <v>23</v>
      </c>
    </row>
    <row r="1618" spans="1:11">
      <c r="A1618" s="1">
        <v>45743</v>
      </c>
      <c r="B1618" t="s">
        <v>40</v>
      </c>
      <c r="C1618" t="s">
        <v>42</v>
      </c>
      <c r="D1618">
        <v>1615</v>
      </c>
      <c r="E1618">
        <v>707</v>
      </c>
      <c r="F1618">
        <v>40</v>
      </c>
      <c r="G1618">
        <v>0</v>
      </c>
      <c r="H1618">
        <v>2362</v>
      </c>
      <c r="I1618" s="1">
        <v>45717</v>
      </c>
      <c r="J1618">
        <v>40</v>
      </c>
      <c r="K1618" t="s">
        <v>23</v>
      </c>
    </row>
    <row r="1619" spans="1:11">
      <c r="A1619" s="1">
        <v>45743</v>
      </c>
      <c r="B1619" t="s">
        <v>40</v>
      </c>
      <c r="C1619" t="s">
        <v>43</v>
      </c>
      <c r="D1619">
        <v>9835</v>
      </c>
      <c r="E1619">
        <v>2307</v>
      </c>
      <c r="F1619">
        <v>58</v>
      </c>
      <c r="G1619">
        <v>0</v>
      </c>
      <c r="H1619">
        <v>12200</v>
      </c>
      <c r="I1619" s="1">
        <v>45717</v>
      </c>
      <c r="J1619">
        <v>58</v>
      </c>
      <c r="K1619" t="s">
        <v>23</v>
      </c>
    </row>
    <row r="1620" spans="1:11">
      <c r="A1620" s="1">
        <v>45743</v>
      </c>
      <c r="B1620" t="s">
        <v>40</v>
      </c>
      <c r="C1620" t="s">
        <v>38</v>
      </c>
      <c r="D1620">
        <v>2196</v>
      </c>
      <c r="E1620">
        <v>759</v>
      </c>
      <c r="F1620">
        <v>84</v>
      </c>
      <c r="G1620">
        <v>0</v>
      </c>
      <c r="H1620">
        <v>3039</v>
      </c>
      <c r="I1620" s="1">
        <v>45717</v>
      </c>
      <c r="J1620">
        <v>84</v>
      </c>
      <c r="K1620" t="s">
        <v>23</v>
      </c>
    </row>
    <row r="1621" spans="1:11">
      <c r="A1621" s="1">
        <v>45743</v>
      </c>
      <c r="B1621" t="s">
        <v>21</v>
      </c>
      <c r="C1621" t="s">
        <v>41</v>
      </c>
      <c r="D1621">
        <v>521</v>
      </c>
      <c r="E1621">
        <v>202</v>
      </c>
      <c r="F1621">
        <v>6</v>
      </c>
      <c r="G1621">
        <v>0</v>
      </c>
      <c r="H1621">
        <v>729</v>
      </c>
      <c r="I1621" s="1">
        <v>45717</v>
      </c>
      <c r="J1621">
        <v>6</v>
      </c>
      <c r="K1621" t="s">
        <v>23</v>
      </c>
    </row>
    <row r="1622" spans="1:11">
      <c r="A1622" s="1">
        <v>45743</v>
      </c>
      <c r="B1622" t="s">
        <v>21</v>
      </c>
      <c r="C1622" t="s">
        <v>37</v>
      </c>
      <c r="D1622">
        <v>40</v>
      </c>
      <c r="E1622">
        <v>21</v>
      </c>
      <c r="F1622">
        <v>5</v>
      </c>
      <c r="G1622">
        <v>0</v>
      </c>
      <c r="H1622">
        <v>66</v>
      </c>
      <c r="I1622" s="1">
        <v>45717</v>
      </c>
      <c r="J1622">
        <v>5</v>
      </c>
      <c r="K1622" t="s">
        <v>23</v>
      </c>
    </row>
    <row r="1623" spans="1:11">
      <c r="A1623" s="1">
        <v>45743</v>
      </c>
      <c r="B1623" t="s">
        <v>21</v>
      </c>
      <c r="C1623" t="s">
        <v>43</v>
      </c>
      <c r="D1623">
        <v>760</v>
      </c>
      <c r="E1623">
        <v>436</v>
      </c>
      <c r="F1623">
        <v>28</v>
      </c>
      <c r="G1623">
        <v>0</v>
      </c>
      <c r="H1623">
        <v>1224</v>
      </c>
      <c r="I1623" s="1">
        <v>45717</v>
      </c>
      <c r="J1623">
        <v>28</v>
      </c>
      <c r="K1623" t="s">
        <v>23</v>
      </c>
    </row>
    <row r="1624" spans="1:11">
      <c r="A1624" s="1">
        <v>45743</v>
      </c>
      <c r="B1624" t="s">
        <v>21</v>
      </c>
      <c r="C1624" t="s">
        <v>36</v>
      </c>
      <c r="D1624">
        <v>6</v>
      </c>
      <c r="E1624">
        <v>1</v>
      </c>
      <c r="F1624">
        <v>1</v>
      </c>
      <c r="G1624">
        <v>0</v>
      </c>
      <c r="H1624">
        <v>8</v>
      </c>
      <c r="I1624" s="1">
        <v>45717</v>
      </c>
      <c r="J1624">
        <v>1</v>
      </c>
      <c r="K1624" t="s">
        <v>23</v>
      </c>
    </row>
    <row r="1625" spans="1:11">
      <c r="A1625" s="1">
        <v>45771</v>
      </c>
      <c r="B1625" t="s">
        <v>40</v>
      </c>
      <c r="C1625" t="s">
        <v>55</v>
      </c>
      <c r="D1625">
        <v>6043</v>
      </c>
      <c r="E1625">
        <v>860</v>
      </c>
      <c r="F1625">
        <v>194</v>
      </c>
      <c r="G1625">
        <v>0</v>
      </c>
      <c r="H1625">
        <v>7097</v>
      </c>
      <c r="I1625" s="1">
        <v>45748</v>
      </c>
      <c r="J1625">
        <v>194</v>
      </c>
      <c r="K1625" t="s">
        <v>23</v>
      </c>
    </row>
    <row r="1626" spans="1:11">
      <c r="A1626" s="1">
        <v>45771</v>
      </c>
      <c r="B1626" t="s">
        <v>40</v>
      </c>
      <c r="C1626" t="s">
        <v>30</v>
      </c>
      <c r="D1626">
        <v>1775</v>
      </c>
      <c r="E1626">
        <v>211</v>
      </c>
      <c r="F1626">
        <v>49</v>
      </c>
      <c r="G1626">
        <v>0</v>
      </c>
      <c r="H1626">
        <v>2035</v>
      </c>
      <c r="I1626" s="1">
        <v>45748</v>
      </c>
      <c r="J1626">
        <v>49</v>
      </c>
      <c r="K1626" t="s">
        <v>23</v>
      </c>
    </row>
    <row r="1627" spans="1:11">
      <c r="A1627" s="1">
        <v>45771</v>
      </c>
      <c r="B1627" t="s">
        <v>40</v>
      </c>
      <c r="C1627" t="s">
        <v>43</v>
      </c>
      <c r="D1627">
        <v>10142</v>
      </c>
      <c r="E1627">
        <v>2844</v>
      </c>
      <c r="F1627">
        <v>82</v>
      </c>
      <c r="G1627">
        <v>0</v>
      </c>
      <c r="H1627">
        <v>13068</v>
      </c>
      <c r="I1627" s="1">
        <v>45748</v>
      </c>
      <c r="J1627">
        <v>82</v>
      </c>
      <c r="K1627" t="s">
        <v>23</v>
      </c>
    </row>
    <row r="1628" spans="1:11">
      <c r="A1628" s="1">
        <v>45771</v>
      </c>
      <c r="B1628" t="s">
        <v>40</v>
      </c>
      <c r="C1628" t="s">
        <v>38</v>
      </c>
      <c r="D1628">
        <v>2107</v>
      </c>
      <c r="E1628">
        <v>801</v>
      </c>
      <c r="F1628">
        <v>94</v>
      </c>
      <c r="G1628">
        <v>0</v>
      </c>
      <c r="H1628">
        <v>3002</v>
      </c>
      <c r="I1628" s="1">
        <v>45748</v>
      </c>
      <c r="J1628">
        <v>94</v>
      </c>
      <c r="K1628" t="s">
        <v>23</v>
      </c>
    </row>
    <row r="1629" spans="1:11">
      <c r="A1629" s="1">
        <v>45771</v>
      </c>
      <c r="B1629" t="s">
        <v>40</v>
      </c>
      <c r="C1629" t="s">
        <v>34</v>
      </c>
      <c r="D1629">
        <v>3661</v>
      </c>
      <c r="E1629">
        <v>1040</v>
      </c>
      <c r="F1629">
        <v>1</v>
      </c>
      <c r="G1629">
        <v>0</v>
      </c>
      <c r="H1629">
        <v>4702</v>
      </c>
      <c r="I1629" s="1">
        <v>45748</v>
      </c>
      <c r="J1629">
        <v>1</v>
      </c>
      <c r="K1629" t="s">
        <v>23</v>
      </c>
    </row>
    <row r="1630" spans="1:11">
      <c r="A1630" s="1">
        <v>45771</v>
      </c>
      <c r="B1630" t="s">
        <v>21</v>
      </c>
      <c r="C1630" t="s">
        <v>41</v>
      </c>
      <c r="D1630">
        <v>496</v>
      </c>
      <c r="E1630">
        <v>207</v>
      </c>
      <c r="F1630">
        <v>23</v>
      </c>
      <c r="G1630">
        <v>0</v>
      </c>
      <c r="H1630">
        <v>726</v>
      </c>
      <c r="I1630" s="1">
        <v>45748</v>
      </c>
      <c r="J1630">
        <v>23</v>
      </c>
      <c r="K1630" t="s">
        <v>23</v>
      </c>
    </row>
    <row r="1631" spans="1:11">
      <c r="A1631" s="1">
        <v>45771</v>
      </c>
      <c r="B1631" t="s">
        <v>21</v>
      </c>
      <c r="C1631" t="s">
        <v>37</v>
      </c>
      <c r="D1631">
        <v>36</v>
      </c>
      <c r="E1631">
        <v>26</v>
      </c>
      <c r="F1631">
        <v>7</v>
      </c>
      <c r="G1631">
        <v>0</v>
      </c>
      <c r="H1631">
        <v>69</v>
      </c>
      <c r="I1631" s="1">
        <v>45748</v>
      </c>
      <c r="J1631">
        <v>7</v>
      </c>
      <c r="K1631" t="s">
        <v>23</v>
      </c>
    </row>
    <row r="1632" spans="1:11">
      <c r="A1632" s="1">
        <v>45771</v>
      </c>
      <c r="B1632" t="s">
        <v>21</v>
      </c>
      <c r="C1632" t="s">
        <v>43</v>
      </c>
      <c r="D1632">
        <v>783</v>
      </c>
      <c r="E1632">
        <v>436</v>
      </c>
      <c r="F1632">
        <v>23</v>
      </c>
      <c r="G1632">
        <v>0</v>
      </c>
      <c r="H1632">
        <v>1242</v>
      </c>
      <c r="I1632" s="1">
        <v>45748</v>
      </c>
      <c r="J1632">
        <v>23</v>
      </c>
      <c r="K1632" t="s">
        <v>23</v>
      </c>
    </row>
    <row r="1633" spans="1:11">
      <c r="A1633" s="1">
        <v>45771</v>
      </c>
      <c r="B1633" t="s">
        <v>21</v>
      </c>
      <c r="C1633" t="s">
        <v>31</v>
      </c>
      <c r="D1633">
        <v>127</v>
      </c>
      <c r="E1633">
        <v>65</v>
      </c>
      <c r="F1633">
        <v>19</v>
      </c>
      <c r="G1633">
        <v>0</v>
      </c>
      <c r="H1633">
        <v>210</v>
      </c>
      <c r="I1633" s="1">
        <v>45748</v>
      </c>
      <c r="J1633">
        <v>19</v>
      </c>
      <c r="K1633" t="s">
        <v>23</v>
      </c>
    </row>
    <row r="1634" spans="1:11">
      <c r="A1634" s="1">
        <v>45771</v>
      </c>
      <c r="B1634" t="s">
        <v>21</v>
      </c>
      <c r="C1634" t="s">
        <v>36</v>
      </c>
      <c r="D1634">
        <v>5</v>
      </c>
      <c r="E1634">
        <v>1</v>
      </c>
      <c r="F1634">
        <v>1</v>
      </c>
      <c r="G1634">
        <v>0</v>
      </c>
      <c r="H1634">
        <v>7</v>
      </c>
      <c r="I1634" s="1">
        <v>45748</v>
      </c>
      <c r="J1634">
        <v>1</v>
      </c>
      <c r="K1634" t="s">
        <v>23</v>
      </c>
    </row>
    <row r="1635" spans="1:11">
      <c r="A1635" s="1">
        <v>45806</v>
      </c>
      <c r="B1635" t="s">
        <v>40</v>
      </c>
      <c r="C1635" t="s">
        <v>30</v>
      </c>
      <c r="D1635">
        <v>1943</v>
      </c>
      <c r="E1635">
        <v>230</v>
      </c>
      <c r="F1635">
        <v>60</v>
      </c>
      <c r="G1635">
        <v>0</v>
      </c>
      <c r="H1635">
        <v>2233</v>
      </c>
      <c r="I1635" s="1">
        <v>45778</v>
      </c>
      <c r="J1635">
        <v>60</v>
      </c>
      <c r="K1635" t="s">
        <v>23</v>
      </c>
    </row>
    <row r="1636" spans="1:11">
      <c r="A1636" s="1">
        <v>45806</v>
      </c>
      <c r="B1636" t="s">
        <v>40</v>
      </c>
      <c r="C1636" t="s">
        <v>42</v>
      </c>
      <c r="D1636">
        <v>1858</v>
      </c>
      <c r="E1636">
        <v>660</v>
      </c>
      <c r="F1636">
        <v>93</v>
      </c>
      <c r="G1636">
        <v>0</v>
      </c>
      <c r="H1636">
        <v>2610</v>
      </c>
      <c r="I1636" s="1">
        <v>45778</v>
      </c>
      <c r="J1636">
        <v>93</v>
      </c>
      <c r="K1636" t="s">
        <v>23</v>
      </c>
    </row>
    <row r="1637" spans="1:11">
      <c r="A1637" s="1">
        <v>45806</v>
      </c>
      <c r="B1637" t="s">
        <v>40</v>
      </c>
      <c r="C1637" t="s">
        <v>43</v>
      </c>
      <c r="D1637">
        <v>10374</v>
      </c>
      <c r="E1637">
        <v>2972</v>
      </c>
      <c r="F1637">
        <v>89</v>
      </c>
      <c r="G1637">
        <v>0</v>
      </c>
      <c r="H1637">
        <v>13435</v>
      </c>
      <c r="I1637" s="1">
        <v>45778</v>
      </c>
      <c r="J1637">
        <v>89</v>
      </c>
      <c r="K1637" t="s">
        <v>23</v>
      </c>
    </row>
    <row r="1638" spans="1:11">
      <c r="A1638" s="1">
        <v>45806</v>
      </c>
      <c r="B1638" t="s">
        <v>40</v>
      </c>
      <c r="C1638" t="s">
        <v>34</v>
      </c>
      <c r="D1638">
        <v>3394</v>
      </c>
      <c r="E1638">
        <v>1092</v>
      </c>
      <c r="F1638">
        <v>10</v>
      </c>
      <c r="G1638">
        <v>0</v>
      </c>
      <c r="H1638">
        <v>4496</v>
      </c>
      <c r="I1638" s="1">
        <v>45778</v>
      </c>
      <c r="J1638">
        <v>10</v>
      </c>
      <c r="K1638" t="s">
        <v>23</v>
      </c>
    </row>
    <row r="1639" spans="1:11">
      <c r="A1639" s="1">
        <v>45806</v>
      </c>
      <c r="B1639" t="s">
        <v>21</v>
      </c>
      <c r="C1639" t="s">
        <v>48</v>
      </c>
      <c r="D1639">
        <v>29</v>
      </c>
      <c r="E1639">
        <v>13</v>
      </c>
      <c r="F1639">
        <v>1</v>
      </c>
      <c r="G1639">
        <v>0</v>
      </c>
      <c r="H1639">
        <v>43</v>
      </c>
      <c r="I1639" s="1">
        <v>45778</v>
      </c>
      <c r="J1639">
        <v>1</v>
      </c>
      <c r="K1639" t="s">
        <v>23</v>
      </c>
    </row>
    <row r="1640" spans="1:11">
      <c r="A1640" s="1">
        <v>45806</v>
      </c>
      <c r="B1640" t="s">
        <v>21</v>
      </c>
      <c r="C1640" t="s">
        <v>43</v>
      </c>
      <c r="D1640">
        <v>803</v>
      </c>
      <c r="E1640">
        <v>414</v>
      </c>
      <c r="F1640">
        <v>15</v>
      </c>
      <c r="G1640">
        <v>0</v>
      </c>
      <c r="H1640">
        <v>1232</v>
      </c>
      <c r="I1640" s="1">
        <v>45778</v>
      </c>
      <c r="J1640">
        <v>15</v>
      </c>
      <c r="K1640" t="s">
        <v>23</v>
      </c>
    </row>
    <row r="1641" spans="1:11">
      <c r="A1641" s="1">
        <v>45806</v>
      </c>
      <c r="B1641" t="s">
        <v>21</v>
      </c>
      <c r="C1641" t="s">
        <v>31</v>
      </c>
      <c r="D1641">
        <v>143</v>
      </c>
      <c r="E1641">
        <v>55</v>
      </c>
      <c r="F1641">
        <v>9</v>
      </c>
      <c r="G1641">
        <v>0</v>
      </c>
      <c r="H1641">
        <v>207</v>
      </c>
      <c r="I1641" s="1">
        <v>45778</v>
      </c>
      <c r="J1641">
        <v>9</v>
      </c>
      <c r="K1641" t="s">
        <v>23</v>
      </c>
    </row>
    <row r="1642" spans="1:11">
      <c r="A1642" s="1">
        <v>45806</v>
      </c>
      <c r="B1642" t="s">
        <v>21</v>
      </c>
      <c r="C1642" t="s">
        <v>36</v>
      </c>
      <c r="D1642">
        <v>3</v>
      </c>
      <c r="E1642">
        <v>1</v>
      </c>
      <c r="F1642">
        <v>1</v>
      </c>
      <c r="G1642">
        <v>0</v>
      </c>
      <c r="H1642">
        <v>5</v>
      </c>
      <c r="I1642" s="1">
        <v>45778</v>
      </c>
      <c r="J1642">
        <v>1</v>
      </c>
      <c r="K1642" t="s">
        <v>23</v>
      </c>
    </row>
    <row r="1643" spans="1:11">
      <c r="A1643" s="1">
        <v>45806</v>
      </c>
      <c r="B1643" t="s">
        <v>21</v>
      </c>
      <c r="C1643" t="s">
        <v>32</v>
      </c>
      <c r="D1643">
        <v>324</v>
      </c>
      <c r="E1643">
        <v>49</v>
      </c>
      <c r="F1643">
        <v>23</v>
      </c>
      <c r="G1643">
        <v>0</v>
      </c>
      <c r="H1643">
        <v>396</v>
      </c>
      <c r="I1643" s="1">
        <v>45778</v>
      </c>
      <c r="J1643">
        <v>23</v>
      </c>
      <c r="K1643" t="s">
        <v>23</v>
      </c>
    </row>
    <row r="1644" spans="1:11">
      <c r="A1644" s="1">
        <v>45834</v>
      </c>
      <c r="B1644" t="s">
        <v>40</v>
      </c>
      <c r="C1644" t="s">
        <v>55</v>
      </c>
      <c r="D1644">
        <v>6354</v>
      </c>
      <c r="E1644">
        <v>1207</v>
      </c>
      <c r="F1644">
        <v>66</v>
      </c>
      <c r="G1644">
        <v>0</v>
      </c>
      <c r="H1644">
        <v>7627</v>
      </c>
      <c r="I1644" s="1">
        <v>45809</v>
      </c>
      <c r="J1644">
        <v>66</v>
      </c>
      <c r="K1644" t="s">
        <v>23</v>
      </c>
    </row>
    <row r="1645" spans="1:11">
      <c r="A1645" s="1">
        <v>45834</v>
      </c>
      <c r="B1645" t="s">
        <v>40</v>
      </c>
      <c r="C1645" t="s">
        <v>30</v>
      </c>
      <c r="D1645">
        <v>1934</v>
      </c>
      <c r="E1645">
        <v>232</v>
      </c>
      <c r="F1645">
        <v>65</v>
      </c>
      <c r="G1645">
        <v>0</v>
      </c>
      <c r="H1645">
        <v>2231</v>
      </c>
      <c r="I1645" s="1">
        <v>45809</v>
      </c>
      <c r="J1645">
        <v>65</v>
      </c>
      <c r="K1645" t="s">
        <v>23</v>
      </c>
    </row>
    <row r="1646" spans="1:11">
      <c r="A1646" s="1">
        <v>45834</v>
      </c>
      <c r="B1646" t="s">
        <v>40</v>
      </c>
      <c r="C1646" t="s">
        <v>42</v>
      </c>
      <c r="D1646">
        <v>1674</v>
      </c>
      <c r="E1646">
        <v>647</v>
      </c>
      <c r="F1646">
        <v>134</v>
      </c>
      <c r="G1646">
        <v>0</v>
      </c>
      <c r="H1646">
        <v>2455</v>
      </c>
      <c r="I1646" s="1">
        <v>45809</v>
      </c>
      <c r="J1646">
        <v>134</v>
      </c>
      <c r="K1646" t="s">
        <v>23</v>
      </c>
    </row>
    <row r="1647" spans="1:11">
      <c r="A1647" s="1">
        <v>45834</v>
      </c>
      <c r="B1647" t="s">
        <v>40</v>
      </c>
      <c r="C1647" t="s">
        <v>43</v>
      </c>
      <c r="D1647">
        <v>10501</v>
      </c>
      <c r="E1647">
        <v>2934</v>
      </c>
      <c r="F1647">
        <v>135</v>
      </c>
      <c r="G1647">
        <v>0</v>
      </c>
      <c r="H1647">
        <v>13570</v>
      </c>
      <c r="I1647" s="1">
        <v>45809</v>
      </c>
      <c r="J1647">
        <v>135</v>
      </c>
      <c r="K1647" t="s">
        <v>23</v>
      </c>
    </row>
    <row r="1648" spans="1:11">
      <c r="A1648" s="1">
        <v>45834</v>
      </c>
      <c r="B1648" t="s">
        <v>40</v>
      </c>
      <c r="C1648" t="s">
        <v>38</v>
      </c>
      <c r="D1648">
        <v>2197</v>
      </c>
      <c r="E1648">
        <v>773</v>
      </c>
      <c r="F1648">
        <v>147</v>
      </c>
      <c r="G1648">
        <v>0</v>
      </c>
      <c r="H1648">
        <v>3117</v>
      </c>
      <c r="I1648" s="1">
        <v>45809</v>
      </c>
      <c r="J1648">
        <v>147</v>
      </c>
      <c r="K1648" t="s">
        <v>23</v>
      </c>
    </row>
    <row r="1649" spans="1:11">
      <c r="A1649" s="1">
        <v>45834</v>
      </c>
      <c r="B1649" t="s">
        <v>40</v>
      </c>
      <c r="C1649" t="s">
        <v>34</v>
      </c>
      <c r="D1649">
        <v>3567</v>
      </c>
      <c r="E1649">
        <v>982</v>
      </c>
      <c r="F1649">
        <v>20</v>
      </c>
      <c r="G1649">
        <v>0</v>
      </c>
      <c r="H1649">
        <v>4569</v>
      </c>
      <c r="I1649" s="1">
        <v>45809</v>
      </c>
      <c r="J1649">
        <v>20</v>
      </c>
      <c r="K1649" t="s">
        <v>23</v>
      </c>
    </row>
    <row r="1650" spans="1:11">
      <c r="A1650" s="1">
        <v>45834</v>
      </c>
      <c r="B1650" t="s">
        <v>21</v>
      </c>
      <c r="C1650" t="s">
        <v>48</v>
      </c>
      <c r="D1650">
        <v>31</v>
      </c>
      <c r="E1650">
        <v>12</v>
      </c>
      <c r="F1650">
        <v>1</v>
      </c>
      <c r="G1650">
        <v>0</v>
      </c>
      <c r="H1650">
        <v>45</v>
      </c>
      <c r="I1650" s="1">
        <v>45809</v>
      </c>
      <c r="J1650">
        <v>1</v>
      </c>
      <c r="K1650" t="s">
        <v>23</v>
      </c>
    </row>
    <row r="1651" spans="1:11">
      <c r="A1651" s="1">
        <v>45834</v>
      </c>
      <c r="B1651" t="s">
        <v>21</v>
      </c>
      <c r="C1651" t="s">
        <v>43</v>
      </c>
      <c r="D1651">
        <v>805</v>
      </c>
      <c r="E1651">
        <v>362</v>
      </c>
      <c r="F1651">
        <v>46</v>
      </c>
      <c r="G1651">
        <v>0</v>
      </c>
      <c r="H1651">
        <v>1213</v>
      </c>
      <c r="I1651" s="1">
        <v>45809</v>
      </c>
      <c r="J1651">
        <v>46</v>
      </c>
      <c r="K1651" t="s">
        <v>23</v>
      </c>
    </row>
    <row r="1652" spans="1:11">
      <c r="A1652" s="1">
        <v>45834</v>
      </c>
      <c r="B1652" t="s">
        <v>21</v>
      </c>
      <c r="C1652" t="s">
        <v>31</v>
      </c>
      <c r="D1652">
        <v>133</v>
      </c>
      <c r="E1652">
        <v>62</v>
      </c>
      <c r="F1652">
        <v>14</v>
      </c>
      <c r="G1652">
        <v>0</v>
      </c>
      <c r="H1652">
        <v>209</v>
      </c>
      <c r="I1652" s="1">
        <v>45809</v>
      </c>
      <c r="J1652">
        <v>14</v>
      </c>
      <c r="K1652" t="s">
        <v>23</v>
      </c>
    </row>
    <row r="1653" spans="1:11">
      <c r="A1653" s="1">
        <v>45834</v>
      </c>
      <c r="B1653" t="s">
        <v>21</v>
      </c>
      <c r="C1653" t="s">
        <v>36</v>
      </c>
      <c r="D1653">
        <v>2</v>
      </c>
      <c r="E1653">
        <v>2</v>
      </c>
      <c r="F1653">
        <v>1</v>
      </c>
      <c r="G1653">
        <v>0</v>
      </c>
      <c r="H1653">
        <v>5</v>
      </c>
      <c r="I1653" s="1">
        <v>45809</v>
      </c>
      <c r="J1653">
        <v>1</v>
      </c>
      <c r="K1653" t="s">
        <v>23</v>
      </c>
    </row>
    <row r="1654" spans="1:11">
      <c r="A1654" s="1">
        <v>45834</v>
      </c>
      <c r="B1654" t="s">
        <v>21</v>
      </c>
      <c r="C1654" t="s">
        <v>32</v>
      </c>
      <c r="D1654">
        <v>326</v>
      </c>
      <c r="E1654">
        <v>62</v>
      </c>
      <c r="F1654">
        <v>25</v>
      </c>
      <c r="G1654">
        <v>0</v>
      </c>
      <c r="H1654">
        <v>413</v>
      </c>
      <c r="I1654" s="1">
        <v>45809</v>
      </c>
      <c r="J1654">
        <v>25</v>
      </c>
      <c r="K1654" t="s">
        <v>23</v>
      </c>
    </row>
    <row r="1655" spans="1:11">
      <c r="A1655" s="1">
        <v>45869</v>
      </c>
      <c r="B1655" t="s">
        <v>40</v>
      </c>
      <c r="C1655" t="s">
        <v>30</v>
      </c>
      <c r="D1655">
        <v>1907</v>
      </c>
      <c r="E1655">
        <v>227</v>
      </c>
      <c r="F1655">
        <v>77</v>
      </c>
      <c r="G1655">
        <v>0</v>
      </c>
      <c r="H1655">
        <v>2211</v>
      </c>
      <c r="I1655" s="1">
        <v>45839</v>
      </c>
      <c r="J1655">
        <v>77</v>
      </c>
      <c r="K1655" t="s">
        <v>23</v>
      </c>
    </row>
    <row r="1656" spans="1:11">
      <c r="A1656" s="1">
        <v>45869</v>
      </c>
      <c r="B1656" t="s">
        <v>40</v>
      </c>
      <c r="C1656" t="s">
        <v>43</v>
      </c>
      <c r="D1656">
        <v>11061</v>
      </c>
      <c r="E1656">
        <v>3047</v>
      </c>
      <c r="F1656">
        <v>196</v>
      </c>
      <c r="G1656">
        <v>0</v>
      </c>
      <c r="H1656">
        <v>14304</v>
      </c>
      <c r="I1656" s="1">
        <v>45839</v>
      </c>
      <c r="J1656">
        <v>196</v>
      </c>
      <c r="K1656" t="s">
        <v>23</v>
      </c>
    </row>
    <row r="1657" spans="1:11">
      <c r="A1657" s="1">
        <v>45869</v>
      </c>
      <c r="B1657" t="s">
        <v>40</v>
      </c>
      <c r="C1657" t="s">
        <v>38</v>
      </c>
      <c r="D1657">
        <v>2292</v>
      </c>
      <c r="E1657">
        <v>748</v>
      </c>
      <c r="F1657">
        <v>136</v>
      </c>
      <c r="G1657">
        <v>0</v>
      </c>
      <c r="H1657">
        <v>3176</v>
      </c>
      <c r="I1657" s="1">
        <v>45839</v>
      </c>
      <c r="J1657">
        <v>136</v>
      </c>
      <c r="K1657" t="s">
        <v>23</v>
      </c>
    </row>
    <row r="1658" spans="1:11">
      <c r="A1658" s="1">
        <v>45869</v>
      </c>
      <c r="B1658" t="s">
        <v>40</v>
      </c>
      <c r="C1658" t="s">
        <v>46</v>
      </c>
      <c r="D1658">
        <v>2236</v>
      </c>
      <c r="E1658">
        <v>492</v>
      </c>
      <c r="F1658">
        <v>70</v>
      </c>
      <c r="G1658">
        <v>0</v>
      </c>
      <c r="H1658">
        <v>2798</v>
      </c>
      <c r="I1658" s="1">
        <v>45839</v>
      </c>
      <c r="J1658">
        <v>70</v>
      </c>
      <c r="K1658" t="s">
        <v>23</v>
      </c>
    </row>
    <row r="1659" spans="1:11">
      <c r="A1659" s="1">
        <v>45869</v>
      </c>
      <c r="B1659" t="s">
        <v>21</v>
      </c>
      <c r="C1659" t="s">
        <v>41</v>
      </c>
      <c r="D1659">
        <v>475</v>
      </c>
      <c r="E1659">
        <v>201</v>
      </c>
      <c r="F1659">
        <v>62</v>
      </c>
      <c r="G1659">
        <v>0</v>
      </c>
      <c r="H1659">
        <v>738</v>
      </c>
      <c r="I1659" s="1">
        <v>45839</v>
      </c>
      <c r="J1659">
        <v>62</v>
      </c>
      <c r="K1659" t="s">
        <v>23</v>
      </c>
    </row>
    <row r="1660" spans="1:11">
      <c r="A1660" s="1">
        <v>45869</v>
      </c>
      <c r="B1660" t="s">
        <v>21</v>
      </c>
      <c r="C1660" t="s">
        <v>43</v>
      </c>
      <c r="D1660">
        <v>790</v>
      </c>
      <c r="E1660">
        <v>344</v>
      </c>
      <c r="F1660">
        <v>57</v>
      </c>
      <c r="G1660">
        <v>0</v>
      </c>
      <c r="H1660">
        <v>1191</v>
      </c>
      <c r="I1660" s="1">
        <v>45839</v>
      </c>
      <c r="J1660">
        <v>57</v>
      </c>
      <c r="K1660" t="s">
        <v>23</v>
      </c>
    </row>
    <row r="1661" spans="1:11">
      <c r="A1661" s="1">
        <v>45869</v>
      </c>
      <c r="B1661" t="s">
        <v>21</v>
      </c>
      <c r="C1661" t="s">
        <v>31</v>
      </c>
      <c r="D1661">
        <v>138</v>
      </c>
      <c r="E1661">
        <v>61</v>
      </c>
      <c r="F1661">
        <v>24</v>
      </c>
      <c r="G1661">
        <v>0</v>
      </c>
      <c r="H1661">
        <v>224</v>
      </c>
      <c r="I1661" s="1">
        <v>45839</v>
      </c>
      <c r="J1661">
        <v>24</v>
      </c>
      <c r="K1661" t="s">
        <v>23</v>
      </c>
    </row>
    <row r="1662" spans="1:11">
      <c r="A1662" s="1">
        <v>45869</v>
      </c>
      <c r="B1662" t="s">
        <v>21</v>
      </c>
      <c r="C1662" t="s">
        <v>36</v>
      </c>
      <c r="D1662">
        <v>3</v>
      </c>
      <c r="E1662">
        <v>2</v>
      </c>
      <c r="F1662">
        <v>1</v>
      </c>
      <c r="G1662">
        <v>0</v>
      </c>
      <c r="H1662">
        <v>6</v>
      </c>
      <c r="I1662" s="1">
        <v>45839</v>
      </c>
      <c r="J1662">
        <v>1</v>
      </c>
      <c r="K1662" t="s">
        <v>23</v>
      </c>
    </row>
    <row r="1663" spans="1:11">
      <c r="A1663" s="1">
        <v>45869</v>
      </c>
      <c r="B1663" t="s">
        <v>21</v>
      </c>
      <c r="C1663" t="s">
        <v>32</v>
      </c>
      <c r="D1663">
        <v>339</v>
      </c>
      <c r="E1663">
        <v>66</v>
      </c>
      <c r="F1663">
        <v>26</v>
      </c>
      <c r="G1663">
        <v>0</v>
      </c>
      <c r="H1663">
        <v>431</v>
      </c>
      <c r="I1663" s="1">
        <v>45839</v>
      </c>
      <c r="J1663">
        <v>26</v>
      </c>
      <c r="K1663" t="s">
        <v>23</v>
      </c>
    </row>
    <row r="1664" spans="1:11">
      <c r="A1664" s="1">
        <v>45897</v>
      </c>
      <c r="B1664" t="s">
        <v>40</v>
      </c>
      <c r="C1664" t="s">
        <v>30</v>
      </c>
      <c r="D1664">
        <v>2030</v>
      </c>
      <c r="E1664">
        <v>235</v>
      </c>
      <c r="F1664">
        <v>79</v>
      </c>
      <c r="G1664">
        <v>0</v>
      </c>
      <c r="H1664">
        <v>2344</v>
      </c>
      <c r="I1664" s="1">
        <v>45870</v>
      </c>
      <c r="J1664">
        <v>79</v>
      </c>
      <c r="K1664" t="s">
        <v>23</v>
      </c>
    </row>
    <row r="1665" spans="1:11">
      <c r="A1665" s="1">
        <v>45897</v>
      </c>
      <c r="B1665" t="s">
        <v>40</v>
      </c>
      <c r="C1665" t="s">
        <v>43</v>
      </c>
      <c r="D1665">
        <v>11444</v>
      </c>
      <c r="E1665">
        <v>3348</v>
      </c>
      <c r="F1665">
        <v>368</v>
      </c>
      <c r="G1665">
        <v>0</v>
      </c>
      <c r="H1665">
        <v>15160</v>
      </c>
      <c r="I1665" s="1">
        <v>45870</v>
      </c>
      <c r="J1665">
        <v>368</v>
      </c>
      <c r="K1665" t="s">
        <v>23</v>
      </c>
    </row>
    <row r="1666" spans="1:11">
      <c r="A1666" s="1">
        <v>45897</v>
      </c>
      <c r="B1666" t="s">
        <v>40</v>
      </c>
      <c r="C1666" t="s">
        <v>38</v>
      </c>
      <c r="D1666">
        <v>2345</v>
      </c>
      <c r="E1666">
        <v>819</v>
      </c>
      <c r="F1666">
        <v>159</v>
      </c>
      <c r="G1666">
        <v>0</v>
      </c>
      <c r="H1666">
        <v>3323</v>
      </c>
      <c r="I1666" s="1">
        <v>45870</v>
      </c>
      <c r="J1666">
        <v>159</v>
      </c>
      <c r="K1666" t="s">
        <v>23</v>
      </c>
    </row>
    <row r="1667" spans="1:11">
      <c r="A1667" s="1">
        <v>45897</v>
      </c>
      <c r="B1667" t="s">
        <v>40</v>
      </c>
      <c r="C1667" t="s">
        <v>34</v>
      </c>
      <c r="D1667">
        <v>3974</v>
      </c>
      <c r="E1667">
        <v>1097</v>
      </c>
      <c r="F1667">
        <v>31</v>
      </c>
      <c r="G1667">
        <v>0</v>
      </c>
      <c r="H1667">
        <v>5102</v>
      </c>
      <c r="I1667" s="1">
        <v>45870</v>
      </c>
      <c r="J1667">
        <v>31</v>
      </c>
      <c r="K1667" t="s">
        <v>23</v>
      </c>
    </row>
    <row r="1668" spans="1:11">
      <c r="A1668" s="1">
        <v>45897</v>
      </c>
      <c r="B1668" t="s">
        <v>21</v>
      </c>
      <c r="C1668" t="s">
        <v>41</v>
      </c>
      <c r="D1668">
        <v>438</v>
      </c>
      <c r="E1668">
        <v>216</v>
      </c>
      <c r="F1668">
        <v>67</v>
      </c>
      <c r="G1668">
        <v>0</v>
      </c>
      <c r="H1668">
        <v>721</v>
      </c>
      <c r="I1668" s="1">
        <v>45870</v>
      </c>
      <c r="J1668">
        <v>67</v>
      </c>
      <c r="K1668" t="s">
        <v>23</v>
      </c>
    </row>
    <row r="1669" spans="1:11">
      <c r="A1669" s="1">
        <v>45897</v>
      </c>
      <c r="B1669" t="s">
        <v>21</v>
      </c>
      <c r="C1669" t="s">
        <v>33</v>
      </c>
      <c r="D1669">
        <v>16</v>
      </c>
      <c r="E1669">
        <v>3</v>
      </c>
      <c r="F1669">
        <v>1</v>
      </c>
      <c r="G1669">
        <v>0</v>
      </c>
      <c r="H1669">
        <v>20</v>
      </c>
      <c r="I1669" s="1">
        <v>45870</v>
      </c>
      <c r="J1669">
        <v>1</v>
      </c>
      <c r="K1669" t="s">
        <v>23</v>
      </c>
    </row>
    <row r="1670" spans="1:11">
      <c r="A1670" s="1">
        <v>45897</v>
      </c>
      <c r="B1670" t="s">
        <v>21</v>
      </c>
      <c r="C1670" t="s">
        <v>43</v>
      </c>
      <c r="D1670">
        <v>811</v>
      </c>
      <c r="E1670">
        <v>354</v>
      </c>
      <c r="F1670">
        <v>22</v>
      </c>
      <c r="G1670">
        <v>0</v>
      </c>
      <c r="H1670">
        <v>1186</v>
      </c>
      <c r="I1670" s="1">
        <v>45870</v>
      </c>
      <c r="J1670">
        <v>22</v>
      </c>
      <c r="K1670" t="s">
        <v>23</v>
      </c>
    </row>
    <row r="1671" spans="1:11">
      <c r="A1671" s="1">
        <v>45897</v>
      </c>
      <c r="B1671" t="s">
        <v>21</v>
      </c>
      <c r="C1671" t="s">
        <v>31</v>
      </c>
      <c r="D1671">
        <v>128</v>
      </c>
      <c r="E1671">
        <v>72</v>
      </c>
      <c r="F1671">
        <v>32</v>
      </c>
      <c r="G1671">
        <v>0</v>
      </c>
      <c r="H1671">
        <v>233</v>
      </c>
      <c r="I1671" s="1">
        <v>45870</v>
      </c>
      <c r="J1671">
        <v>32</v>
      </c>
      <c r="K1671" t="s">
        <v>23</v>
      </c>
    </row>
    <row r="1672" spans="1:11">
      <c r="A1672" s="1">
        <v>45897</v>
      </c>
      <c r="B1672" t="s">
        <v>21</v>
      </c>
      <c r="C1672" t="s">
        <v>49</v>
      </c>
      <c r="D1672">
        <v>706</v>
      </c>
      <c r="E1672">
        <v>312</v>
      </c>
      <c r="F1672">
        <v>3</v>
      </c>
      <c r="G1672">
        <v>0</v>
      </c>
      <c r="H1672">
        <v>1021</v>
      </c>
      <c r="I1672" s="1">
        <v>45870</v>
      </c>
      <c r="J1672">
        <v>3</v>
      </c>
      <c r="K1672" t="s">
        <v>23</v>
      </c>
    </row>
    <row r="1673" spans="1:11">
      <c r="A1673" s="1">
        <v>45925</v>
      </c>
      <c r="B1673" t="s">
        <v>40</v>
      </c>
      <c r="C1673" t="s">
        <v>30</v>
      </c>
      <c r="D1673">
        <v>2042</v>
      </c>
      <c r="E1673">
        <v>226</v>
      </c>
      <c r="F1673">
        <v>71</v>
      </c>
      <c r="G1673">
        <v>0</v>
      </c>
      <c r="H1673">
        <v>2339</v>
      </c>
      <c r="I1673" s="1">
        <v>45901</v>
      </c>
      <c r="J1673">
        <v>71</v>
      </c>
      <c r="K1673" t="s">
        <v>23</v>
      </c>
    </row>
    <row r="1674" spans="1:11">
      <c r="A1674" s="1">
        <v>45925</v>
      </c>
      <c r="B1674" t="s">
        <v>40</v>
      </c>
      <c r="C1674" t="s">
        <v>42</v>
      </c>
      <c r="D1674">
        <v>1821</v>
      </c>
      <c r="E1674">
        <v>744</v>
      </c>
      <c r="F1674">
        <v>218</v>
      </c>
      <c r="G1674">
        <v>0</v>
      </c>
      <c r="H1674">
        <v>2783</v>
      </c>
      <c r="I1674" s="1">
        <v>45901</v>
      </c>
      <c r="J1674">
        <v>218</v>
      </c>
      <c r="K1674" t="s">
        <v>23</v>
      </c>
    </row>
    <row r="1675" spans="1:11">
      <c r="A1675" s="1">
        <v>45925</v>
      </c>
      <c r="B1675" t="s">
        <v>40</v>
      </c>
      <c r="C1675" t="s">
        <v>43</v>
      </c>
      <c r="D1675">
        <v>11533</v>
      </c>
      <c r="E1675">
        <v>3551</v>
      </c>
      <c r="F1675">
        <v>475</v>
      </c>
      <c r="G1675">
        <v>0</v>
      </c>
      <c r="H1675">
        <v>15559</v>
      </c>
      <c r="I1675" s="1">
        <v>45901</v>
      </c>
      <c r="J1675">
        <v>475</v>
      </c>
      <c r="K1675" t="s">
        <v>23</v>
      </c>
    </row>
    <row r="1676" spans="1:11">
      <c r="A1676" s="1">
        <v>45925</v>
      </c>
      <c r="B1676" t="s">
        <v>40</v>
      </c>
      <c r="C1676" t="s">
        <v>38</v>
      </c>
      <c r="D1676">
        <v>2264</v>
      </c>
      <c r="E1676">
        <v>871</v>
      </c>
      <c r="F1676">
        <v>149</v>
      </c>
      <c r="G1676">
        <v>0</v>
      </c>
      <c r="H1676">
        <v>3284</v>
      </c>
      <c r="I1676" s="1">
        <v>45901</v>
      </c>
      <c r="J1676">
        <v>149</v>
      </c>
      <c r="K1676" t="s">
        <v>23</v>
      </c>
    </row>
    <row r="1677" spans="1:11">
      <c r="A1677" s="1">
        <v>45925</v>
      </c>
      <c r="B1677" t="s">
        <v>21</v>
      </c>
      <c r="C1677" t="s">
        <v>41</v>
      </c>
      <c r="D1677">
        <v>420</v>
      </c>
      <c r="E1677">
        <v>222</v>
      </c>
      <c r="F1677">
        <v>80</v>
      </c>
      <c r="G1677">
        <v>0</v>
      </c>
      <c r="H1677">
        <v>723</v>
      </c>
      <c r="I1677" s="1">
        <v>45901</v>
      </c>
      <c r="J1677">
        <v>80</v>
      </c>
      <c r="K1677" t="s">
        <v>23</v>
      </c>
    </row>
    <row r="1678" spans="1:11">
      <c r="A1678" s="1">
        <v>45925</v>
      </c>
      <c r="B1678" t="s">
        <v>21</v>
      </c>
      <c r="C1678" t="s">
        <v>33</v>
      </c>
      <c r="D1678">
        <v>25</v>
      </c>
      <c r="E1678">
        <v>3</v>
      </c>
      <c r="F1678">
        <v>1</v>
      </c>
      <c r="G1678">
        <v>0</v>
      </c>
      <c r="H1678">
        <v>29</v>
      </c>
      <c r="I1678" s="1">
        <v>45901</v>
      </c>
      <c r="J1678">
        <v>1</v>
      </c>
      <c r="K1678" t="s">
        <v>23</v>
      </c>
    </row>
    <row r="1679" spans="1:11">
      <c r="A1679" s="1">
        <v>45925</v>
      </c>
      <c r="B1679" t="s">
        <v>21</v>
      </c>
      <c r="C1679" t="s">
        <v>31</v>
      </c>
      <c r="D1679">
        <v>128</v>
      </c>
      <c r="E1679">
        <v>82</v>
      </c>
      <c r="F1679">
        <v>34</v>
      </c>
      <c r="G1679">
        <v>0</v>
      </c>
      <c r="H1679">
        <v>244</v>
      </c>
      <c r="I1679" s="1">
        <v>45901</v>
      </c>
      <c r="J1679">
        <v>34</v>
      </c>
      <c r="K1679" t="s">
        <v>23</v>
      </c>
    </row>
    <row r="1680" spans="1:11">
      <c r="A1680" s="1">
        <v>45925</v>
      </c>
      <c r="B1680" t="s">
        <v>21</v>
      </c>
      <c r="C1680" t="s">
        <v>32</v>
      </c>
      <c r="D1680">
        <v>366</v>
      </c>
      <c r="E1680">
        <v>92</v>
      </c>
      <c r="F1680">
        <v>26</v>
      </c>
      <c r="G1680">
        <v>0</v>
      </c>
      <c r="H1680">
        <v>484</v>
      </c>
      <c r="I1680" s="1">
        <v>45901</v>
      </c>
      <c r="J1680">
        <v>26</v>
      </c>
      <c r="K1680" t="s">
        <v>23</v>
      </c>
    </row>
    <row r="1681" spans="1:11">
      <c r="A1681" s="1">
        <v>45960</v>
      </c>
      <c r="B1681" t="s">
        <v>40</v>
      </c>
      <c r="C1681" t="s">
        <v>42</v>
      </c>
      <c r="D1681">
        <v>1610</v>
      </c>
      <c r="E1681">
        <v>723</v>
      </c>
      <c r="F1681">
        <v>234</v>
      </c>
      <c r="G1681">
        <v>0</v>
      </c>
      <c r="H1681">
        <v>2567</v>
      </c>
      <c r="I1681" s="1">
        <v>45931</v>
      </c>
      <c r="J1681">
        <v>234</v>
      </c>
      <c r="K1681" t="s">
        <v>23</v>
      </c>
    </row>
    <row r="1682" spans="1:11">
      <c r="A1682" s="1">
        <v>45960</v>
      </c>
      <c r="B1682" t="s">
        <v>40</v>
      </c>
      <c r="C1682" t="s">
        <v>43</v>
      </c>
      <c r="D1682">
        <v>11791</v>
      </c>
      <c r="E1682">
        <v>3783</v>
      </c>
      <c r="F1682">
        <v>621</v>
      </c>
      <c r="G1682">
        <v>0</v>
      </c>
      <c r="H1682">
        <v>16196</v>
      </c>
      <c r="I1682" s="1">
        <v>45931</v>
      </c>
      <c r="J1682">
        <v>621</v>
      </c>
      <c r="K1682" t="s">
        <v>23</v>
      </c>
    </row>
    <row r="1683" spans="1:11">
      <c r="A1683" s="1">
        <v>45960</v>
      </c>
      <c r="B1683" t="s">
        <v>40</v>
      </c>
      <c r="C1683" t="s">
        <v>46</v>
      </c>
      <c r="D1683">
        <v>2162</v>
      </c>
      <c r="E1683">
        <v>632</v>
      </c>
      <c r="F1683">
        <v>182</v>
      </c>
      <c r="G1683">
        <v>0</v>
      </c>
      <c r="H1683">
        <v>2976</v>
      </c>
      <c r="I1683" s="1">
        <v>45931</v>
      </c>
      <c r="J1683">
        <v>182</v>
      </c>
      <c r="K1683" t="s">
        <v>23</v>
      </c>
    </row>
    <row r="1684" spans="1:11">
      <c r="A1684" s="1">
        <v>45960</v>
      </c>
      <c r="B1684" t="s">
        <v>40</v>
      </c>
      <c r="C1684" t="s">
        <v>24</v>
      </c>
      <c r="D1684">
        <v>308</v>
      </c>
      <c r="E1684">
        <v>180</v>
      </c>
      <c r="F1684">
        <v>6</v>
      </c>
      <c r="G1684">
        <v>0</v>
      </c>
      <c r="H1684">
        <v>493</v>
      </c>
      <c r="I1684" s="1">
        <v>45931</v>
      </c>
      <c r="J1684">
        <v>6</v>
      </c>
      <c r="K1684" t="s">
        <v>23</v>
      </c>
    </row>
    <row r="1685" spans="1:11">
      <c r="A1685" s="1">
        <v>45960</v>
      </c>
      <c r="B1685" t="s">
        <v>21</v>
      </c>
      <c r="C1685" t="s">
        <v>48</v>
      </c>
      <c r="D1685">
        <v>34</v>
      </c>
      <c r="E1685">
        <v>12</v>
      </c>
      <c r="F1685">
        <v>5</v>
      </c>
      <c r="G1685">
        <v>0</v>
      </c>
      <c r="H1685">
        <v>51</v>
      </c>
      <c r="I1685" s="1">
        <v>45931</v>
      </c>
      <c r="J1685">
        <v>5</v>
      </c>
      <c r="K1685" t="s">
        <v>23</v>
      </c>
    </row>
    <row r="1686" spans="1:11">
      <c r="A1686" s="1">
        <v>45960</v>
      </c>
      <c r="B1686" t="s">
        <v>21</v>
      </c>
      <c r="C1686" t="s">
        <v>41</v>
      </c>
      <c r="D1686">
        <v>378</v>
      </c>
      <c r="E1686">
        <v>114</v>
      </c>
      <c r="F1686">
        <v>44</v>
      </c>
      <c r="G1686">
        <v>0</v>
      </c>
      <c r="H1686">
        <v>536</v>
      </c>
      <c r="I1686" s="1">
        <v>45931</v>
      </c>
      <c r="J1686">
        <v>44</v>
      </c>
      <c r="K1686" t="s">
        <v>23</v>
      </c>
    </row>
    <row r="1687" spans="1:11">
      <c r="A1687" s="1">
        <v>45988</v>
      </c>
      <c r="B1687" t="s">
        <v>40</v>
      </c>
      <c r="C1687" t="s">
        <v>41</v>
      </c>
      <c r="D1687">
        <v>4276</v>
      </c>
      <c r="E1687">
        <v>792</v>
      </c>
      <c r="F1687">
        <v>96</v>
      </c>
      <c r="G1687">
        <v>0</v>
      </c>
      <c r="H1687">
        <v>5164</v>
      </c>
      <c r="I1687" s="1">
        <v>45962</v>
      </c>
      <c r="J1687">
        <v>96</v>
      </c>
      <c r="K1687" t="s">
        <v>23</v>
      </c>
    </row>
    <row r="1688" spans="1:11">
      <c r="A1688" s="1">
        <v>45988</v>
      </c>
      <c r="B1688" t="s">
        <v>40</v>
      </c>
      <c r="C1688" t="s">
        <v>42</v>
      </c>
      <c r="D1688">
        <v>1783</v>
      </c>
      <c r="E1688">
        <v>767</v>
      </c>
      <c r="F1688">
        <v>223</v>
      </c>
      <c r="G1688">
        <v>0</v>
      </c>
      <c r="H1688">
        <v>2773</v>
      </c>
      <c r="I1688" s="1">
        <v>45962</v>
      </c>
      <c r="J1688">
        <v>223</v>
      </c>
      <c r="K1688" t="s">
        <v>23</v>
      </c>
    </row>
    <row r="1689" spans="1:11">
      <c r="A1689" s="1">
        <v>45988</v>
      </c>
      <c r="B1689" t="s">
        <v>40</v>
      </c>
      <c r="C1689" t="s">
        <v>34</v>
      </c>
      <c r="D1689">
        <v>4302</v>
      </c>
      <c r="E1689">
        <v>1185</v>
      </c>
      <c r="F1689">
        <v>88</v>
      </c>
      <c r="G1689">
        <v>0</v>
      </c>
      <c r="H1689">
        <v>5575</v>
      </c>
      <c r="I1689" s="1">
        <v>45962</v>
      </c>
      <c r="J1689">
        <v>88</v>
      </c>
      <c r="K1689" t="s">
        <v>23</v>
      </c>
    </row>
    <row r="1690" spans="1:11">
      <c r="A1690" s="1">
        <v>45988</v>
      </c>
      <c r="B1690" t="s">
        <v>40</v>
      </c>
      <c r="C1690" t="s">
        <v>24</v>
      </c>
      <c r="D1690">
        <v>332</v>
      </c>
      <c r="E1690">
        <v>183</v>
      </c>
      <c r="F1690">
        <v>12</v>
      </c>
      <c r="G1690">
        <v>0</v>
      </c>
      <c r="H1690">
        <v>527</v>
      </c>
      <c r="I1690" s="1">
        <v>45962</v>
      </c>
      <c r="J1690">
        <v>12</v>
      </c>
      <c r="K1690" t="s">
        <v>23</v>
      </c>
    </row>
    <row r="1691" spans="1:11">
      <c r="A1691" s="1">
        <v>45988</v>
      </c>
      <c r="B1691" t="s">
        <v>21</v>
      </c>
      <c r="C1691" t="s">
        <v>48</v>
      </c>
      <c r="D1691">
        <v>37</v>
      </c>
      <c r="E1691">
        <v>8</v>
      </c>
      <c r="F1691">
        <v>7</v>
      </c>
      <c r="G1691">
        <v>0</v>
      </c>
      <c r="H1691">
        <v>52</v>
      </c>
      <c r="I1691" s="1">
        <v>45962</v>
      </c>
      <c r="J1691">
        <v>7</v>
      </c>
      <c r="K1691" t="s">
        <v>23</v>
      </c>
    </row>
    <row r="1692" spans="1:11">
      <c r="A1692" s="1">
        <v>45988</v>
      </c>
      <c r="B1692" t="s">
        <v>21</v>
      </c>
      <c r="C1692" t="s">
        <v>41</v>
      </c>
      <c r="D1692">
        <v>409</v>
      </c>
      <c r="E1692">
        <v>83</v>
      </c>
      <c r="F1692">
        <v>29</v>
      </c>
      <c r="G1692">
        <v>0</v>
      </c>
      <c r="H1692">
        <v>522</v>
      </c>
      <c r="I1692" s="1">
        <v>45962</v>
      </c>
      <c r="J1692">
        <v>29</v>
      </c>
      <c r="K1692" t="s">
        <v>23</v>
      </c>
    </row>
    <row r="1693" spans="1:11">
      <c r="A1693" s="1">
        <v>45988</v>
      </c>
      <c r="B1693" t="s">
        <v>21</v>
      </c>
      <c r="C1693" t="s">
        <v>43</v>
      </c>
      <c r="D1693">
        <v>752</v>
      </c>
      <c r="E1693">
        <v>355</v>
      </c>
      <c r="F1693">
        <v>3</v>
      </c>
      <c r="G1693">
        <v>0</v>
      </c>
      <c r="H1693">
        <v>1109</v>
      </c>
      <c r="I1693" s="1">
        <v>45962</v>
      </c>
      <c r="J1693">
        <v>3</v>
      </c>
      <c r="K1693" t="s">
        <v>23</v>
      </c>
    </row>
    <row r="1694" spans="1:11">
      <c r="A1694" s="1">
        <v>45988</v>
      </c>
      <c r="B1694" t="s">
        <v>21</v>
      </c>
      <c r="C1694" t="s">
        <v>31</v>
      </c>
      <c r="D1694">
        <v>128</v>
      </c>
      <c r="E1694">
        <v>94</v>
      </c>
      <c r="F1694">
        <v>18</v>
      </c>
      <c r="G1694">
        <v>0</v>
      </c>
      <c r="H1694">
        <v>240</v>
      </c>
      <c r="I1694" s="1">
        <v>45962</v>
      </c>
      <c r="J1694">
        <v>18</v>
      </c>
      <c r="K1694" t="s">
        <v>23</v>
      </c>
    </row>
    <row r="1695" spans="1:11">
      <c r="A1695" s="1">
        <v>45988</v>
      </c>
      <c r="B1695" t="s">
        <v>21</v>
      </c>
      <c r="C1695" t="s">
        <v>32</v>
      </c>
      <c r="D1695">
        <v>389</v>
      </c>
      <c r="E1695">
        <v>81</v>
      </c>
      <c r="F1695">
        <v>35</v>
      </c>
      <c r="G1695">
        <v>0</v>
      </c>
      <c r="H1695">
        <v>505</v>
      </c>
      <c r="I1695" s="1">
        <v>45962</v>
      </c>
      <c r="J1695">
        <v>35</v>
      </c>
      <c r="K1695" t="s">
        <v>23</v>
      </c>
    </row>
    <row r="1696" spans="1:11">
      <c r="A1696" s="1">
        <v>46009</v>
      </c>
      <c r="B1696" t="s">
        <v>40</v>
      </c>
      <c r="C1696" t="s">
        <v>30</v>
      </c>
      <c r="D1696">
        <v>2266</v>
      </c>
      <c r="E1696">
        <v>94</v>
      </c>
      <c r="F1696">
        <v>1</v>
      </c>
      <c r="G1696">
        <v>0</v>
      </c>
      <c r="H1696">
        <v>2361</v>
      </c>
      <c r="I1696" s="1">
        <v>45992</v>
      </c>
      <c r="J1696">
        <v>1</v>
      </c>
      <c r="K1696" t="s">
        <v>23</v>
      </c>
    </row>
    <row r="1697" spans="1:11">
      <c r="A1697" s="1">
        <v>46009</v>
      </c>
      <c r="B1697" t="s">
        <v>40</v>
      </c>
      <c r="C1697" t="s">
        <v>42</v>
      </c>
      <c r="D1697">
        <v>1787</v>
      </c>
      <c r="E1697">
        <v>781</v>
      </c>
      <c r="F1697">
        <v>230</v>
      </c>
      <c r="G1697">
        <v>0</v>
      </c>
      <c r="H1697">
        <v>2798</v>
      </c>
      <c r="I1697" s="1">
        <v>45992</v>
      </c>
      <c r="J1697">
        <v>230</v>
      </c>
      <c r="K1697" t="s">
        <v>23</v>
      </c>
    </row>
    <row r="1698" spans="1:11">
      <c r="A1698" s="1">
        <v>46009</v>
      </c>
      <c r="B1698" t="s">
        <v>40</v>
      </c>
      <c r="C1698" t="s">
        <v>38</v>
      </c>
      <c r="D1698">
        <v>2356</v>
      </c>
      <c r="E1698">
        <v>936</v>
      </c>
      <c r="F1698">
        <v>120</v>
      </c>
      <c r="G1698">
        <v>0</v>
      </c>
      <c r="H1698">
        <v>3412</v>
      </c>
      <c r="I1698" s="1">
        <v>45992</v>
      </c>
      <c r="J1698">
        <v>120</v>
      </c>
      <c r="K1698" t="s">
        <v>23</v>
      </c>
    </row>
    <row r="1699" spans="1:11">
      <c r="A1699" s="1">
        <v>46009</v>
      </c>
      <c r="B1699" t="s">
        <v>40</v>
      </c>
      <c r="C1699" t="s">
        <v>34</v>
      </c>
      <c r="D1699">
        <v>4325</v>
      </c>
      <c r="E1699">
        <v>1224</v>
      </c>
      <c r="F1699">
        <v>94</v>
      </c>
      <c r="G1699">
        <v>0</v>
      </c>
      <c r="H1699">
        <v>5643</v>
      </c>
      <c r="I1699" s="1">
        <v>45992</v>
      </c>
      <c r="J1699">
        <v>94</v>
      </c>
      <c r="K1699" t="s">
        <v>23</v>
      </c>
    </row>
    <row r="1700" spans="1:11">
      <c r="A1700" s="1">
        <v>46009</v>
      </c>
      <c r="B1700" t="s">
        <v>40</v>
      </c>
      <c r="C1700" t="s">
        <v>24</v>
      </c>
      <c r="D1700">
        <v>336</v>
      </c>
      <c r="E1700">
        <v>188</v>
      </c>
      <c r="F1700">
        <v>23</v>
      </c>
      <c r="G1700">
        <v>0</v>
      </c>
      <c r="H1700">
        <v>547</v>
      </c>
      <c r="I1700" s="1">
        <v>45992</v>
      </c>
      <c r="J1700">
        <v>23</v>
      </c>
      <c r="K1700" t="s">
        <v>23</v>
      </c>
    </row>
    <row r="1701" spans="1:11">
      <c r="A1701" s="1">
        <v>46009</v>
      </c>
      <c r="B1701" t="s">
        <v>21</v>
      </c>
      <c r="C1701" t="s">
        <v>57</v>
      </c>
      <c r="D1701">
        <v>979</v>
      </c>
      <c r="E1701">
        <v>300</v>
      </c>
      <c r="F1701">
        <v>74</v>
      </c>
      <c r="G1701">
        <v>0</v>
      </c>
      <c r="H1701">
        <v>1354</v>
      </c>
      <c r="I1701" s="1">
        <v>45992</v>
      </c>
      <c r="J1701">
        <v>74</v>
      </c>
      <c r="K1701" t="s">
        <v>23</v>
      </c>
    </row>
    <row r="1702" spans="1:11">
      <c r="A1702" s="1">
        <v>46009</v>
      </c>
      <c r="B1702" t="s">
        <v>21</v>
      </c>
      <c r="C1702" t="s">
        <v>43</v>
      </c>
      <c r="D1702">
        <v>710</v>
      </c>
      <c r="E1702">
        <v>358</v>
      </c>
      <c r="F1702">
        <v>3</v>
      </c>
      <c r="G1702">
        <v>0</v>
      </c>
      <c r="H1702">
        <v>1071</v>
      </c>
      <c r="I1702" s="1">
        <v>45992</v>
      </c>
      <c r="J1702">
        <v>3</v>
      </c>
      <c r="K1702" t="s">
        <v>23</v>
      </c>
    </row>
    <row r="1703" spans="1:11">
      <c r="A1703" s="1">
        <v>46009</v>
      </c>
      <c r="B1703" t="s">
        <v>21</v>
      </c>
      <c r="C1703" t="s">
        <v>31</v>
      </c>
      <c r="D1703">
        <v>125</v>
      </c>
      <c r="E1703">
        <v>88</v>
      </c>
      <c r="F1703">
        <v>9</v>
      </c>
      <c r="G1703">
        <v>0</v>
      </c>
      <c r="H1703">
        <v>221</v>
      </c>
      <c r="I1703" s="1">
        <v>45992</v>
      </c>
      <c r="J1703">
        <v>9</v>
      </c>
      <c r="K1703" t="s">
        <v>23</v>
      </c>
    </row>
    <row r="1704" spans="1:11">
      <c r="A1704" s="1">
        <v>46051</v>
      </c>
      <c r="B1704" t="s">
        <v>40</v>
      </c>
      <c r="C1704" t="s">
        <v>50</v>
      </c>
      <c r="D1704">
        <v>737</v>
      </c>
      <c r="E1704">
        <v>182</v>
      </c>
      <c r="F1704">
        <v>5</v>
      </c>
      <c r="G1704">
        <v>0</v>
      </c>
      <c r="H1704">
        <v>924</v>
      </c>
      <c r="I1704" s="1">
        <v>46023</v>
      </c>
      <c r="J1704">
        <v>5</v>
      </c>
      <c r="K1704" t="s">
        <v>23</v>
      </c>
    </row>
    <row r="1705" spans="1:11">
      <c r="A1705" s="1">
        <v>46051</v>
      </c>
      <c r="B1705" t="s">
        <v>40</v>
      </c>
      <c r="C1705" t="s">
        <v>30</v>
      </c>
      <c r="D1705">
        <v>2390</v>
      </c>
      <c r="E1705">
        <v>105</v>
      </c>
      <c r="F1705">
        <v>8</v>
      </c>
      <c r="G1705">
        <v>0</v>
      </c>
      <c r="H1705">
        <v>2503</v>
      </c>
      <c r="I1705" s="1">
        <v>46023</v>
      </c>
      <c r="J1705">
        <v>8</v>
      </c>
      <c r="K1705" t="s">
        <v>23</v>
      </c>
    </row>
    <row r="1706" spans="1:11">
      <c r="A1706" s="1">
        <v>46051</v>
      </c>
      <c r="B1706" t="s">
        <v>40</v>
      </c>
      <c r="C1706" t="s">
        <v>24</v>
      </c>
      <c r="D1706">
        <v>361</v>
      </c>
      <c r="E1706">
        <v>212</v>
      </c>
      <c r="F1706">
        <v>40</v>
      </c>
      <c r="G1706">
        <v>0</v>
      </c>
      <c r="H1706">
        <v>613</v>
      </c>
      <c r="I1706" s="1">
        <v>46023</v>
      </c>
      <c r="J1706">
        <v>40</v>
      </c>
      <c r="K1706" t="s">
        <v>23</v>
      </c>
    </row>
    <row r="1707" spans="1:11">
      <c r="A1707" s="1">
        <v>46051</v>
      </c>
      <c r="B1707" t="s">
        <v>21</v>
      </c>
      <c r="C1707" t="s">
        <v>57</v>
      </c>
      <c r="D1707">
        <v>1000</v>
      </c>
      <c r="E1707">
        <v>299</v>
      </c>
      <c r="F1707">
        <v>61</v>
      </c>
      <c r="G1707">
        <v>0</v>
      </c>
      <c r="H1707">
        <v>1360</v>
      </c>
      <c r="I1707" s="1">
        <v>46023</v>
      </c>
      <c r="J1707">
        <v>61</v>
      </c>
      <c r="K1707" t="s">
        <v>23</v>
      </c>
    </row>
    <row r="1708" spans="1:11">
      <c r="A1708" s="1">
        <v>46051</v>
      </c>
      <c r="B1708" t="s">
        <v>21</v>
      </c>
      <c r="C1708" t="s">
        <v>43</v>
      </c>
      <c r="D1708">
        <v>717</v>
      </c>
      <c r="E1708">
        <v>389</v>
      </c>
      <c r="F1708">
        <v>34</v>
      </c>
      <c r="G1708">
        <v>0</v>
      </c>
      <c r="H1708">
        <v>1140</v>
      </c>
      <c r="I1708" s="1">
        <v>46023</v>
      </c>
      <c r="J1708">
        <v>34</v>
      </c>
      <c r="K1708" t="s">
        <v>23</v>
      </c>
    </row>
    <row r="1709" spans="1:11">
      <c r="A1709" s="1">
        <v>46051</v>
      </c>
      <c r="B1709" t="s">
        <v>21</v>
      </c>
      <c r="C1709" t="s">
        <v>31</v>
      </c>
      <c r="D1709">
        <v>91</v>
      </c>
      <c r="E1709">
        <v>57</v>
      </c>
      <c r="F1709">
        <v>9</v>
      </c>
      <c r="G1709">
        <v>0</v>
      </c>
      <c r="H1709">
        <v>157</v>
      </c>
      <c r="I1709" s="1">
        <v>46023</v>
      </c>
      <c r="J1709">
        <v>9</v>
      </c>
      <c r="K1709" t="s">
        <v>23</v>
      </c>
    </row>
    <row r="1710" spans="1:11">
      <c r="A1710" s="1">
        <v>46051</v>
      </c>
      <c r="B1710" t="s">
        <v>21</v>
      </c>
      <c r="C1710" t="s">
        <v>49</v>
      </c>
      <c r="D1710">
        <v>741</v>
      </c>
      <c r="E1710">
        <v>341</v>
      </c>
      <c r="F1710">
        <v>1</v>
      </c>
      <c r="G1710">
        <v>0</v>
      </c>
      <c r="H1710">
        <v>1084</v>
      </c>
      <c r="I1710" s="1">
        <v>46023</v>
      </c>
      <c r="J1710">
        <v>1</v>
      </c>
      <c r="K1710" t="s">
        <v>23</v>
      </c>
    </row>
    <row r="1711" spans="1:11">
      <c r="A1711" s="1">
        <v>46079</v>
      </c>
      <c r="B1711" t="s">
        <v>40</v>
      </c>
      <c r="C1711" t="s">
        <v>50</v>
      </c>
      <c r="D1711">
        <v>757</v>
      </c>
      <c r="E1711">
        <v>188</v>
      </c>
      <c r="F1711">
        <v>12</v>
      </c>
      <c r="G1711">
        <v>0</v>
      </c>
      <c r="H1711">
        <v>957</v>
      </c>
      <c r="I1711" s="1">
        <v>46054</v>
      </c>
      <c r="J1711">
        <v>12</v>
      </c>
      <c r="K1711" t="s">
        <v>23</v>
      </c>
    </row>
    <row r="1712" spans="1:11">
      <c r="A1712" s="1">
        <v>46079</v>
      </c>
      <c r="B1712" t="s">
        <v>40</v>
      </c>
      <c r="C1712" t="s">
        <v>41</v>
      </c>
      <c r="D1712">
        <v>4693</v>
      </c>
      <c r="E1712">
        <v>625</v>
      </c>
      <c r="F1712">
        <v>10</v>
      </c>
      <c r="G1712">
        <v>0</v>
      </c>
      <c r="H1712">
        <v>5327</v>
      </c>
      <c r="I1712" s="1">
        <v>46054</v>
      </c>
      <c r="J1712">
        <v>10</v>
      </c>
      <c r="K1712" t="s">
        <v>23</v>
      </c>
    </row>
    <row r="1713" spans="1:11">
      <c r="A1713" s="1">
        <v>46079</v>
      </c>
      <c r="B1713" t="s">
        <v>40</v>
      </c>
      <c r="C1713" t="s">
        <v>24</v>
      </c>
      <c r="D1713">
        <v>355</v>
      </c>
      <c r="E1713">
        <v>211</v>
      </c>
      <c r="F1713">
        <v>49</v>
      </c>
      <c r="G1713">
        <v>0</v>
      </c>
      <c r="H1713">
        <v>615</v>
      </c>
      <c r="I1713" s="1">
        <v>46054</v>
      </c>
      <c r="J1713">
        <v>49</v>
      </c>
      <c r="K1713" t="s">
        <v>23</v>
      </c>
    </row>
    <row r="1714" spans="1:11">
      <c r="A1714" s="1">
        <v>46079</v>
      </c>
      <c r="B1714" t="s">
        <v>21</v>
      </c>
      <c r="C1714" t="s">
        <v>48</v>
      </c>
      <c r="D1714">
        <v>49</v>
      </c>
      <c r="E1714">
        <v>9</v>
      </c>
      <c r="F1714">
        <v>7</v>
      </c>
      <c r="G1714">
        <v>0</v>
      </c>
      <c r="H1714">
        <v>65</v>
      </c>
      <c r="I1714" s="1">
        <v>46054</v>
      </c>
      <c r="J1714">
        <v>7</v>
      </c>
      <c r="K1714" t="s">
        <v>23</v>
      </c>
    </row>
    <row r="1715" spans="1:11">
      <c r="A1715" s="1">
        <v>46079</v>
      </c>
      <c r="B1715" t="s">
        <v>21</v>
      </c>
      <c r="C1715" t="s">
        <v>43</v>
      </c>
      <c r="D1715">
        <v>794</v>
      </c>
      <c r="E1715">
        <v>353</v>
      </c>
      <c r="F1715">
        <v>54</v>
      </c>
      <c r="G1715">
        <v>0</v>
      </c>
      <c r="H1715">
        <v>1202</v>
      </c>
      <c r="I1715" s="1">
        <v>46054</v>
      </c>
      <c r="J1715">
        <v>54</v>
      </c>
      <c r="K1715" t="s">
        <v>23</v>
      </c>
    </row>
    <row r="1716" spans="1:11">
      <c r="A1716" s="1">
        <v>46079</v>
      </c>
      <c r="B1716" t="s">
        <v>21</v>
      </c>
      <c r="C1716" t="s">
        <v>31</v>
      </c>
      <c r="D1716">
        <v>103</v>
      </c>
      <c r="E1716">
        <v>52</v>
      </c>
      <c r="F1716">
        <v>18</v>
      </c>
      <c r="G1716">
        <v>0</v>
      </c>
      <c r="H1716">
        <v>173</v>
      </c>
      <c r="I1716" s="1">
        <v>46054</v>
      </c>
      <c r="J1716">
        <v>18</v>
      </c>
      <c r="K1716" t="s">
        <v>23</v>
      </c>
    </row>
    <row r="1717" spans="1:11">
      <c r="A1717" s="1">
        <v>46079</v>
      </c>
      <c r="B1717" t="s">
        <v>21</v>
      </c>
      <c r="C1717" t="s">
        <v>32</v>
      </c>
      <c r="D1717">
        <v>386</v>
      </c>
      <c r="E1717">
        <v>89</v>
      </c>
      <c r="F1717">
        <v>9</v>
      </c>
      <c r="G1717">
        <v>0</v>
      </c>
      <c r="H1717">
        <v>484</v>
      </c>
      <c r="I1717" s="1">
        <v>46054</v>
      </c>
      <c r="J1717">
        <v>9</v>
      </c>
      <c r="K1717" t="s">
        <v>23</v>
      </c>
    </row>
    <row r="1718" spans="1:11">
      <c r="A1718" s="1">
        <v>46079</v>
      </c>
      <c r="B1718" t="s">
        <v>21</v>
      </c>
      <c r="C1718" t="s">
        <v>49</v>
      </c>
      <c r="D1718">
        <v>779</v>
      </c>
      <c r="E1718">
        <v>344</v>
      </c>
      <c r="F1718">
        <v>1</v>
      </c>
      <c r="G1718">
        <v>0</v>
      </c>
      <c r="H1718">
        <v>1125</v>
      </c>
      <c r="I1718" s="1">
        <v>46054</v>
      </c>
      <c r="J1718">
        <v>1</v>
      </c>
      <c r="K1718" t="s">
        <v>23</v>
      </c>
    </row>
    <row r="1719" spans="1:11">
      <c r="A1719" s="1">
        <v>46107</v>
      </c>
      <c r="B1719" t="s">
        <v>40</v>
      </c>
      <c r="C1719" t="s">
        <v>50</v>
      </c>
      <c r="D1719">
        <v>838</v>
      </c>
      <c r="E1719">
        <v>208</v>
      </c>
      <c r="F1719">
        <v>22</v>
      </c>
      <c r="G1719">
        <v>0</v>
      </c>
      <c r="H1719">
        <v>1068</v>
      </c>
      <c r="I1719" s="1">
        <v>46082</v>
      </c>
      <c r="J1719">
        <v>22</v>
      </c>
      <c r="K1719" t="s">
        <v>23</v>
      </c>
    </row>
    <row r="1720" spans="1:11">
      <c r="A1720" s="1">
        <v>46107</v>
      </c>
      <c r="B1720" t="s">
        <v>40</v>
      </c>
      <c r="C1720" t="s">
        <v>41</v>
      </c>
      <c r="D1720">
        <v>4599</v>
      </c>
      <c r="E1720">
        <v>897</v>
      </c>
      <c r="F1720">
        <v>9</v>
      </c>
      <c r="G1720">
        <v>0</v>
      </c>
      <c r="H1720">
        <v>5505</v>
      </c>
      <c r="I1720" s="1">
        <v>46082</v>
      </c>
      <c r="J1720">
        <v>9</v>
      </c>
      <c r="K1720" t="s">
        <v>23</v>
      </c>
    </row>
    <row r="1721" spans="1:11">
      <c r="A1721" s="1">
        <v>46107</v>
      </c>
      <c r="B1721" t="s">
        <v>40</v>
      </c>
      <c r="C1721" t="s">
        <v>24</v>
      </c>
      <c r="D1721">
        <v>368</v>
      </c>
      <c r="E1721">
        <v>224</v>
      </c>
      <c r="F1721">
        <v>46</v>
      </c>
      <c r="G1721">
        <v>0</v>
      </c>
      <c r="H1721">
        <v>638</v>
      </c>
      <c r="I1721" s="1">
        <v>46082</v>
      </c>
      <c r="J1721">
        <v>46</v>
      </c>
      <c r="K1721" t="s">
        <v>23</v>
      </c>
    </row>
    <row r="1722" spans="1:11">
      <c r="A1722" s="1">
        <v>46107</v>
      </c>
      <c r="B1722" t="s">
        <v>21</v>
      </c>
      <c r="C1722" t="s">
        <v>48</v>
      </c>
      <c r="D1722">
        <v>46</v>
      </c>
      <c r="E1722">
        <v>5</v>
      </c>
      <c r="F1722">
        <v>7</v>
      </c>
      <c r="G1722">
        <v>0</v>
      </c>
      <c r="H1722">
        <v>59</v>
      </c>
      <c r="I1722" s="1">
        <v>46082</v>
      </c>
      <c r="J1722">
        <v>7</v>
      </c>
      <c r="K1722" t="s">
        <v>23</v>
      </c>
    </row>
    <row r="1723" spans="1:11">
      <c r="A1723" s="1">
        <v>46107</v>
      </c>
      <c r="B1723" t="s">
        <v>21</v>
      </c>
      <c r="C1723" t="s">
        <v>28</v>
      </c>
      <c r="D1723">
        <v>134</v>
      </c>
      <c r="E1723">
        <v>60</v>
      </c>
      <c r="F1723">
        <v>19</v>
      </c>
      <c r="G1723">
        <v>0</v>
      </c>
      <c r="H1723">
        <v>213</v>
      </c>
      <c r="I1723" s="1">
        <v>46082</v>
      </c>
      <c r="J1723">
        <v>19</v>
      </c>
      <c r="K1723" t="s">
        <v>23</v>
      </c>
    </row>
    <row r="1724" spans="1:11">
      <c r="A1724" s="1">
        <v>46107</v>
      </c>
      <c r="B1724" t="s">
        <v>21</v>
      </c>
      <c r="C1724" t="s">
        <v>43</v>
      </c>
      <c r="D1724">
        <v>826</v>
      </c>
      <c r="E1724">
        <v>317</v>
      </c>
      <c r="F1724">
        <v>84</v>
      </c>
      <c r="G1724">
        <v>0</v>
      </c>
      <c r="H1724">
        <v>1227</v>
      </c>
      <c r="I1724" s="1">
        <v>46082</v>
      </c>
      <c r="J1724">
        <v>84</v>
      </c>
      <c r="K1724" t="s">
        <v>23</v>
      </c>
    </row>
    <row r="1725" spans="1:11">
      <c r="A1725" s="1">
        <v>46107</v>
      </c>
      <c r="B1725" t="s">
        <v>21</v>
      </c>
      <c r="C1725" t="s">
        <v>46</v>
      </c>
      <c r="D1725">
        <v>425</v>
      </c>
      <c r="E1725">
        <v>74</v>
      </c>
      <c r="F1725">
        <v>7</v>
      </c>
      <c r="G1725">
        <v>0</v>
      </c>
      <c r="H1725">
        <v>506</v>
      </c>
      <c r="I1725" s="1">
        <v>46082</v>
      </c>
      <c r="J1725">
        <v>7</v>
      </c>
      <c r="K1725" t="s">
        <v>23</v>
      </c>
    </row>
    <row r="1726" spans="1:11">
      <c r="A1726" s="1">
        <v>46107</v>
      </c>
      <c r="B1726" t="s">
        <v>21</v>
      </c>
      <c r="C1726" t="s">
        <v>31</v>
      </c>
      <c r="D1726">
        <v>114</v>
      </c>
      <c r="E1726">
        <v>33</v>
      </c>
      <c r="F1726">
        <v>5</v>
      </c>
      <c r="G1726">
        <v>0</v>
      </c>
      <c r="H1726">
        <v>152</v>
      </c>
      <c r="I1726" s="1">
        <v>46082</v>
      </c>
      <c r="J1726">
        <v>5</v>
      </c>
      <c r="K1726" t="s">
        <v>23</v>
      </c>
    </row>
    <row r="1727" spans="1:11">
      <c r="A1727" s="1">
        <v>46107</v>
      </c>
      <c r="B1727" t="s">
        <v>21</v>
      </c>
      <c r="C1727" t="s">
        <v>49</v>
      </c>
      <c r="D1727">
        <v>793</v>
      </c>
      <c r="E1727">
        <v>335</v>
      </c>
      <c r="F1727">
        <v>5</v>
      </c>
      <c r="G1727">
        <v>0</v>
      </c>
      <c r="H1727">
        <v>1132</v>
      </c>
      <c r="I1727" s="1">
        <v>46082</v>
      </c>
      <c r="J1727">
        <v>5</v>
      </c>
      <c r="K1727" t="s">
        <v>23</v>
      </c>
    </row>
    <row r="1728" spans="1:11">
      <c r="A1728" s="1">
        <v>46142</v>
      </c>
      <c r="B1728" t="s">
        <v>40</v>
      </c>
      <c r="C1728" t="s">
        <v>50</v>
      </c>
      <c r="D1728">
        <v>883</v>
      </c>
      <c r="E1728">
        <v>218</v>
      </c>
      <c r="F1728">
        <v>33</v>
      </c>
      <c r="G1728">
        <v>0</v>
      </c>
      <c r="H1728">
        <v>1133</v>
      </c>
      <c r="I1728" s="1">
        <v>46113</v>
      </c>
      <c r="J1728">
        <v>33</v>
      </c>
      <c r="K1728" t="s">
        <v>23</v>
      </c>
    </row>
    <row r="1729" spans="1:11">
      <c r="A1729" s="1">
        <v>46142</v>
      </c>
      <c r="B1729" t="s">
        <v>40</v>
      </c>
      <c r="C1729" t="s">
        <v>41</v>
      </c>
      <c r="D1729">
        <v>4846</v>
      </c>
      <c r="E1729">
        <v>1115</v>
      </c>
      <c r="F1729">
        <v>10</v>
      </c>
      <c r="G1729">
        <v>0</v>
      </c>
      <c r="H1729">
        <v>5971</v>
      </c>
      <c r="I1729" s="1">
        <v>46113</v>
      </c>
      <c r="J1729">
        <v>10</v>
      </c>
      <c r="K1729" t="s">
        <v>23</v>
      </c>
    </row>
    <row r="1730" spans="1:11">
      <c r="A1730" s="1">
        <v>46142</v>
      </c>
      <c r="B1730" t="s">
        <v>40</v>
      </c>
      <c r="C1730" t="s">
        <v>31</v>
      </c>
      <c r="D1730">
        <v>3245</v>
      </c>
      <c r="E1730">
        <v>1200</v>
      </c>
      <c r="F1730">
        <v>14</v>
      </c>
      <c r="G1730">
        <v>0</v>
      </c>
      <c r="H1730">
        <v>4459</v>
      </c>
      <c r="I1730" s="1">
        <v>46113</v>
      </c>
      <c r="J1730">
        <v>14</v>
      </c>
      <c r="K1730" t="s">
        <v>23</v>
      </c>
    </row>
    <row r="1731" spans="1:11">
      <c r="A1731" s="1">
        <v>46142</v>
      </c>
      <c r="B1731" t="s">
        <v>40</v>
      </c>
      <c r="C1731" t="s">
        <v>34</v>
      </c>
      <c r="D1731">
        <v>4559</v>
      </c>
      <c r="E1731">
        <v>1598</v>
      </c>
      <c r="F1731">
        <v>90</v>
      </c>
      <c r="G1731">
        <v>0</v>
      </c>
      <c r="H1731">
        <v>6247</v>
      </c>
      <c r="I1731" s="1">
        <v>46113</v>
      </c>
      <c r="J1731">
        <v>90</v>
      </c>
      <c r="K1731" t="s">
        <v>23</v>
      </c>
    </row>
    <row r="1732" spans="1:11">
      <c r="A1732" s="1">
        <v>46142</v>
      </c>
      <c r="B1732" t="s">
        <v>40</v>
      </c>
      <c r="C1732" t="s">
        <v>24</v>
      </c>
      <c r="D1732">
        <v>427</v>
      </c>
      <c r="E1732">
        <v>251</v>
      </c>
      <c r="F1732">
        <v>48</v>
      </c>
      <c r="G1732">
        <v>0</v>
      </c>
      <c r="H1732">
        <v>726</v>
      </c>
      <c r="I1732" s="1">
        <v>46113</v>
      </c>
      <c r="J1732">
        <v>48</v>
      </c>
      <c r="K1732" t="s">
        <v>23</v>
      </c>
    </row>
    <row r="1733" spans="1:11">
      <c r="A1733" s="1">
        <v>46142</v>
      </c>
      <c r="B1733" t="s">
        <v>21</v>
      </c>
      <c r="C1733" t="s">
        <v>28</v>
      </c>
      <c r="D1733">
        <v>153</v>
      </c>
      <c r="E1733">
        <v>46</v>
      </c>
      <c r="F1733">
        <v>15</v>
      </c>
      <c r="G1733">
        <v>0</v>
      </c>
      <c r="H1733">
        <v>213</v>
      </c>
      <c r="I1733" s="1">
        <v>46113</v>
      </c>
      <c r="J1733">
        <v>15</v>
      </c>
      <c r="K1733" t="s">
        <v>23</v>
      </c>
    </row>
    <row r="1734" spans="1:11">
      <c r="A1734" s="1">
        <v>46142</v>
      </c>
      <c r="B1734" t="s">
        <v>21</v>
      </c>
      <c r="C1734" t="s">
        <v>43</v>
      </c>
      <c r="D1734">
        <v>901</v>
      </c>
      <c r="E1734">
        <v>347</v>
      </c>
      <c r="F1734">
        <v>101</v>
      </c>
      <c r="G1734">
        <v>0</v>
      </c>
      <c r="H1734">
        <v>1349</v>
      </c>
      <c r="I1734" s="1">
        <v>46113</v>
      </c>
      <c r="J1734">
        <v>101</v>
      </c>
      <c r="K1734" t="s">
        <v>23</v>
      </c>
    </row>
    <row r="1735" spans="1:11">
      <c r="A1735" s="1">
        <v>46142</v>
      </c>
      <c r="B1735" t="s">
        <v>21</v>
      </c>
      <c r="C1735" t="s">
        <v>31</v>
      </c>
      <c r="D1735">
        <v>125</v>
      </c>
      <c r="E1735">
        <v>30</v>
      </c>
      <c r="F1735">
        <v>5</v>
      </c>
      <c r="G1735">
        <v>0</v>
      </c>
      <c r="H1735">
        <v>160</v>
      </c>
      <c r="I1735" s="1">
        <v>46113</v>
      </c>
      <c r="J1735">
        <v>5</v>
      </c>
      <c r="K1735" t="s">
        <v>23</v>
      </c>
    </row>
    <row r="1736" spans="1:11">
      <c r="A1736" s="1">
        <v>46170</v>
      </c>
      <c r="B1736" t="s">
        <v>40</v>
      </c>
      <c r="C1736" t="s">
        <v>50</v>
      </c>
      <c r="D1736">
        <v>950</v>
      </c>
      <c r="E1736">
        <v>204</v>
      </c>
      <c r="F1736">
        <v>39</v>
      </c>
      <c r="G1736">
        <v>0</v>
      </c>
      <c r="H1736">
        <v>1193</v>
      </c>
      <c r="I1736" s="1">
        <v>46143</v>
      </c>
      <c r="J1736">
        <v>39</v>
      </c>
      <c r="K1736" t="s">
        <v>23</v>
      </c>
    </row>
    <row r="1737" spans="1:11">
      <c r="A1737" s="1">
        <v>46170</v>
      </c>
      <c r="B1737" t="s">
        <v>40</v>
      </c>
      <c r="C1737" t="s">
        <v>41</v>
      </c>
      <c r="D1737">
        <v>5016</v>
      </c>
      <c r="E1737">
        <v>1292</v>
      </c>
      <c r="F1737">
        <v>37</v>
      </c>
      <c r="G1737">
        <v>0</v>
      </c>
      <c r="H1737">
        <v>6344</v>
      </c>
      <c r="I1737" s="1">
        <v>46143</v>
      </c>
      <c r="J1737">
        <v>37</v>
      </c>
      <c r="K1737" t="s">
        <v>23</v>
      </c>
    </row>
    <row r="1738" spans="1:11">
      <c r="A1738" s="1">
        <v>46170</v>
      </c>
      <c r="B1738" t="s">
        <v>40</v>
      </c>
      <c r="C1738" t="s">
        <v>34</v>
      </c>
      <c r="D1738">
        <v>4494</v>
      </c>
      <c r="E1738">
        <v>1639</v>
      </c>
      <c r="F1738">
        <v>123</v>
      </c>
      <c r="G1738">
        <v>0</v>
      </c>
      <c r="H1738">
        <v>6256</v>
      </c>
      <c r="I1738" s="1">
        <v>46143</v>
      </c>
      <c r="J1738">
        <v>123</v>
      </c>
      <c r="K1738" t="s">
        <v>23</v>
      </c>
    </row>
    <row r="1739" spans="1:11">
      <c r="A1739" s="1">
        <v>46170</v>
      </c>
      <c r="B1739" t="s">
        <v>40</v>
      </c>
      <c r="C1739" t="s">
        <v>24</v>
      </c>
      <c r="D1739">
        <v>486</v>
      </c>
      <c r="E1739">
        <v>272</v>
      </c>
      <c r="F1739">
        <v>57</v>
      </c>
      <c r="G1739">
        <v>0</v>
      </c>
      <c r="H1739">
        <v>815</v>
      </c>
      <c r="I1739" s="1">
        <v>46143</v>
      </c>
      <c r="J1739">
        <v>57</v>
      </c>
      <c r="K1739" t="s">
        <v>23</v>
      </c>
    </row>
    <row r="1740" spans="1:11">
      <c r="A1740" s="1">
        <v>46170</v>
      </c>
      <c r="B1740" t="s">
        <v>21</v>
      </c>
      <c r="C1740" t="s">
        <v>41</v>
      </c>
      <c r="D1740">
        <v>563</v>
      </c>
      <c r="E1740">
        <v>131</v>
      </c>
      <c r="F1740">
        <v>6</v>
      </c>
      <c r="G1740">
        <v>0</v>
      </c>
      <c r="H1740">
        <v>700</v>
      </c>
      <c r="I1740" s="1">
        <v>46143</v>
      </c>
      <c r="J1740">
        <v>6</v>
      </c>
      <c r="K1740" t="s">
        <v>23</v>
      </c>
    </row>
    <row r="1741" spans="1:11">
      <c r="A1741" s="1">
        <v>46170</v>
      </c>
      <c r="B1741" t="s">
        <v>21</v>
      </c>
      <c r="C1741" t="s">
        <v>43</v>
      </c>
      <c r="D1741">
        <v>983</v>
      </c>
      <c r="E1741">
        <v>333</v>
      </c>
      <c r="F1741">
        <v>44</v>
      </c>
      <c r="G1741">
        <v>0</v>
      </c>
      <c r="H1741">
        <v>1360</v>
      </c>
      <c r="I1741" s="1">
        <v>46143</v>
      </c>
      <c r="J1741">
        <v>44</v>
      </c>
      <c r="K1741" t="s">
        <v>23</v>
      </c>
    </row>
    <row r="1742" spans="1:11">
      <c r="A1742" s="1">
        <v>46170</v>
      </c>
      <c r="B1742" t="s">
        <v>21</v>
      </c>
      <c r="C1742" t="s">
        <v>31</v>
      </c>
      <c r="D1742">
        <v>127</v>
      </c>
      <c r="E1742">
        <v>32</v>
      </c>
      <c r="F1742">
        <v>7</v>
      </c>
      <c r="G1742">
        <v>0</v>
      </c>
      <c r="H1742">
        <v>166</v>
      </c>
      <c r="I1742" s="1">
        <v>46143</v>
      </c>
      <c r="J1742">
        <v>7</v>
      </c>
      <c r="K1742" t="s">
        <v>23</v>
      </c>
    </row>
    <row r="1743" spans="1:11">
      <c r="A1743" s="1">
        <v>46170</v>
      </c>
      <c r="B1743" t="s">
        <v>21</v>
      </c>
      <c r="C1743" t="s">
        <v>36</v>
      </c>
      <c r="D1743">
        <v>7</v>
      </c>
      <c r="E1743">
        <v>4</v>
      </c>
      <c r="F1743">
        <v>1</v>
      </c>
      <c r="G1743">
        <v>0</v>
      </c>
      <c r="H1743">
        <v>13</v>
      </c>
      <c r="I1743" s="1">
        <v>46143</v>
      </c>
      <c r="J1743">
        <v>1</v>
      </c>
      <c r="K1743" t="s">
        <v>23</v>
      </c>
    </row>
    <row r="1744" spans="1:11">
      <c r="A1744" s="1">
        <v>46170</v>
      </c>
      <c r="B1744" t="s">
        <v>21</v>
      </c>
      <c r="C1744" t="s">
        <v>49</v>
      </c>
      <c r="D1744">
        <v>812</v>
      </c>
      <c r="E1744">
        <v>370</v>
      </c>
      <c r="F1744">
        <v>5</v>
      </c>
      <c r="G1744">
        <v>0</v>
      </c>
      <c r="H1744">
        <v>1187</v>
      </c>
      <c r="I1744" s="1">
        <v>46143</v>
      </c>
      <c r="J1744">
        <v>5</v>
      </c>
      <c r="K1744" t="s">
        <v>23</v>
      </c>
    </row>
    <row r="1745" spans="1:11">
      <c r="A1745" s="1">
        <v>46198</v>
      </c>
      <c r="B1745" t="s">
        <v>40</v>
      </c>
      <c r="C1745" t="s">
        <v>50</v>
      </c>
      <c r="D1745">
        <v>934</v>
      </c>
      <c r="E1745">
        <v>200</v>
      </c>
      <c r="F1745">
        <v>32</v>
      </c>
      <c r="G1745">
        <v>0</v>
      </c>
      <c r="H1745">
        <v>1166</v>
      </c>
      <c r="I1745" s="1">
        <v>46174</v>
      </c>
      <c r="J1745">
        <v>32</v>
      </c>
      <c r="K1745" t="s">
        <v>23</v>
      </c>
    </row>
    <row r="1746" spans="1:11">
      <c r="A1746" s="1">
        <v>46198</v>
      </c>
      <c r="B1746" t="s">
        <v>40</v>
      </c>
      <c r="C1746" t="s">
        <v>33</v>
      </c>
      <c r="D1746">
        <v>2473</v>
      </c>
      <c r="E1746">
        <v>1068</v>
      </c>
      <c r="F1746">
        <v>109</v>
      </c>
      <c r="G1746">
        <v>0</v>
      </c>
      <c r="H1746">
        <v>3650</v>
      </c>
      <c r="I1746" s="1">
        <v>46174</v>
      </c>
      <c r="J1746">
        <v>109</v>
      </c>
      <c r="K1746" t="s">
        <v>23</v>
      </c>
    </row>
    <row r="1747" spans="1:11">
      <c r="A1747" s="1">
        <v>46198</v>
      </c>
      <c r="B1747" t="s">
        <v>21</v>
      </c>
      <c r="C1747" t="s">
        <v>41</v>
      </c>
      <c r="D1747">
        <v>547</v>
      </c>
      <c r="E1747">
        <v>140</v>
      </c>
      <c r="F1747">
        <v>3</v>
      </c>
      <c r="G1747">
        <v>0</v>
      </c>
      <c r="H1747">
        <v>691</v>
      </c>
      <c r="I1747" s="1">
        <v>46174</v>
      </c>
      <c r="J1747">
        <v>3</v>
      </c>
      <c r="K1747" t="s">
        <v>23</v>
      </c>
    </row>
    <row r="1748" spans="1:11">
      <c r="A1748" s="1">
        <v>46198</v>
      </c>
      <c r="B1748" t="s">
        <v>21</v>
      </c>
      <c r="C1748" t="s">
        <v>43</v>
      </c>
      <c r="D1748">
        <v>966</v>
      </c>
      <c r="E1748">
        <v>308</v>
      </c>
      <c r="F1748">
        <v>57</v>
      </c>
      <c r="G1748">
        <v>0</v>
      </c>
      <c r="H1748">
        <v>1331</v>
      </c>
      <c r="I1748" s="1">
        <v>46174</v>
      </c>
      <c r="J1748">
        <v>57</v>
      </c>
      <c r="K1748" t="s">
        <v>23</v>
      </c>
    </row>
    <row r="1749" spans="1:11">
      <c r="A1749" s="1">
        <v>46198</v>
      </c>
      <c r="B1749" t="s">
        <v>21</v>
      </c>
      <c r="C1749" t="s">
        <v>36</v>
      </c>
      <c r="D1749">
        <v>9</v>
      </c>
      <c r="E1749">
        <v>3</v>
      </c>
      <c r="F1749">
        <v>1</v>
      </c>
      <c r="G1749">
        <v>0</v>
      </c>
      <c r="H1749">
        <v>13</v>
      </c>
      <c r="I1749" s="1">
        <v>46174</v>
      </c>
      <c r="J1749">
        <v>1</v>
      </c>
      <c r="K1749" t="s">
        <v>23</v>
      </c>
    </row>
    <row r="1750" spans="1:11">
      <c r="A1750" s="1">
        <v>46198</v>
      </c>
      <c r="B1750" t="s">
        <v>21</v>
      </c>
      <c r="C1750" t="s">
        <v>32</v>
      </c>
      <c r="D1750">
        <v>433</v>
      </c>
      <c r="E1750">
        <v>102</v>
      </c>
      <c r="F1750">
        <v>8</v>
      </c>
      <c r="G1750">
        <v>0</v>
      </c>
      <c r="H1750">
        <v>543</v>
      </c>
      <c r="I1750" s="1">
        <v>46174</v>
      </c>
      <c r="J1750">
        <v>8</v>
      </c>
      <c r="K1750" t="s">
        <v>23</v>
      </c>
    </row>
    <row r="1751" spans="1:11">
      <c r="A1751" s="1">
        <v>46198</v>
      </c>
      <c r="B1751" t="s">
        <v>21</v>
      </c>
      <c r="C1751" t="s">
        <v>49</v>
      </c>
      <c r="D1751">
        <v>817</v>
      </c>
      <c r="E1751">
        <v>347</v>
      </c>
      <c r="F1751">
        <v>12</v>
      </c>
      <c r="G1751">
        <v>0</v>
      </c>
      <c r="H1751">
        <v>1176</v>
      </c>
      <c r="I1751" s="1">
        <v>46174</v>
      </c>
      <c r="J1751">
        <v>12</v>
      </c>
      <c r="K1751" t="s">
        <v>23</v>
      </c>
    </row>
    <row r="1752" spans="1:11">
      <c r="A1752" s="1">
        <v>46233</v>
      </c>
      <c r="B1752" t="s">
        <v>40</v>
      </c>
      <c r="C1752" t="s">
        <v>41</v>
      </c>
      <c r="D1752">
        <v>5458</v>
      </c>
      <c r="E1752">
        <v>1443</v>
      </c>
      <c r="F1752">
        <v>65</v>
      </c>
      <c r="G1752">
        <v>0</v>
      </c>
      <c r="H1752">
        <v>6965</v>
      </c>
      <c r="I1752" s="1">
        <v>46204</v>
      </c>
      <c r="J1752">
        <v>65</v>
      </c>
      <c r="K1752" t="s">
        <v>23</v>
      </c>
    </row>
    <row r="1753" spans="1:11">
      <c r="A1753" s="1">
        <v>46233</v>
      </c>
      <c r="B1753" t="s">
        <v>40</v>
      </c>
      <c r="C1753" t="s">
        <v>31</v>
      </c>
      <c r="D1753">
        <v>3459</v>
      </c>
      <c r="E1753">
        <v>979</v>
      </c>
      <c r="F1753">
        <v>42</v>
      </c>
      <c r="G1753">
        <v>0</v>
      </c>
      <c r="H1753">
        <v>4479</v>
      </c>
      <c r="I1753" s="1">
        <v>46204</v>
      </c>
      <c r="J1753">
        <v>42</v>
      </c>
      <c r="K1753" t="s">
        <v>23</v>
      </c>
    </row>
    <row r="1754" spans="1:11">
      <c r="A1754" s="1">
        <v>46233</v>
      </c>
      <c r="B1754" t="s">
        <v>40</v>
      </c>
      <c r="C1754" t="s">
        <v>34</v>
      </c>
      <c r="D1754">
        <v>4866</v>
      </c>
      <c r="E1754">
        <v>1571</v>
      </c>
      <c r="F1754">
        <v>127</v>
      </c>
      <c r="G1754">
        <v>0</v>
      </c>
      <c r="H1754">
        <v>6564</v>
      </c>
      <c r="I1754" s="1">
        <v>46204</v>
      </c>
      <c r="J1754">
        <v>127</v>
      </c>
      <c r="K1754" t="s">
        <v>23</v>
      </c>
    </row>
    <row r="1755" spans="1:11">
      <c r="A1755" s="1">
        <v>46233</v>
      </c>
      <c r="B1755" t="s">
        <v>21</v>
      </c>
      <c r="C1755" t="s">
        <v>43</v>
      </c>
      <c r="D1755">
        <v>929</v>
      </c>
      <c r="E1755">
        <v>340</v>
      </c>
      <c r="F1755">
        <v>80</v>
      </c>
      <c r="G1755">
        <v>0</v>
      </c>
      <c r="H1755">
        <v>1349</v>
      </c>
      <c r="I1755" s="1">
        <v>46204</v>
      </c>
      <c r="J1755">
        <v>80</v>
      </c>
      <c r="K1755" t="s">
        <v>23</v>
      </c>
    </row>
    <row r="1756" spans="1:11">
      <c r="A1756" s="1">
        <v>46233</v>
      </c>
      <c r="B1756" t="s">
        <v>21</v>
      </c>
      <c r="C1756" t="s">
        <v>46</v>
      </c>
      <c r="D1756">
        <v>439</v>
      </c>
      <c r="E1756">
        <v>52</v>
      </c>
      <c r="F1756">
        <v>9</v>
      </c>
      <c r="G1756">
        <v>0</v>
      </c>
      <c r="H1756">
        <v>500</v>
      </c>
      <c r="I1756" s="1">
        <v>46204</v>
      </c>
      <c r="J1756">
        <v>9</v>
      </c>
      <c r="K1756" t="s">
        <v>23</v>
      </c>
    </row>
    <row r="1757" spans="1:11">
      <c r="A1757" s="1">
        <v>46233</v>
      </c>
      <c r="B1757" t="s">
        <v>21</v>
      </c>
      <c r="C1757" t="s">
        <v>32</v>
      </c>
      <c r="D1757">
        <v>412</v>
      </c>
      <c r="E1757">
        <v>79</v>
      </c>
      <c r="F1757">
        <v>11</v>
      </c>
      <c r="G1757">
        <v>0</v>
      </c>
      <c r="H1757">
        <v>502</v>
      </c>
      <c r="I1757" s="1">
        <v>46204</v>
      </c>
      <c r="J1757">
        <v>11</v>
      </c>
      <c r="K1757" t="s">
        <v>23</v>
      </c>
    </row>
    <row r="1758" spans="1:11">
      <c r="A1758" s="1">
        <v>46261</v>
      </c>
      <c r="B1758" t="s">
        <v>40</v>
      </c>
      <c r="C1758" t="s">
        <v>41</v>
      </c>
      <c r="D1758">
        <v>5403</v>
      </c>
      <c r="E1758">
        <v>1468</v>
      </c>
      <c r="F1758">
        <v>78</v>
      </c>
      <c r="G1758">
        <v>0</v>
      </c>
      <c r="H1758">
        <v>6949</v>
      </c>
      <c r="I1758" s="1">
        <v>46235</v>
      </c>
      <c r="J1758">
        <v>78</v>
      </c>
      <c r="K1758" t="s">
        <v>23</v>
      </c>
    </row>
    <row r="1759" spans="1:11">
      <c r="A1759" s="1">
        <v>46261</v>
      </c>
      <c r="B1759" t="s">
        <v>40</v>
      </c>
      <c r="C1759" t="s">
        <v>30</v>
      </c>
      <c r="D1759">
        <v>3264</v>
      </c>
      <c r="E1759">
        <v>222</v>
      </c>
      <c r="F1759">
        <v>1</v>
      </c>
      <c r="G1759">
        <v>0</v>
      </c>
      <c r="H1759">
        <v>3487</v>
      </c>
      <c r="I1759" s="1">
        <v>46235</v>
      </c>
      <c r="J1759">
        <v>1</v>
      </c>
      <c r="K1759" t="s">
        <v>23</v>
      </c>
    </row>
    <row r="1760" spans="1:11">
      <c r="A1760" s="1">
        <v>46261</v>
      </c>
      <c r="B1760" t="s">
        <v>40</v>
      </c>
      <c r="C1760" t="s">
        <v>24</v>
      </c>
      <c r="D1760">
        <v>663</v>
      </c>
      <c r="E1760">
        <v>306</v>
      </c>
      <c r="F1760">
        <v>98</v>
      </c>
      <c r="G1760">
        <v>0</v>
      </c>
      <c r="H1760">
        <v>1067</v>
      </c>
      <c r="I1760" s="1">
        <v>46235</v>
      </c>
      <c r="J1760">
        <v>98</v>
      </c>
      <c r="K1760" t="s">
        <v>23</v>
      </c>
    </row>
    <row r="1761" spans="1:11">
      <c r="A1761" s="1">
        <v>46261</v>
      </c>
      <c r="B1761" t="s">
        <v>21</v>
      </c>
      <c r="C1761" t="s">
        <v>41</v>
      </c>
      <c r="D1761">
        <v>519</v>
      </c>
      <c r="E1761">
        <v>166</v>
      </c>
      <c r="F1761">
        <v>23</v>
      </c>
      <c r="G1761">
        <v>0</v>
      </c>
      <c r="H1761">
        <v>707</v>
      </c>
      <c r="I1761" s="1">
        <v>46235</v>
      </c>
      <c r="J1761">
        <v>23</v>
      </c>
      <c r="K1761" t="s">
        <v>23</v>
      </c>
    </row>
    <row r="1762" spans="1:11">
      <c r="A1762" s="1">
        <v>46261</v>
      </c>
      <c r="B1762" t="s">
        <v>21</v>
      </c>
      <c r="C1762" t="s">
        <v>27</v>
      </c>
      <c r="D1762">
        <v>119</v>
      </c>
      <c r="E1762">
        <v>6</v>
      </c>
      <c r="F1762">
        <v>1</v>
      </c>
      <c r="G1762">
        <v>0</v>
      </c>
      <c r="H1762">
        <v>126</v>
      </c>
      <c r="I1762" s="1">
        <v>46235</v>
      </c>
      <c r="J1762">
        <v>1</v>
      </c>
      <c r="K1762" t="s">
        <v>23</v>
      </c>
    </row>
    <row r="1763" spans="1:11">
      <c r="A1763" s="1">
        <v>46261</v>
      </c>
      <c r="B1763" t="s">
        <v>21</v>
      </c>
      <c r="C1763" t="s">
        <v>43</v>
      </c>
      <c r="D1763">
        <v>873</v>
      </c>
      <c r="E1763">
        <v>392</v>
      </c>
      <c r="F1763">
        <v>60</v>
      </c>
      <c r="G1763">
        <v>0</v>
      </c>
      <c r="H1763">
        <v>1325</v>
      </c>
      <c r="I1763" s="1">
        <v>46235</v>
      </c>
      <c r="J1763">
        <v>60</v>
      </c>
      <c r="K1763" t="s">
        <v>23</v>
      </c>
    </row>
    <row r="1764" spans="1:11">
      <c r="A1764" s="1">
        <v>46261</v>
      </c>
      <c r="B1764" t="s">
        <v>21</v>
      </c>
      <c r="C1764" t="s">
        <v>46</v>
      </c>
      <c r="D1764">
        <v>413</v>
      </c>
      <c r="E1764">
        <v>46</v>
      </c>
      <c r="F1764">
        <v>10</v>
      </c>
      <c r="G1764">
        <v>0</v>
      </c>
      <c r="H1764">
        <v>468</v>
      </c>
      <c r="I1764" s="1">
        <v>46235</v>
      </c>
      <c r="J1764">
        <v>10</v>
      </c>
      <c r="K1764" t="s">
        <v>23</v>
      </c>
    </row>
    <row r="1765" spans="1:11">
      <c r="A1765" s="1">
        <v>46261</v>
      </c>
      <c r="B1765" t="s">
        <v>21</v>
      </c>
      <c r="C1765" t="s">
        <v>32</v>
      </c>
      <c r="D1765">
        <v>423</v>
      </c>
      <c r="E1765">
        <v>78</v>
      </c>
      <c r="F1765">
        <v>9</v>
      </c>
      <c r="G1765">
        <v>0</v>
      </c>
      <c r="H1765">
        <v>510</v>
      </c>
      <c r="I1765" s="1">
        <v>46235</v>
      </c>
      <c r="J1765">
        <v>9</v>
      </c>
      <c r="K1765" t="s">
        <v>23</v>
      </c>
    </row>
    <row r="1766" spans="1:11">
      <c r="A1766" s="1">
        <v>44952</v>
      </c>
      <c r="B1766" t="s">
        <v>40</v>
      </c>
      <c r="C1766" t="s">
        <v>55</v>
      </c>
      <c r="D1766">
        <v>1068</v>
      </c>
      <c r="E1766">
        <v>133</v>
      </c>
      <c r="F1766">
        <v>8</v>
      </c>
      <c r="G1766">
        <v>0</v>
      </c>
      <c r="H1766">
        <v>1209</v>
      </c>
      <c r="I1766" s="1">
        <v>44927</v>
      </c>
      <c r="J1766">
        <v>8</v>
      </c>
      <c r="K1766" t="s">
        <v>26</v>
      </c>
    </row>
    <row r="1767" spans="1:11">
      <c r="A1767" s="1">
        <v>44952</v>
      </c>
      <c r="B1767" t="s">
        <v>40</v>
      </c>
      <c r="C1767" t="s">
        <v>28</v>
      </c>
      <c r="D1767">
        <v>206</v>
      </c>
      <c r="E1767">
        <v>19</v>
      </c>
      <c r="F1767">
        <v>6</v>
      </c>
      <c r="G1767">
        <v>0</v>
      </c>
      <c r="H1767">
        <v>231</v>
      </c>
      <c r="I1767" s="1">
        <v>44927</v>
      </c>
      <c r="J1767">
        <v>6</v>
      </c>
      <c r="K1767" t="s">
        <v>26</v>
      </c>
    </row>
    <row r="1768" spans="1:11">
      <c r="A1768" s="1">
        <v>44952</v>
      </c>
      <c r="B1768" t="s">
        <v>40</v>
      </c>
      <c r="C1768" t="s">
        <v>22</v>
      </c>
      <c r="D1768">
        <v>896</v>
      </c>
      <c r="E1768">
        <v>88</v>
      </c>
      <c r="F1768">
        <v>8</v>
      </c>
      <c r="G1768">
        <v>0</v>
      </c>
      <c r="H1768">
        <v>992</v>
      </c>
      <c r="I1768" s="1">
        <v>44927</v>
      </c>
      <c r="J1768">
        <v>8</v>
      </c>
      <c r="K1768" t="s">
        <v>26</v>
      </c>
    </row>
    <row r="1769" spans="1:11">
      <c r="A1769" s="1">
        <v>44952</v>
      </c>
      <c r="B1769" t="s">
        <v>21</v>
      </c>
      <c r="C1769" t="s">
        <v>25</v>
      </c>
      <c r="D1769">
        <v>60</v>
      </c>
      <c r="E1769">
        <v>10</v>
      </c>
      <c r="F1769">
        <v>5</v>
      </c>
      <c r="G1769">
        <v>0</v>
      </c>
      <c r="H1769">
        <v>75</v>
      </c>
      <c r="I1769" s="1">
        <v>44927</v>
      </c>
      <c r="J1769">
        <v>5</v>
      </c>
      <c r="K1769" t="s">
        <v>26</v>
      </c>
    </row>
    <row r="1770" spans="1:11">
      <c r="A1770" s="1">
        <v>44980</v>
      </c>
      <c r="B1770" t="s">
        <v>40</v>
      </c>
      <c r="C1770" t="s">
        <v>55</v>
      </c>
      <c r="D1770">
        <v>915</v>
      </c>
      <c r="E1770">
        <v>144</v>
      </c>
      <c r="F1770">
        <v>11</v>
      </c>
      <c r="G1770">
        <v>0</v>
      </c>
      <c r="H1770">
        <v>1070</v>
      </c>
      <c r="I1770" s="1">
        <v>44958</v>
      </c>
      <c r="J1770">
        <v>11</v>
      </c>
      <c r="K1770" t="s">
        <v>26</v>
      </c>
    </row>
    <row r="1771" spans="1:11">
      <c r="A1771" s="1">
        <v>44980</v>
      </c>
      <c r="B1771" t="s">
        <v>40</v>
      </c>
      <c r="C1771" t="s">
        <v>33</v>
      </c>
      <c r="D1771">
        <v>137</v>
      </c>
      <c r="E1771">
        <v>30</v>
      </c>
      <c r="F1771">
        <v>6</v>
      </c>
      <c r="G1771">
        <v>0</v>
      </c>
      <c r="H1771">
        <v>173</v>
      </c>
      <c r="I1771" s="1">
        <v>44958</v>
      </c>
      <c r="J1771">
        <v>6</v>
      </c>
      <c r="K1771" t="s">
        <v>26</v>
      </c>
    </row>
    <row r="1772" spans="1:11">
      <c r="A1772" s="1">
        <v>44980</v>
      </c>
      <c r="B1772" t="s">
        <v>21</v>
      </c>
      <c r="C1772" t="s">
        <v>25</v>
      </c>
      <c r="D1772">
        <v>55</v>
      </c>
      <c r="E1772">
        <v>6</v>
      </c>
      <c r="F1772">
        <v>7</v>
      </c>
      <c r="G1772">
        <v>0</v>
      </c>
      <c r="H1772">
        <v>68</v>
      </c>
      <c r="I1772" s="1">
        <v>44958</v>
      </c>
      <c r="J1772">
        <v>7</v>
      </c>
      <c r="K1772" t="s">
        <v>26</v>
      </c>
    </row>
    <row r="1773" spans="1:11">
      <c r="A1773" s="1">
        <v>45015</v>
      </c>
      <c r="B1773" t="s">
        <v>40</v>
      </c>
      <c r="C1773" t="s">
        <v>55</v>
      </c>
      <c r="D1773">
        <v>926</v>
      </c>
      <c r="E1773">
        <v>171</v>
      </c>
      <c r="F1773">
        <v>8</v>
      </c>
      <c r="G1773">
        <v>0</v>
      </c>
      <c r="H1773">
        <v>1105</v>
      </c>
      <c r="I1773" s="1">
        <v>44986</v>
      </c>
      <c r="J1773">
        <v>8</v>
      </c>
      <c r="K1773" t="s">
        <v>26</v>
      </c>
    </row>
    <row r="1774" spans="1:11">
      <c r="A1774" s="1">
        <v>45015</v>
      </c>
      <c r="B1774" t="s">
        <v>40</v>
      </c>
      <c r="C1774" t="s">
        <v>28</v>
      </c>
      <c r="D1774">
        <v>222</v>
      </c>
      <c r="E1774">
        <v>21</v>
      </c>
      <c r="F1774">
        <v>6</v>
      </c>
      <c r="G1774">
        <v>0</v>
      </c>
      <c r="H1774">
        <v>249</v>
      </c>
      <c r="I1774" s="1">
        <v>44986</v>
      </c>
      <c r="J1774">
        <v>6</v>
      </c>
      <c r="K1774" t="s">
        <v>26</v>
      </c>
    </row>
    <row r="1775" spans="1:11">
      <c r="A1775" s="1">
        <v>45015</v>
      </c>
      <c r="B1775" t="s">
        <v>40</v>
      </c>
      <c r="C1775" t="s">
        <v>46</v>
      </c>
      <c r="D1775">
        <v>445</v>
      </c>
      <c r="E1775">
        <v>106</v>
      </c>
      <c r="F1775">
        <v>29</v>
      </c>
      <c r="G1775">
        <v>0</v>
      </c>
      <c r="H1775">
        <v>580</v>
      </c>
      <c r="I1775" s="1">
        <v>44986</v>
      </c>
      <c r="J1775">
        <v>29</v>
      </c>
      <c r="K1775" t="s">
        <v>26</v>
      </c>
    </row>
    <row r="1776" spans="1:11">
      <c r="A1776" s="1">
        <v>45015</v>
      </c>
      <c r="B1776" t="s">
        <v>40</v>
      </c>
      <c r="C1776" t="s">
        <v>24</v>
      </c>
      <c r="D1776">
        <v>639</v>
      </c>
      <c r="E1776">
        <v>123</v>
      </c>
      <c r="F1776">
        <v>8</v>
      </c>
      <c r="G1776">
        <v>0</v>
      </c>
      <c r="H1776">
        <v>770</v>
      </c>
      <c r="I1776" s="1">
        <v>44986</v>
      </c>
      <c r="J1776">
        <v>8</v>
      </c>
      <c r="K1776" t="s">
        <v>26</v>
      </c>
    </row>
    <row r="1777" spans="1:11">
      <c r="A1777" s="1">
        <v>45015</v>
      </c>
      <c r="B1777" t="s">
        <v>40</v>
      </c>
      <c r="C1777" t="s">
        <v>44</v>
      </c>
      <c r="D1777">
        <v>220</v>
      </c>
      <c r="E1777">
        <v>52</v>
      </c>
      <c r="F1777">
        <v>6</v>
      </c>
      <c r="G1777">
        <v>0</v>
      </c>
      <c r="H1777">
        <v>278</v>
      </c>
      <c r="I1777" s="1">
        <v>44986</v>
      </c>
      <c r="J1777">
        <v>6</v>
      </c>
      <c r="K1777" t="s">
        <v>26</v>
      </c>
    </row>
    <row r="1778" spans="1:11">
      <c r="A1778" s="1">
        <v>45043</v>
      </c>
      <c r="B1778" t="s">
        <v>40</v>
      </c>
      <c r="C1778" t="s">
        <v>55</v>
      </c>
      <c r="D1778">
        <v>956</v>
      </c>
      <c r="E1778">
        <v>205</v>
      </c>
      <c r="F1778">
        <v>6</v>
      </c>
      <c r="G1778">
        <v>0</v>
      </c>
      <c r="H1778">
        <v>1167</v>
      </c>
      <c r="I1778" s="1">
        <v>45017</v>
      </c>
      <c r="J1778">
        <v>6</v>
      </c>
      <c r="K1778" t="s">
        <v>26</v>
      </c>
    </row>
    <row r="1779" spans="1:11">
      <c r="A1779" s="1">
        <v>45043</v>
      </c>
      <c r="B1779" t="s">
        <v>40</v>
      </c>
      <c r="C1779" t="s">
        <v>28</v>
      </c>
      <c r="D1779">
        <v>245</v>
      </c>
      <c r="E1779">
        <v>28</v>
      </c>
      <c r="F1779">
        <v>6</v>
      </c>
      <c r="G1779">
        <v>0</v>
      </c>
      <c r="H1779">
        <v>280</v>
      </c>
      <c r="I1779" s="1">
        <v>45017</v>
      </c>
      <c r="J1779">
        <v>6</v>
      </c>
      <c r="K1779" t="s">
        <v>26</v>
      </c>
    </row>
    <row r="1780" spans="1:11">
      <c r="A1780" s="1">
        <v>45043</v>
      </c>
      <c r="B1780" t="s">
        <v>40</v>
      </c>
      <c r="C1780" t="s">
        <v>46</v>
      </c>
      <c r="D1780">
        <v>409</v>
      </c>
      <c r="E1780">
        <v>114</v>
      </c>
      <c r="F1780">
        <v>28</v>
      </c>
      <c r="G1780">
        <v>0</v>
      </c>
      <c r="H1780">
        <v>551</v>
      </c>
      <c r="I1780" s="1">
        <v>45017</v>
      </c>
      <c r="J1780">
        <v>28</v>
      </c>
      <c r="K1780" t="s">
        <v>26</v>
      </c>
    </row>
    <row r="1781" spans="1:11">
      <c r="A1781" s="1">
        <v>45071</v>
      </c>
      <c r="B1781" t="s">
        <v>40</v>
      </c>
      <c r="C1781" t="s">
        <v>55</v>
      </c>
      <c r="D1781">
        <v>935</v>
      </c>
      <c r="E1781">
        <v>146</v>
      </c>
      <c r="F1781">
        <v>18</v>
      </c>
      <c r="G1781">
        <v>0</v>
      </c>
      <c r="H1781">
        <v>1100</v>
      </c>
      <c r="I1781" s="1">
        <v>45047</v>
      </c>
      <c r="J1781">
        <v>18</v>
      </c>
      <c r="K1781" t="s">
        <v>26</v>
      </c>
    </row>
    <row r="1782" spans="1:11">
      <c r="A1782" s="1">
        <v>45071</v>
      </c>
      <c r="B1782" t="s">
        <v>40</v>
      </c>
      <c r="C1782" t="s">
        <v>24</v>
      </c>
      <c r="D1782">
        <v>576</v>
      </c>
      <c r="E1782">
        <v>125</v>
      </c>
      <c r="F1782">
        <v>10</v>
      </c>
      <c r="G1782">
        <v>0</v>
      </c>
      <c r="H1782">
        <v>711</v>
      </c>
      <c r="I1782" s="1">
        <v>45047</v>
      </c>
      <c r="J1782">
        <v>10</v>
      </c>
      <c r="K1782" t="s">
        <v>26</v>
      </c>
    </row>
    <row r="1783" spans="1:11">
      <c r="A1783" s="1">
        <v>45071</v>
      </c>
      <c r="B1783" t="s">
        <v>21</v>
      </c>
      <c r="C1783" t="s">
        <v>48</v>
      </c>
      <c r="D1783">
        <v>20</v>
      </c>
      <c r="E1783">
        <v>4</v>
      </c>
      <c r="F1783">
        <v>8</v>
      </c>
      <c r="G1783">
        <v>0</v>
      </c>
      <c r="H1783">
        <v>32</v>
      </c>
      <c r="I1783" s="1">
        <v>45047</v>
      </c>
      <c r="J1783">
        <v>8</v>
      </c>
      <c r="K1783" t="s">
        <v>26</v>
      </c>
    </row>
    <row r="1784" spans="1:11">
      <c r="A1784" s="1">
        <v>45071</v>
      </c>
      <c r="B1784" t="s">
        <v>21</v>
      </c>
      <c r="C1784" t="s">
        <v>61</v>
      </c>
      <c r="D1784">
        <v>181</v>
      </c>
      <c r="E1784">
        <v>26</v>
      </c>
      <c r="F1784">
        <v>10</v>
      </c>
      <c r="G1784">
        <v>0</v>
      </c>
      <c r="H1784">
        <v>218</v>
      </c>
      <c r="I1784" s="1">
        <v>45047</v>
      </c>
      <c r="J1784">
        <v>10</v>
      </c>
      <c r="K1784" t="s">
        <v>26</v>
      </c>
    </row>
    <row r="1785" spans="1:11">
      <c r="A1785" s="1">
        <v>45106</v>
      </c>
      <c r="B1785" t="s">
        <v>40</v>
      </c>
      <c r="C1785" t="s">
        <v>52</v>
      </c>
      <c r="D1785">
        <v>573</v>
      </c>
      <c r="E1785">
        <v>133</v>
      </c>
      <c r="F1785">
        <v>6</v>
      </c>
      <c r="G1785">
        <v>0</v>
      </c>
      <c r="H1785">
        <v>712</v>
      </c>
      <c r="I1785" s="1">
        <v>45078</v>
      </c>
      <c r="J1785">
        <v>6</v>
      </c>
      <c r="K1785" t="s">
        <v>26</v>
      </c>
    </row>
    <row r="1786" spans="1:11">
      <c r="A1786" s="1">
        <v>45106</v>
      </c>
      <c r="B1786" t="s">
        <v>40</v>
      </c>
      <c r="C1786" t="s">
        <v>24</v>
      </c>
      <c r="D1786">
        <v>521</v>
      </c>
      <c r="E1786">
        <v>148</v>
      </c>
      <c r="F1786">
        <v>9</v>
      </c>
      <c r="G1786">
        <v>0</v>
      </c>
      <c r="H1786">
        <v>678</v>
      </c>
      <c r="I1786" s="1">
        <v>45078</v>
      </c>
      <c r="J1786">
        <v>9</v>
      </c>
      <c r="K1786" t="s">
        <v>26</v>
      </c>
    </row>
    <row r="1787" spans="1:11">
      <c r="A1787" s="1">
        <v>45106</v>
      </c>
      <c r="B1787" t="s">
        <v>21</v>
      </c>
      <c r="C1787" t="s">
        <v>48</v>
      </c>
      <c r="D1787">
        <v>26</v>
      </c>
      <c r="E1787">
        <v>4</v>
      </c>
      <c r="F1787">
        <v>6</v>
      </c>
      <c r="G1787">
        <v>0</v>
      </c>
      <c r="H1787">
        <v>35</v>
      </c>
      <c r="I1787" s="1">
        <v>45078</v>
      </c>
      <c r="J1787">
        <v>6</v>
      </c>
      <c r="K1787" t="s">
        <v>26</v>
      </c>
    </row>
    <row r="1788" spans="1:11">
      <c r="A1788" s="1">
        <v>45134</v>
      </c>
      <c r="B1788" t="s">
        <v>40</v>
      </c>
      <c r="C1788" t="s">
        <v>24</v>
      </c>
      <c r="D1788">
        <v>606</v>
      </c>
      <c r="E1788">
        <v>148</v>
      </c>
      <c r="F1788">
        <v>14</v>
      </c>
      <c r="G1788">
        <v>0</v>
      </c>
      <c r="H1788">
        <v>767</v>
      </c>
      <c r="I1788" s="1">
        <v>45108</v>
      </c>
      <c r="J1788">
        <v>14</v>
      </c>
      <c r="K1788" t="s">
        <v>26</v>
      </c>
    </row>
    <row r="1789" spans="1:11">
      <c r="A1789" s="1">
        <v>45134</v>
      </c>
      <c r="B1789" t="s">
        <v>21</v>
      </c>
      <c r="C1789" t="s">
        <v>61</v>
      </c>
      <c r="D1789">
        <v>184</v>
      </c>
      <c r="E1789">
        <v>23</v>
      </c>
      <c r="F1789">
        <v>16</v>
      </c>
      <c r="G1789">
        <v>0</v>
      </c>
      <c r="H1789">
        <v>223</v>
      </c>
      <c r="I1789" s="1">
        <v>45108</v>
      </c>
      <c r="J1789">
        <v>16</v>
      </c>
      <c r="K1789" t="s">
        <v>26</v>
      </c>
    </row>
    <row r="1790" spans="1:11">
      <c r="A1790" s="1">
        <v>45134</v>
      </c>
      <c r="B1790" t="s">
        <v>21</v>
      </c>
      <c r="C1790" t="s">
        <v>59</v>
      </c>
      <c r="D1790">
        <v>310</v>
      </c>
      <c r="E1790">
        <v>132</v>
      </c>
      <c r="F1790">
        <v>8</v>
      </c>
      <c r="G1790">
        <v>0</v>
      </c>
      <c r="H1790">
        <v>449</v>
      </c>
      <c r="I1790" s="1">
        <v>45108</v>
      </c>
      <c r="J1790">
        <v>8</v>
      </c>
      <c r="K1790" t="s">
        <v>26</v>
      </c>
    </row>
    <row r="1791" spans="1:11">
      <c r="A1791" s="1">
        <v>45169</v>
      </c>
      <c r="B1791" t="s">
        <v>40</v>
      </c>
      <c r="C1791" t="s">
        <v>28</v>
      </c>
      <c r="D1791">
        <v>226</v>
      </c>
      <c r="E1791">
        <v>57</v>
      </c>
      <c r="F1791">
        <v>6</v>
      </c>
      <c r="G1791">
        <v>0</v>
      </c>
      <c r="H1791">
        <v>288</v>
      </c>
      <c r="I1791" s="1">
        <v>45139</v>
      </c>
      <c r="J1791">
        <v>6</v>
      </c>
      <c r="K1791" t="s">
        <v>26</v>
      </c>
    </row>
    <row r="1792" spans="1:11">
      <c r="A1792" s="1">
        <v>45169</v>
      </c>
      <c r="B1792" t="s">
        <v>40</v>
      </c>
      <c r="C1792" t="s">
        <v>24</v>
      </c>
      <c r="D1792">
        <v>659</v>
      </c>
      <c r="E1792">
        <v>133</v>
      </c>
      <c r="F1792">
        <v>12</v>
      </c>
      <c r="G1792">
        <v>0</v>
      </c>
      <c r="H1792">
        <v>804</v>
      </c>
      <c r="I1792" s="1">
        <v>45139</v>
      </c>
      <c r="J1792">
        <v>12</v>
      </c>
      <c r="K1792" t="s">
        <v>26</v>
      </c>
    </row>
    <row r="1793" spans="1:11">
      <c r="A1793" s="1">
        <v>45169</v>
      </c>
      <c r="B1793" t="s">
        <v>21</v>
      </c>
      <c r="C1793" t="s">
        <v>61</v>
      </c>
      <c r="D1793">
        <v>193</v>
      </c>
      <c r="E1793">
        <v>26</v>
      </c>
      <c r="F1793">
        <v>12</v>
      </c>
      <c r="G1793">
        <v>0</v>
      </c>
      <c r="H1793">
        <v>230</v>
      </c>
      <c r="I1793" s="1">
        <v>45139</v>
      </c>
      <c r="J1793">
        <v>12</v>
      </c>
      <c r="K1793" t="s">
        <v>26</v>
      </c>
    </row>
    <row r="1794" spans="1:11">
      <c r="A1794" s="1">
        <v>45169</v>
      </c>
      <c r="B1794" t="s">
        <v>21</v>
      </c>
      <c r="C1794" t="s">
        <v>59</v>
      </c>
      <c r="D1794">
        <v>228</v>
      </c>
      <c r="E1794">
        <v>168</v>
      </c>
      <c r="F1794">
        <v>11</v>
      </c>
      <c r="G1794">
        <v>0</v>
      </c>
      <c r="H1794">
        <v>406</v>
      </c>
      <c r="I1794" s="1">
        <v>45139</v>
      </c>
      <c r="J1794">
        <v>11</v>
      </c>
      <c r="K1794" t="s">
        <v>26</v>
      </c>
    </row>
    <row r="1795" spans="1:11">
      <c r="A1795" s="1">
        <v>45197</v>
      </c>
      <c r="B1795" t="s">
        <v>21</v>
      </c>
      <c r="C1795" t="s">
        <v>61</v>
      </c>
      <c r="D1795">
        <v>194</v>
      </c>
      <c r="E1795">
        <v>19</v>
      </c>
      <c r="F1795">
        <v>8</v>
      </c>
      <c r="G1795">
        <v>0</v>
      </c>
      <c r="H1795">
        <v>220</v>
      </c>
      <c r="I1795" s="1">
        <v>45170</v>
      </c>
      <c r="J1795">
        <v>8</v>
      </c>
      <c r="K1795" t="s">
        <v>26</v>
      </c>
    </row>
    <row r="1796" spans="1:11">
      <c r="A1796" s="1">
        <v>45197</v>
      </c>
      <c r="B1796" t="s">
        <v>21</v>
      </c>
      <c r="C1796" t="s">
        <v>59</v>
      </c>
      <c r="D1796">
        <v>156</v>
      </c>
      <c r="E1796">
        <v>229</v>
      </c>
      <c r="F1796">
        <v>8</v>
      </c>
      <c r="G1796">
        <v>0</v>
      </c>
      <c r="H1796">
        <v>393</v>
      </c>
      <c r="I1796" s="1">
        <v>45170</v>
      </c>
      <c r="J1796">
        <v>8</v>
      </c>
      <c r="K1796" t="s">
        <v>26</v>
      </c>
    </row>
    <row r="1797" spans="1:11">
      <c r="A1797" s="1">
        <v>45225</v>
      </c>
      <c r="B1797" t="s">
        <v>40</v>
      </c>
      <c r="C1797" t="s">
        <v>59</v>
      </c>
      <c r="D1797">
        <v>1932</v>
      </c>
      <c r="E1797">
        <v>749</v>
      </c>
      <c r="F1797">
        <v>123</v>
      </c>
      <c r="G1797">
        <v>0</v>
      </c>
      <c r="H1797">
        <v>2805</v>
      </c>
      <c r="I1797" s="1">
        <v>45200</v>
      </c>
      <c r="J1797">
        <v>123</v>
      </c>
      <c r="K1797" t="s">
        <v>26</v>
      </c>
    </row>
    <row r="1798" spans="1:11">
      <c r="A1798" s="1">
        <v>45225</v>
      </c>
      <c r="B1798" t="s">
        <v>21</v>
      </c>
      <c r="C1798" t="s">
        <v>51</v>
      </c>
      <c r="D1798">
        <v>31</v>
      </c>
      <c r="E1798">
        <v>8</v>
      </c>
      <c r="F1798">
        <v>6</v>
      </c>
      <c r="G1798">
        <v>0</v>
      </c>
      <c r="H1798">
        <v>44</v>
      </c>
      <c r="I1798" s="1">
        <v>45200</v>
      </c>
      <c r="J1798">
        <v>6</v>
      </c>
      <c r="K1798" t="s">
        <v>26</v>
      </c>
    </row>
    <row r="1799" spans="1:11">
      <c r="A1799" s="1">
        <v>45225</v>
      </c>
      <c r="B1799" t="s">
        <v>21</v>
      </c>
      <c r="C1799" t="s">
        <v>59</v>
      </c>
      <c r="D1799">
        <v>157</v>
      </c>
      <c r="E1799">
        <v>225</v>
      </c>
      <c r="F1799">
        <v>6</v>
      </c>
      <c r="G1799">
        <v>0</v>
      </c>
      <c r="H1799">
        <v>388</v>
      </c>
      <c r="I1799" s="1">
        <v>45200</v>
      </c>
      <c r="J1799">
        <v>6</v>
      </c>
      <c r="K1799" t="s">
        <v>26</v>
      </c>
    </row>
    <row r="1800" spans="1:11">
      <c r="A1800" s="1">
        <v>45260</v>
      </c>
      <c r="B1800" t="s">
        <v>40</v>
      </c>
      <c r="C1800" t="s">
        <v>28</v>
      </c>
      <c r="D1800">
        <v>256</v>
      </c>
      <c r="E1800">
        <v>81</v>
      </c>
      <c r="F1800">
        <v>10</v>
      </c>
      <c r="G1800">
        <v>0</v>
      </c>
      <c r="H1800">
        <v>347</v>
      </c>
      <c r="I1800" s="1">
        <v>45231</v>
      </c>
      <c r="J1800">
        <v>10</v>
      </c>
      <c r="K1800" t="s">
        <v>26</v>
      </c>
    </row>
    <row r="1801" spans="1:11">
      <c r="A1801" s="1">
        <v>45260</v>
      </c>
      <c r="B1801" t="s">
        <v>40</v>
      </c>
      <c r="C1801" t="s">
        <v>43</v>
      </c>
      <c r="D1801">
        <v>762</v>
      </c>
      <c r="E1801">
        <v>154</v>
      </c>
      <c r="F1801">
        <v>6</v>
      </c>
      <c r="G1801">
        <v>0</v>
      </c>
      <c r="H1801">
        <v>922</v>
      </c>
      <c r="I1801" s="1">
        <v>45231</v>
      </c>
      <c r="J1801">
        <v>6</v>
      </c>
      <c r="K1801" t="s">
        <v>26</v>
      </c>
    </row>
    <row r="1802" spans="1:11">
      <c r="A1802" s="1">
        <v>45260</v>
      </c>
      <c r="B1802" t="s">
        <v>40</v>
      </c>
      <c r="C1802" t="s">
        <v>46</v>
      </c>
      <c r="D1802">
        <v>437</v>
      </c>
      <c r="E1802">
        <v>129</v>
      </c>
      <c r="F1802">
        <v>20</v>
      </c>
      <c r="G1802">
        <v>0</v>
      </c>
      <c r="H1802">
        <v>587</v>
      </c>
      <c r="I1802" s="1">
        <v>45231</v>
      </c>
      <c r="J1802">
        <v>20</v>
      </c>
      <c r="K1802" t="s">
        <v>26</v>
      </c>
    </row>
    <row r="1803" spans="1:11">
      <c r="A1803" s="1">
        <v>45260</v>
      </c>
      <c r="B1803" t="s">
        <v>21</v>
      </c>
      <c r="C1803" t="s">
        <v>25</v>
      </c>
      <c r="D1803">
        <v>58</v>
      </c>
      <c r="E1803">
        <v>28</v>
      </c>
      <c r="F1803">
        <v>5</v>
      </c>
      <c r="G1803">
        <v>0</v>
      </c>
      <c r="H1803">
        <v>91</v>
      </c>
      <c r="I1803" s="1">
        <v>45231</v>
      </c>
      <c r="J1803">
        <v>5</v>
      </c>
      <c r="K1803" t="s">
        <v>26</v>
      </c>
    </row>
    <row r="1804" spans="1:11">
      <c r="A1804" s="1">
        <v>45288</v>
      </c>
      <c r="B1804" t="s">
        <v>40</v>
      </c>
      <c r="C1804" t="s">
        <v>33</v>
      </c>
      <c r="D1804">
        <v>98</v>
      </c>
      <c r="E1804">
        <v>60</v>
      </c>
      <c r="F1804">
        <v>19</v>
      </c>
      <c r="G1804">
        <v>0</v>
      </c>
      <c r="H1804">
        <v>177</v>
      </c>
      <c r="I1804" s="1">
        <v>45261</v>
      </c>
      <c r="J1804">
        <v>19</v>
      </c>
      <c r="K1804" t="s">
        <v>26</v>
      </c>
    </row>
    <row r="1805" spans="1:11">
      <c r="A1805" s="1">
        <v>45288</v>
      </c>
      <c r="B1805" t="s">
        <v>40</v>
      </c>
      <c r="C1805" t="s">
        <v>28</v>
      </c>
      <c r="D1805">
        <v>256</v>
      </c>
      <c r="E1805">
        <v>82</v>
      </c>
      <c r="F1805">
        <v>17</v>
      </c>
      <c r="G1805">
        <v>0</v>
      </c>
      <c r="H1805">
        <v>355</v>
      </c>
      <c r="I1805" s="1">
        <v>45261</v>
      </c>
      <c r="J1805">
        <v>17</v>
      </c>
      <c r="K1805" t="s">
        <v>26</v>
      </c>
    </row>
    <row r="1806" spans="1:11">
      <c r="A1806" s="1">
        <v>45288</v>
      </c>
      <c r="B1806" t="s">
        <v>40</v>
      </c>
      <c r="C1806" t="s">
        <v>46</v>
      </c>
      <c r="D1806">
        <v>401</v>
      </c>
      <c r="E1806">
        <v>110</v>
      </c>
      <c r="F1806">
        <v>13</v>
      </c>
      <c r="G1806">
        <v>0</v>
      </c>
      <c r="H1806">
        <v>524</v>
      </c>
      <c r="I1806" s="1">
        <v>45261</v>
      </c>
      <c r="J1806">
        <v>13</v>
      </c>
      <c r="K1806" t="s">
        <v>26</v>
      </c>
    </row>
    <row r="1807" spans="1:11">
      <c r="A1807" s="1">
        <v>45288</v>
      </c>
      <c r="B1807" t="s">
        <v>40</v>
      </c>
      <c r="C1807" t="s">
        <v>59</v>
      </c>
      <c r="D1807">
        <v>1801</v>
      </c>
      <c r="E1807">
        <v>723</v>
      </c>
      <c r="F1807">
        <v>8</v>
      </c>
      <c r="G1807">
        <v>0</v>
      </c>
      <c r="H1807">
        <v>2532</v>
      </c>
      <c r="I1807" s="1">
        <v>45261</v>
      </c>
      <c r="J1807">
        <v>8</v>
      </c>
      <c r="K1807" t="s">
        <v>26</v>
      </c>
    </row>
    <row r="1808" spans="1:11">
      <c r="A1808" s="1">
        <v>45288</v>
      </c>
      <c r="B1808" t="s">
        <v>21</v>
      </c>
      <c r="C1808" t="s">
        <v>59</v>
      </c>
      <c r="D1808">
        <v>178</v>
      </c>
      <c r="E1808">
        <v>203</v>
      </c>
      <c r="F1808">
        <v>16</v>
      </c>
      <c r="G1808">
        <v>0</v>
      </c>
      <c r="H1808">
        <v>397</v>
      </c>
      <c r="I1808" s="1">
        <v>45261</v>
      </c>
      <c r="J1808">
        <v>16</v>
      </c>
      <c r="K1808" t="s">
        <v>26</v>
      </c>
    </row>
    <row r="1809" spans="1:11">
      <c r="A1809" s="1">
        <v>45316</v>
      </c>
      <c r="B1809" t="s">
        <v>40</v>
      </c>
      <c r="C1809" t="s">
        <v>28</v>
      </c>
      <c r="D1809">
        <v>234</v>
      </c>
      <c r="E1809">
        <v>80</v>
      </c>
      <c r="F1809">
        <v>18</v>
      </c>
      <c r="G1809">
        <v>0</v>
      </c>
      <c r="H1809">
        <v>332</v>
      </c>
      <c r="I1809" s="1">
        <v>45292</v>
      </c>
      <c r="J1809">
        <v>18</v>
      </c>
      <c r="K1809" t="s">
        <v>26</v>
      </c>
    </row>
    <row r="1810" spans="1:11">
      <c r="A1810" s="1">
        <v>45316</v>
      </c>
      <c r="B1810" t="s">
        <v>40</v>
      </c>
      <c r="C1810" t="s">
        <v>51</v>
      </c>
      <c r="D1810">
        <v>758</v>
      </c>
      <c r="E1810">
        <v>289</v>
      </c>
      <c r="F1810">
        <v>9</v>
      </c>
      <c r="G1810">
        <v>0</v>
      </c>
      <c r="H1810">
        <v>1055</v>
      </c>
      <c r="I1810" s="1">
        <v>45292</v>
      </c>
      <c r="J1810">
        <v>9</v>
      </c>
      <c r="K1810" t="s">
        <v>26</v>
      </c>
    </row>
    <row r="1811" spans="1:11">
      <c r="A1811" s="1">
        <v>45316</v>
      </c>
      <c r="B1811" t="s">
        <v>40</v>
      </c>
      <c r="C1811" t="s">
        <v>43</v>
      </c>
      <c r="D1811">
        <v>1026</v>
      </c>
      <c r="E1811">
        <v>200</v>
      </c>
      <c r="F1811">
        <v>12</v>
      </c>
      <c r="G1811">
        <v>0</v>
      </c>
      <c r="H1811">
        <v>1238</v>
      </c>
      <c r="I1811" s="1">
        <v>45292</v>
      </c>
      <c r="J1811">
        <v>12</v>
      </c>
      <c r="K1811" t="s">
        <v>26</v>
      </c>
    </row>
    <row r="1812" spans="1:11">
      <c r="A1812" s="1">
        <v>45316</v>
      </c>
      <c r="B1812" t="s">
        <v>40</v>
      </c>
      <c r="C1812" t="s">
        <v>46</v>
      </c>
      <c r="D1812">
        <v>418</v>
      </c>
      <c r="E1812">
        <v>124</v>
      </c>
      <c r="F1812">
        <v>17</v>
      </c>
      <c r="G1812">
        <v>0</v>
      </c>
      <c r="H1812">
        <v>559</v>
      </c>
      <c r="I1812" s="1">
        <v>45292</v>
      </c>
      <c r="J1812">
        <v>17</v>
      </c>
      <c r="K1812" t="s">
        <v>26</v>
      </c>
    </row>
    <row r="1813" spans="1:11">
      <c r="A1813" s="1">
        <v>45316</v>
      </c>
      <c r="B1813" t="s">
        <v>21</v>
      </c>
      <c r="C1813" t="s">
        <v>54</v>
      </c>
      <c r="D1813">
        <v>90</v>
      </c>
      <c r="E1813">
        <v>75</v>
      </c>
      <c r="F1813">
        <v>16</v>
      </c>
      <c r="G1813">
        <v>0</v>
      </c>
      <c r="H1813">
        <v>181</v>
      </c>
      <c r="I1813" s="1">
        <v>45292</v>
      </c>
      <c r="J1813">
        <v>16</v>
      </c>
      <c r="K1813" t="s">
        <v>26</v>
      </c>
    </row>
    <row r="1814" spans="1:11">
      <c r="A1814" s="1">
        <v>45316</v>
      </c>
      <c r="B1814" t="s">
        <v>21</v>
      </c>
      <c r="C1814" t="s">
        <v>59</v>
      </c>
      <c r="D1814">
        <v>174</v>
      </c>
      <c r="E1814">
        <v>209</v>
      </c>
      <c r="F1814">
        <v>28</v>
      </c>
      <c r="G1814">
        <v>0</v>
      </c>
      <c r="H1814">
        <v>411</v>
      </c>
      <c r="I1814" s="1">
        <v>45292</v>
      </c>
      <c r="J1814">
        <v>28</v>
      </c>
      <c r="K1814" t="s">
        <v>26</v>
      </c>
    </row>
    <row r="1815" spans="1:11">
      <c r="A1815" s="1">
        <v>45351</v>
      </c>
      <c r="B1815" t="s">
        <v>40</v>
      </c>
      <c r="C1815" t="s">
        <v>33</v>
      </c>
      <c r="D1815">
        <v>74</v>
      </c>
      <c r="E1815">
        <v>37</v>
      </c>
      <c r="F1815">
        <v>10</v>
      </c>
      <c r="G1815">
        <v>0</v>
      </c>
      <c r="H1815">
        <v>121</v>
      </c>
      <c r="I1815" s="1">
        <v>45323</v>
      </c>
      <c r="J1815">
        <v>10</v>
      </c>
      <c r="K1815" t="s">
        <v>26</v>
      </c>
    </row>
    <row r="1816" spans="1:11">
      <c r="A1816" s="1">
        <v>45351</v>
      </c>
      <c r="B1816" t="s">
        <v>40</v>
      </c>
      <c r="C1816" t="s">
        <v>28</v>
      </c>
      <c r="D1816">
        <v>227</v>
      </c>
      <c r="E1816">
        <v>75</v>
      </c>
      <c r="F1816">
        <v>23</v>
      </c>
      <c r="G1816">
        <v>0</v>
      </c>
      <c r="H1816">
        <v>325</v>
      </c>
      <c r="I1816" s="1">
        <v>45323</v>
      </c>
      <c r="J1816">
        <v>23</v>
      </c>
      <c r="K1816" t="s">
        <v>26</v>
      </c>
    </row>
    <row r="1817" spans="1:11">
      <c r="A1817" s="1">
        <v>45351</v>
      </c>
      <c r="B1817" t="s">
        <v>40</v>
      </c>
      <c r="C1817" t="s">
        <v>46</v>
      </c>
      <c r="D1817">
        <v>368</v>
      </c>
      <c r="E1817">
        <v>124</v>
      </c>
      <c r="F1817">
        <v>14</v>
      </c>
      <c r="G1817">
        <v>0</v>
      </c>
      <c r="H1817">
        <v>506</v>
      </c>
      <c r="I1817" s="1">
        <v>45323</v>
      </c>
      <c r="J1817">
        <v>14</v>
      </c>
      <c r="K1817" t="s">
        <v>26</v>
      </c>
    </row>
    <row r="1818" spans="1:11">
      <c r="A1818" s="1">
        <v>45351</v>
      </c>
      <c r="B1818" t="s">
        <v>21</v>
      </c>
      <c r="C1818" t="s">
        <v>25</v>
      </c>
      <c r="D1818">
        <v>69</v>
      </c>
      <c r="E1818">
        <v>21</v>
      </c>
      <c r="F1818">
        <v>11</v>
      </c>
      <c r="G1818">
        <v>0</v>
      </c>
      <c r="H1818">
        <v>100</v>
      </c>
      <c r="I1818" s="1">
        <v>45323</v>
      </c>
      <c r="J1818">
        <v>11</v>
      </c>
      <c r="K1818" t="s">
        <v>26</v>
      </c>
    </row>
    <row r="1819" spans="1:11">
      <c r="A1819" s="1">
        <v>45351</v>
      </c>
      <c r="B1819" t="s">
        <v>21</v>
      </c>
      <c r="C1819" t="s">
        <v>59</v>
      </c>
      <c r="D1819">
        <v>260</v>
      </c>
      <c r="E1819">
        <v>181</v>
      </c>
      <c r="F1819">
        <v>78</v>
      </c>
      <c r="G1819">
        <v>0</v>
      </c>
      <c r="H1819">
        <v>519</v>
      </c>
      <c r="I1819" s="1">
        <v>45323</v>
      </c>
      <c r="J1819">
        <v>78</v>
      </c>
      <c r="K1819" t="s">
        <v>26</v>
      </c>
    </row>
    <row r="1820" spans="1:11">
      <c r="A1820" s="1">
        <v>45379</v>
      </c>
      <c r="B1820" t="s">
        <v>40</v>
      </c>
      <c r="C1820" t="s">
        <v>28</v>
      </c>
      <c r="D1820">
        <v>245</v>
      </c>
      <c r="E1820">
        <v>67</v>
      </c>
      <c r="F1820">
        <v>25</v>
      </c>
      <c r="G1820">
        <v>0</v>
      </c>
      <c r="H1820">
        <v>337</v>
      </c>
      <c r="I1820" s="1">
        <v>45352</v>
      </c>
      <c r="J1820">
        <v>25</v>
      </c>
      <c r="K1820" t="s">
        <v>26</v>
      </c>
    </row>
    <row r="1821" spans="1:11">
      <c r="A1821" s="1">
        <v>45379</v>
      </c>
      <c r="B1821" t="s">
        <v>40</v>
      </c>
      <c r="C1821" t="s">
        <v>46</v>
      </c>
      <c r="D1821">
        <v>372</v>
      </c>
      <c r="E1821">
        <v>121</v>
      </c>
      <c r="F1821">
        <v>21</v>
      </c>
      <c r="G1821">
        <v>0</v>
      </c>
      <c r="H1821">
        <v>514</v>
      </c>
      <c r="I1821" s="1">
        <v>45352</v>
      </c>
      <c r="J1821">
        <v>21</v>
      </c>
      <c r="K1821" t="s">
        <v>26</v>
      </c>
    </row>
    <row r="1822" spans="1:11">
      <c r="A1822" s="1">
        <v>45379</v>
      </c>
      <c r="B1822" t="s">
        <v>40</v>
      </c>
      <c r="C1822" t="s">
        <v>24</v>
      </c>
      <c r="D1822">
        <v>558</v>
      </c>
      <c r="E1822">
        <v>135</v>
      </c>
      <c r="F1822">
        <v>6</v>
      </c>
      <c r="G1822">
        <v>0</v>
      </c>
      <c r="H1822">
        <v>698</v>
      </c>
      <c r="I1822" s="1">
        <v>45352</v>
      </c>
      <c r="J1822">
        <v>6</v>
      </c>
      <c r="K1822" t="s">
        <v>26</v>
      </c>
    </row>
    <row r="1823" spans="1:11">
      <c r="A1823" s="1">
        <v>45379</v>
      </c>
      <c r="B1823" t="s">
        <v>40</v>
      </c>
      <c r="C1823" t="s">
        <v>59</v>
      </c>
      <c r="D1823">
        <v>2006</v>
      </c>
      <c r="E1823">
        <v>906</v>
      </c>
      <c r="F1823">
        <v>193</v>
      </c>
      <c r="G1823">
        <v>0</v>
      </c>
      <c r="H1823">
        <v>3105</v>
      </c>
      <c r="I1823" s="1">
        <v>45352</v>
      </c>
      <c r="J1823">
        <v>193</v>
      </c>
      <c r="K1823" t="s">
        <v>26</v>
      </c>
    </row>
    <row r="1824" spans="1:11">
      <c r="A1824" s="1">
        <v>45379</v>
      </c>
      <c r="B1824" t="s">
        <v>21</v>
      </c>
      <c r="C1824" t="s">
        <v>25</v>
      </c>
      <c r="D1824">
        <v>50</v>
      </c>
      <c r="E1824">
        <v>22</v>
      </c>
      <c r="F1824">
        <v>7</v>
      </c>
      <c r="G1824">
        <v>0</v>
      </c>
      <c r="H1824">
        <v>79</v>
      </c>
      <c r="I1824" s="1">
        <v>45352</v>
      </c>
      <c r="J1824">
        <v>7</v>
      </c>
      <c r="K1824" t="s">
        <v>26</v>
      </c>
    </row>
    <row r="1825" spans="1:11">
      <c r="A1825" s="1">
        <v>45379</v>
      </c>
      <c r="B1825" t="s">
        <v>21</v>
      </c>
      <c r="C1825" t="s">
        <v>54</v>
      </c>
      <c r="D1825">
        <v>73</v>
      </c>
      <c r="E1825">
        <v>48</v>
      </c>
      <c r="F1825">
        <v>18</v>
      </c>
      <c r="G1825">
        <v>0</v>
      </c>
      <c r="H1825">
        <v>139</v>
      </c>
      <c r="I1825" s="1">
        <v>45352</v>
      </c>
      <c r="J1825">
        <v>18</v>
      </c>
      <c r="K1825" t="s">
        <v>26</v>
      </c>
    </row>
    <row r="1826" spans="1:11">
      <c r="A1826" s="1">
        <v>45379</v>
      </c>
      <c r="B1826" t="s">
        <v>21</v>
      </c>
      <c r="C1826" t="s">
        <v>59</v>
      </c>
      <c r="D1826">
        <v>239</v>
      </c>
      <c r="E1826">
        <v>157</v>
      </c>
      <c r="F1826">
        <v>148</v>
      </c>
      <c r="G1826">
        <v>0</v>
      </c>
      <c r="H1826">
        <v>543</v>
      </c>
      <c r="I1826" s="1">
        <v>45352</v>
      </c>
      <c r="J1826">
        <v>148</v>
      </c>
      <c r="K1826" t="s">
        <v>26</v>
      </c>
    </row>
    <row r="1827" spans="1:11">
      <c r="A1827" s="1">
        <v>45407</v>
      </c>
      <c r="B1827" t="s">
        <v>40</v>
      </c>
      <c r="C1827" t="s">
        <v>28</v>
      </c>
      <c r="D1827">
        <v>219</v>
      </c>
      <c r="E1827">
        <v>77</v>
      </c>
      <c r="F1827">
        <v>32</v>
      </c>
      <c r="G1827">
        <v>0</v>
      </c>
      <c r="H1827">
        <v>327</v>
      </c>
      <c r="I1827" s="1">
        <v>45383</v>
      </c>
      <c r="J1827">
        <v>32</v>
      </c>
      <c r="K1827" t="s">
        <v>26</v>
      </c>
    </row>
    <row r="1828" spans="1:11">
      <c r="A1828" s="1">
        <v>45407</v>
      </c>
      <c r="B1828" t="s">
        <v>21</v>
      </c>
      <c r="C1828" t="s">
        <v>25</v>
      </c>
      <c r="D1828">
        <v>40</v>
      </c>
      <c r="E1828">
        <v>18</v>
      </c>
      <c r="F1828">
        <v>3</v>
      </c>
      <c r="G1828">
        <v>0</v>
      </c>
      <c r="H1828">
        <v>61</v>
      </c>
      <c r="I1828" s="1">
        <v>45383</v>
      </c>
      <c r="J1828">
        <v>3</v>
      </c>
      <c r="K1828" t="s">
        <v>26</v>
      </c>
    </row>
    <row r="1829" spans="1:11">
      <c r="A1829" s="1">
        <v>45407</v>
      </c>
      <c r="B1829" t="s">
        <v>21</v>
      </c>
      <c r="C1829" t="s">
        <v>35</v>
      </c>
      <c r="D1829">
        <v>10</v>
      </c>
      <c r="E1829">
        <v>0</v>
      </c>
      <c r="F1829">
        <v>3</v>
      </c>
      <c r="G1829">
        <v>0</v>
      </c>
      <c r="H1829">
        <v>13</v>
      </c>
      <c r="I1829" s="1">
        <v>45383</v>
      </c>
      <c r="J1829">
        <v>3</v>
      </c>
      <c r="K1829" t="s">
        <v>26</v>
      </c>
    </row>
    <row r="1830" spans="1:11">
      <c r="A1830" s="1">
        <v>45407</v>
      </c>
      <c r="B1830" t="s">
        <v>21</v>
      </c>
      <c r="C1830" t="s">
        <v>59</v>
      </c>
      <c r="D1830">
        <v>222</v>
      </c>
      <c r="E1830">
        <v>188</v>
      </c>
      <c r="F1830">
        <v>117</v>
      </c>
      <c r="G1830">
        <v>0</v>
      </c>
      <c r="H1830">
        <v>526</v>
      </c>
      <c r="I1830" s="1">
        <v>45383</v>
      </c>
      <c r="J1830">
        <v>117</v>
      </c>
      <c r="K1830" t="s">
        <v>26</v>
      </c>
    </row>
    <row r="1831" spans="1:11">
      <c r="A1831" s="1">
        <v>45442</v>
      </c>
      <c r="B1831" t="s">
        <v>40</v>
      </c>
      <c r="C1831" t="s">
        <v>28</v>
      </c>
      <c r="D1831">
        <v>234</v>
      </c>
      <c r="E1831">
        <v>74</v>
      </c>
      <c r="F1831">
        <v>36</v>
      </c>
      <c r="G1831">
        <v>0</v>
      </c>
      <c r="H1831">
        <v>344</v>
      </c>
      <c r="I1831" s="1">
        <v>45413</v>
      </c>
      <c r="J1831">
        <v>36</v>
      </c>
      <c r="K1831" t="s">
        <v>26</v>
      </c>
    </row>
    <row r="1832" spans="1:11">
      <c r="A1832" s="1">
        <v>45442</v>
      </c>
      <c r="B1832" t="s">
        <v>40</v>
      </c>
      <c r="C1832" t="s">
        <v>51</v>
      </c>
      <c r="D1832">
        <v>621</v>
      </c>
      <c r="E1832">
        <v>186</v>
      </c>
      <c r="F1832">
        <v>20</v>
      </c>
      <c r="G1832">
        <v>0</v>
      </c>
      <c r="H1832">
        <v>827</v>
      </c>
      <c r="I1832" s="1">
        <v>45413</v>
      </c>
      <c r="J1832">
        <v>20</v>
      </c>
      <c r="K1832" t="s">
        <v>26</v>
      </c>
    </row>
    <row r="1833" spans="1:11">
      <c r="A1833" s="1">
        <v>45442</v>
      </c>
      <c r="B1833" t="s">
        <v>40</v>
      </c>
      <c r="C1833" t="s">
        <v>43</v>
      </c>
      <c r="D1833">
        <v>990</v>
      </c>
      <c r="E1833">
        <v>270</v>
      </c>
      <c r="F1833">
        <v>38</v>
      </c>
      <c r="G1833">
        <v>0</v>
      </c>
      <c r="H1833">
        <v>1298</v>
      </c>
      <c r="I1833" s="1">
        <v>45413</v>
      </c>
      <c r="J1833">
        <v>38</v>
      </c>
      <c r="K1833" t="s">
        <v>26</v>
      </c>
    </row>
    <row r="1834" spans="1:11">
      <c r="A1834" s="1">
        <v>45442</v>
      </c>
      <c r="B1834" t="s">
        <v>40</v>
      </c>
      <c r="C1834" t="s">
        <v>52</v>
      </c>
      <c r="D1834">
        <v>610</v>
      </c>
      <c r="E1834">
        <v>216</v>
      </c>
      <c r="F1834">
        <v>11</v>
      </c>
      <c r="G1834">
        <v>0</v>
      </c>
      <c r="H1834">
        <v>837</v>
      </c>
      <c r="I1834" s="1">
        <v>45413</v>
      </c>
      <c r="J1834">
        <v>11</v>
      </c>
      <c r="K1834" t="s">
        <v>26</v>
      </c>
    </row>
    <row r="1835" spans="1:11">
      <c r="A1835" s="1">
        <v>45442</v>
      </c>
      <c r="B1835" t="s">
        <v>40</v>
      </c>
      <c r="C1835" t="s">
        <v>46</v>
      </c>
      <c r="D1835">
        <v>341</v>
      </c>
      <c r="E1835">
        <v>138</v>
      </c>
      <c r="F1835">
        <v>40</v>
      </c>
      <c r="G1835">
        <v>0</v>
      </c>
      <c r="H1835">
        <v>519</v>
      </c>
      <c r="I1835" s="1">
        <v>45413</v>
      </c>
      <c r="J1835">
        <v>40</v>
      </c>
      <c r="K1835" t="s">
        <v>26</v>
      </c>
    </row>
    <row r="1836" spans="1:11">
      <c r="A1836" s="1">
        <v>45442</v>
      </c>
      <c r="B1836" t="s">
        <v>40</v>
      </c>
      <c r="C1836" t="s">
        <v>24</v>
      </c>
      <c r="D1836">
        <v>507</v>
      </c>
      <c r="E1836">
        <v>171</v>
      </c>
      <c r="F1836">
        <v>7</v>
      </c>
      <c r="G1836">
        <v>0</v>
      </c>
      <c r="H1836">
        <v>685</v>
      </c>
      <c r="I1836" s="1">
        <v>45413</v>
      </c>
      <c r="J1836">
        <v>7</v>
      </c>
      <c r="K1836" t="s">
        <v>26</v>
      </c>
    </row>
    <row r="1837" spans="1:11">
      <c r="A1837" s="1">
        <v>45442</v>
      </c>
      <c r="B1837" t="s">
        <v>21</v>
      </c>
      <c r="C1837" t="s">
        <v>54</v>
      </c>
      <c r="D1837">
        <v>67</v>
      </c>
      <c r="E1837">
        <v>48</v>
      </c>
      <c r="F1837">
        <v>13</v>
      </c>
      <c r="G1837">
        <v>0</v>
      </c>
      <c r="H1837">
        <v>128</v>
      </c>
      <c r="I1837" s="1">
        <v>45413</v>
      </c>
      <c r="J1837">
        <v>13</v>
      </c>
      <c r="K1837" t="s">
        <v>26</v>
      </c>
    </row>
    <row r="1838" spans="1:11">
      <c r="A1838" s="1">
        <v>45442</v>
      </c>
      <c r="B1838" t="s">
        <v>21</v>
      </c>
      <c r="C1838" t="s">
        <v>60</v>
      </c>
      <c r="D1838">
        <v>78</v>
      </c>
      <c r="E1838">
        <v>13</v>
      </c>
      <c r="F1838">
        <v>3</v>
      </c>
      <c r="G1838">
        <v>0</v>
      </c>
      <c r="H1838">
        <v>94</v>
      </c>
      <c r="I1838" s="1">
        <v>45413</v>
      </c>
      <c r="J1838">
        <v>3</v>
      </c>
      <c r="K1838" t="s">
        <v>26</v>
      </c>
    </row>
    <row r="1839" spans="1:11">
      <c r="A1839" s="1">
        <v>45470</v>
      </c>
      <c r="B1839" t="s">
        <v>40</v>
      </c>
      <c r="C1839" t="s">
        <v>28</v>
      </c>
      <c r="D1839">
        <v>267</v>
      </c>
      <c r="E1839">
        <v>66</v>
      </c>
      <c r="F1839">
        <v>40</v>
      </c>
      <c r="G1839">
        <v>0</v>
      </c>
      <c r="H1839">
        <v>373</v>
      </c>
      <c r="I1839" s="1">
        <v>45444</v>
      </c>
      <c r="J1839">
        <v>40</v>
      </c>
      <c r="K1839" t="s">
        <v>26</v>
      </c>
    </row>
    <row r="1840" spans="1:11">
      <c r="A1840" s="1">
        <v>45470</v>
      </c>
      <c r="B1840" t="s">
        <v>40</v>
      </c>
      <c r="C1840" t="s">
        <v>51</v>
      </c>
      <c r="D1840">
        <v>572</v>
      </c>
      <c r="E1840">
        <v>202</v>
      </c>
      <c r="F1840">
        <v>22</v>
      </c>
      <c r="G1840">
        <v>0</v>
      </c>
      <c r="H1840">
        <v>796</v>
      </c>
      <c r="I1840" s="1">
        <v>45444</v>
      </c>
      <c r="J1840">
        <v>22</v>
      </c>
      <c r="K1840" t="s">
        <v>26</v>
      </c>
    </row>
    <row r="1841" spans="1:11">
      <c r="A1841" s="1">
        <v>45470</v>
      </c>
      <c r="B1841" t="s">
        <v>40</v>
      </c>
      <c r="C1841" t="s">
        <v>52</v>
      </c>
      <c r="D1841">
        <v>649</v>
      </c>
      <c r="E1841">
        <v>269</v>
      </c>
      <c r="F1841">
        <v>7</v>
      </c>
      <c r="G1841">
        <v>0</v>
      </c>
      <c r="H1841">
        <v>925</v>
      </c>
      <c r="I1841" s="1">
        <v>45444</v>
      </c>
      <c r="J1841">
        <v>7</v>
      </c>
      <c r="K1841" t="s">
        <v>26</v>
      </c>
    </row>
    <row r="1842" spans="1:11">
      <c r="A1842" s="1">
        <v>45470</v>
      </c>
      <c r="B1842" t="s">
        <v>40</v>
      </c>
      <c r="C1842" t="s">
        <v>46</v>
      </c>
      <c r="D1842">
        <v>361</v>
      </c>
      <c r="E1842">
        <v>136</v>
      </c>
      <c r="F1842">
        <v>39</v>
      </c>
      <c r="G1842">
        <v>0</v>
      </c>
      <c r="H1842">
        <v>536</v>
      </c>
      <c r="I1842" s="1">
        <v>45444</v>
      </c>
      <c r="J1842">
        <v>39</v>
      </c>
      <c r="K1842" t="s">
        <v>26</v>
      </c>
    </row>
    <row r="1843" spans="1:11">
      <c r="A1843" s="1">
        <v>45470</v>
      </c>
      <c r="B1843" t="s">
        <v>40</v>
      </c>
      <c r="C1843" t="s">
        <v>24</v>
      </c>
      <c r="D1843">
        <v>467</v>
      </c>
      <c r="E1843">
        <v>148</v>
      </c>
      <c r="F1843">
        <v>14</v>
      </c>
      <c r="G1843">
        <v>0</v>
      </c>
      <c r="H1843">
        <v>629</v>
      </c>
      <c r="I1843" s="1">
        <v>45444</v>
      </c>
      <c r="J1843">
        <v>14</v>
      </c>
      <c r="K1843" t="s">
        <v>26</v>
      </c>
    </row>
    <row r="1844" spans="1:11">
      <c r="A1844" s="1">
        <v>45470</v>
      </c>
      <c r="B1844" t="s">
        <v>21</v>
      </c>
      <c r="C1844" t="s">
        <v>48</v>
      </c>
      <c r="D1844">
        <v>14</v>
      </c>
      <c r="E1844">
        <v>1</v>
      </c>
      <c r="F1844">
        <v>1</v>
      </c>
      <c r="G1844">
        <v>0</v>
      </c>
      <c r="H1844">
        <v>17</v>
      </c>
      <c r="I1844" s="1">
        <v>45444</v>
      </c>
      <c r="J1844">
        <v>1</v>
      </c>
      <c r="K1844" t="s">
        <v>26</v>
      </c>
    </row>
    <row r="1845" spans="1:11">
      <c r="A1845" s="1">
        <v>45470</v>
      </c>
      <c r="B1845" t="s">
        <v>21</v>
      </c>
      <c r="C1845" t="s">
        <v>37</v>
      </c>
      <c r="D1845">
        <v>6</v>
      </c>
      <c r="E1845">
        <v>3</v>
      </c>
      <c r="F1845">
        <v>1</v>
      </c>
      <c r="G1845">
        <v>0</v>
      </c>
      <c r="H1845">
        <v>10</v>
      </c>
      <c r="I1845" s="1">
        <v>45444</v>
      </c>
      <c r="J1845">
        <v>1</v>
      </c>
      <c r="K1845" t="s">
        <v>26</v>
      </c>
    </row>
    <row r="1846" spans="1:11">
      <c r="A1846" s="1">
        <v>45470</v>
      </c>
      <c r="B1846" t="s">
        <v>21</v>
      </c>
      <c r="C1846" t="s">
        <v>25</v>
      </c>
      <c r="D1846">
        <v>36</v>
      </c>
      <c r="E1846">
        <v>23</v>
      </c>
      <c r="F1846">
        <v>3</v>
      </c>
      <c r="G1846">
        <v>0</v>
      </c>
      <c r="H1846">
        <v>62</v>
      </c>
      <c r="I1846" s="1">
        <v>45444</v>
      </c>
      <c r="J1846">
        <v>3</v>
      </c>
      <c r="K1846" t="s">
        <v>26</v>
      </c>
    </row>
    <row r="1847" spans="1:11">
      <c r="A1847" s="1">
        <v>45470</v>
      </c>
      <c r="B1847" t="s">
        <v>21</v>
      </c>
      <c r="C1847" t="s">
        <v>54</v>
      </c>
      <c r="D1847">
        <v>67</v>
      </c>
      <c r="E1847">
        <v>49</v>
      </c>
      <c r="F1847">
        <v>11</v>
      </c>
      <c r="G1847">
        <v>0</v>
      </c>
      <c r="H1847">
        <v>127</v>
      </c>
      <c r="I1847" s="1">
        <v>45444</v>
      </c>
      <c r="J1847">
        <v>11</v>
      </c>
      <c r="K1847" t="s">
        <v>26</v>
      </c>
    </row>
    <row r="1848" spans="1:11">
      <c r="A1848" s="1">
        <v>45470</v>
      </c>
      <c r="B1848" t="s">
        <v>21</v>
      </c>
      <c r="C1848" t="s">
        <v>49</v>
      </c>
      <c r="D1848">
        <v>17</v>
      </c>
      <c r="E1848">
        <v>3</v>
      </c>
      <c r="F1848">
        <v>1</v>
      </c>
      <c r="G1848">
        <v>0</v>
      </c>
      <c r="H1848">
        <v>21</v>
      </c>
      <c r="I1848" s="1">
        <v>45444</v>
      </c>
      <c r="J1848">
        <v>1</v>
      </c>
      <c r="K1848" t="s">
        <v>26</v>
      </c>
    </row>
    <row r="1849" spans="1:11">
      <c r="A1849" s="1">
        <v>45498</v>
      </c>
      <c r="B1849" t="s">
        <v>40</v>
      </c>
      <c r="C1849" t="s">
        <v>37</v>
      </c>
      <c r="D1849">
        <v>591</v>
      </c>
      <c r="E1849">
        <v>113</v>
      </c>
      <c r="F1849">
        <v>5</v>
      </c>
      <c r="G1849">
        <v>0</v>
      </c>
      <c r="H1849">
        <v>709</v>
      </c>
      <c r="I1849" s="1">
        <v>45474</v>
      </c>
      <c r="J1849">
        <v>5</v>
      </c>
      <c r="K1849" t="s">
        <v>26</v>
      </c>
    </row>
    <row r="1850" spans="1:11">
      <c r="A1850" s="1">
        <v>45498</v>
      </c>
      <c r="B1850" t="s">
        <v>40</v>
      </c>
      <c r="C1850" t="s">
        <v>51</v>
      </c>
      <c r="D1850">
        <v>537</v>
      </c>
      <c r="E1850">
        <v>177</v>
      </c>
      <c r="F1850">
        <v>21</v>
      </c>
      <c r="G1850">
        <v>0</v>
      </c>
      <c r="H1850">
        <v>734</v>
      </c>
      <c r="I1850" s="1">
        <v>45474</v>
      </c>
      <c r="J1850">
        <v>21</v>
      </c>
      <c r="K1850" t="s">
        <v>26</v>
      </c>
    </row>
    <row r="1851" spans="1:11">
      <c r="A1851" s="1">
        <v>45498</v>
      </c>
      <c r="B1851" t="s">
        <v>40</v>
      </c>
      <c r="C1851" t="s">
        <v>43</v>
      </c>
      <c r="D1851">
        <v>907</v>
      </c>
      <c r="E1851">
        <v>169</v>
      </c>
      <c r="F1851">
        <v>28</v>
      </c>
      <c r="G1851">
        <v>0</v>
      </c>
      <c r="H1851">
        <v>1104</v>
      </c>
      <c r="I1851" s="1">
        <v>45474</v>
      </c>
      <c r="J1851">
        <v>28</v>
      </c>
      <c r="K1851" t="s">
        <v>26</v>
      </c>
    </row>
    <row r="1852" spans="1:11">
      <c r="A1852" s="1">
        <v>45498</v>
      </c>
      <c r="B1852" t="s">
        <v>40</v>
      </c>
      <c r="C1852" t="s">
        <v>52</v>
      </c>
      <c r="D1852">
        <v>485</v>
      </c>
      <c r="E1852">
        <v>244</v>
      </c>
      <c r="F1852">
        <v>10</v>
      </c>
      <c r="G1852">
        <v>0</v>
      </c>
      <c r="H1852">
        <v>739</v>
      </c>
      <c r="I1852" s="1">
        <v>45474</v>
      </c>
      <c r="J1852">
        <v>10</v>
      </c>
      <c r="K1852" t="s">
        <v>26</v>
      </c>
    </row>
    <row r="1853" spans="1:11">
      <c r="A1853" s="1">
        <v>45498</v>
      </c>
      <c r="B1853" t="s">
        <v>40</v>
      </c>
      <c r="C1853" t="s">
        <v>46</v>
      </c>
      <c r="D1853">
        <v>331</v>
      </c>
      <c r="E1853">
        <v>110</v>
      </c>
      <c r="F1853">
        <v>50</v>
      </c>
      <c r="G1853">
        <v>0</v>
      </c>
      <c r="H1853">
        <v>491</v>
      </c>
      <c r="I1853" s="1">
        <v>45474</v>
      </c>
      <c r="J1853">
        <v>50</v>
      </c>
      <c r="K1853" t="s">
        <v>26</v>
      </c>
    </row>
    <row r="1854" spans="1:11">
      <c r="A1854" s="1">
        <v>45498</v>
      </c>
      <c r="B1854" t="s">
        <v>40</v>
      </c>
      <c r="C1854" t="s">
        <v>24</v>
      </c>
      <c r="D1854">
        <v>424</v>
      </c>
      <c r="E1854">
        <v>153</v>
      </c>
      <c r="F1854">
        <v>10</v>
      </c>
      <c r="G1854">
        <v>0</v>
      </c>
      <c r="H1854">
        <v>587</v>
      </c>
      <c r="I1854" s="1">
        <v>45474</v>
      </c>
      <c r="J1854">
        <v>10</v>
      </c>
      <c r="K1854" t="s">
        <v>26</v>
      </c>
    </row>
    <row r="1855" spans="1:11">
      <c r="A1855" s="1">
        <v>45498</v>
      </c>
      <c r="B1855" t="s">
        <v>21</v>
      </c>
      <c r="C1855" t="s">
        <v>52</v>
      </c>
      <c r="D1855">
        <v>57</v>
      </c>
      <c r="E1855">
        <v>43</v>
      </c>
      <c r="F1855">
        <v>6</v>
      </c>
      <c r="G1855">
        <v>0</v>
      </c>
      <c r="H1855">
        <v>106</v>
      </c>
      <c r="I1855" s="1">
        <v>45474</v>
      </c>
      <c r="J1855">
        <v>6</v>
      </c>
      <c r="K1855" t="s">
        <v>26</v>
      </c>
    </row>
    <row r="1856" spans="1:11">
      <c r="A1856" s="1">
        <v>45498</v>
      </c>
      <c r="B1856" t="s">
        <v>21</v>
      </c>
      <c r="C1856" t="s">
        <v>59</v>
      </c>
      <c r="D1856">
        <v>217</v>
      </c>
      <c r="E1856">
        <v>190</v>
      </c>
      <c r="F1856">
        <v>67</v>
      </c>
      <c r="G1856">
        <v>0</v>
      </c>
      <c r="H1856">
        <v>474</v>
      </c>
      <c r="I1856" s="1">
        <v>45474</v>
      </c>
      <c r="J1856">
        <v>67</v>
      </c>
      <c r="K1856" t="s">
        <v>26</v>
      </c>
    </row>
    <row r="1857" spans="1:11">
      <c r="A1857" s="1">
        <v>45498</v>
      </c>
      <c r="B1857" t="s">
        <v>21</v>
      </c>
      <c r="C1857" t="s">
        <v>49</v>
      </c>
      <c r="D1857">
        <v>18</v>
      </c>
      <c r="E1857">
        <v>0</v>
      </c>
      <c r="F1857">
        <v>1</v>
      </c>
      <c r="G1857">
        <v>0</v>
      </c>
      <c r="H1857">
        <v>19</v>
      </c>
      <c r="I1857" s="1">
        <v>45474</v>
      </c>
      <c r="J1857">
        <v>1</v>
      </c>
      <c r="K1857" t="s">
        <v>26</v>
      </c>
    </row>
    <row r="1858" spans="1:11">
      <c r="A1858" s="1">
        <v>45533</v>
      </c>
      <c r="B1858" t="s">
        <v>40</v>
      </c>
      <c r="C1858" t="s">
        <v>37</v>
      </c>
      <c r="D1858">
        <v>572</v>
      </c>
      <c r="E1858">
        <v>164</v>
      </c>
      <c r="F1858">
        <v>12</v>
      </c>
      <c r="G1858">
        <v>0</v>
      </c>
      <c r="H1858">
        <v>748</v>
      </c>
      <c r="I1858" s="1">
        <v>45505</v>
      </c>
      <c r="J1858">
        <v>12</v>
      </c>
      <c r="K1858" t="s">
        <v>26</v>
      </c>
    </row>
    <row r="1859" spans="1:11">
      <c r="A1859" s="1">
        <v>45533</v>
      </c>
      <c r="B1859" t="s">
        <v>40</v>
      </c>
      <c r="C1859" t="s">
        <v>51</v>
      </c>
      <c r="D1859">
        <v>560</v>
      </c>
      <c r="E1859">
        <v>189</v>
      </c>
      <c r="F1859">
        <v>30</v>
      </c>
      <c r="G1859">
        <v>0</v>
      </c>
      <c r="H1859">
        <v>779</v>
      </c>
      <c r="I1859" s="1">
        <v>45505</v>
      </c>
      <c r="J1859">
        <v>30</v>
      </c>
      <c r="K1859" t="s">
        <v>26</v>
      </c>
    </row>
    <row r="1860" spans="1:11">
      <c r="A1860" s="1">
        <v>45533</v>
      </c>
      <c r="B1860" t="s">
        <v>40</v>
      </c>
      <c r="C1860" t="s">
        <v>43</v>
      </c>
      <c r="D1860">
        <v>912</v>
      </c>
      <c r="E1860">
        <v>164</v>
      </c>
      <c r="F1860">
        <v>20</v>
      </c>
      <c r="G1860">
        <v>0</v>
      </c>
      <c r="H1860">
        <v>1095</v>
      </c>
      <c r="I1860" s="1">
        <v>45505</v>
      </c>
      <c r="J1860">
        <v>20</v>
      </c>
      <c r="K1860" t="s">
        <v>26</v>
      </c>
    </row>
    <row r="1861" spans="1:11">
      <c r="A1861" s="1">
        <v>45533</v>
      </c>
      <c r="B1861" t="s">
        <v>40</v>
      </c>
      <c r="C1861" t="s">
        <v>39</v>
      </c>
      <c r="D1861">
        <v>174</v>
      </c>
      <c r="E1861">
        <v>48</v>
      </c>
      <c r="F1861">
        <v>8</v>
      </c>
      <c r="G1861">
        <v>0</v>
      </c>
      <c r="H1861">
        <v>230</v>
      </c>
      <c r="I1861" s="1">
        <v>45505</v>
      </c>
      <c r="J1861">
        <v>8</v>
      </c>
      <c r="K1861" t="s">
        <v>26</v>
      </c>
    </row>
    <row r="1862" spans="1:11">
      <c r="A1862" s="1">
        <v>45533</v>
      </c>
      <c r="B1862" t="s">
        <v>40</v>
      </c>
      <c r="C1862" t="s">
        <v>52</v>
      </c>
      <c r="D1862">
        <v>480</v>
      </c>
      <c r="E1862">
        <v>234</v>
      </c>
      <c r="F1862">
        <v>19</v>
      </c>
      <c r="G1862">
        <v>0</v>
      </c>
      <c r="H1862">
        <v>733</v>
      </c>
      <c r="I1862" s="1">
        <v>45505</v>
      </c>
      <c r="J1862">
        <v>19</v>
      </c>
      <c r="K1862" t="s">
        <v>26</v>
      </c>
    </row>
    <row r="1863" spans="1:11">
      <c r="A1863" s="1">
        <v>45533</v>
      </c>
      <c r="B1863" t="s">
        <v>40</v>
      </c>
      <c r="C1863" t="s">
        <v>46</v>
      </c>
      <c r="D1863">
        <v>329</v>
      </c>
      <c r="E1863">
        <v>111</v>
      </c>
      <c r="F1863">
        <v>55</v>
      </c>
      <c r="G1863">
        <v>0</v>
      </c>
      <c r="H1863">
        <v>495</v>
      </c>
      <c r="I1863" s="1">
        <v>45505</v>
      </c>
      <c r="J1863">
        <v>55</v>
      </c>
      <c r="K1863" t="s">
        <v>26</v>
      </c>
    </row>
    <row r="1864" spans="1:11">
      <c r="A1864" s="1">
        <v>45533</v>
      </c>
      <c r="B1864" t="s">
        <v>40</v>
      </c>
      <c r="C1864" t="s">
        <v>24</v>
      </c>
      <c r="D1864">
        <v>512</v>
      </c>
      <c r="E1864">
        <v>157</v>
      </c>
      <c r="F1864">
        <v>12</v>
      </c>
      <c r="G1864">
        <v>0</v>
      </c>
      <c r="H1864">
        <v>681</v>
      </c>
      <c r="I1864" s="1">
        <v>45505</v>
      </c>
      <c r="J1864">
        <v>12</v>
      </c>
      <c r="K1864" t="s">
        <v>26</v>
      </c>
    </row>
    <row r="1865" spans="1:11">
      <c r="A1865" s="1">
        <v>45533</v>
      </c>
      <c r="B1865" t="s">
        <v>21</v>
      </c>
      <c r="C1865" t="s">
        <v>52</v>
      </c>
      <c r="D1865">
        <v>46</v>
      </c>
      <c r="E1865">
        <v>47</v>
      </c>
      <c r="F1865">
        <v>8</v>
      </c>
      <c r="G1865">
        <v>0</v>
      </c>
      <c r="H1865">
        <v>101</v>
      </c>
      <c r="I1865" s="1">
        <v>45505</v>
      </c>
      <c r="J1865">
        <v>8</v>
      </c>
      <c r="K1865" t="s">
        <v>26</v>
      </c>
    </row>
    <row r="1866" spans="1:11">
      <c r="A1866" s="1">
        <v>45533</v>
      </c>
      <c r="B1866" t="s">
        <v>21</v>
      </c>
      <c r="C1866" t="s">
        <v>60</v>
      </c>
      <c r="D1866">
        <v>101</v>
      </c>
      <c r="E1866">
        <v>10</v>
      </c>
      <c r="F1866">
        <v>5</v>
      </c>
      <c r="G1866">
        <v>0</v>
      </c>
      <c r="H1866">
        <v>116</v>
      </c>
      <c r="I1866" s="1">
        <v>45505</v>
      </c>
      <c r="J1866">
        <v>5</v>
      </c>
      <c r="K1866" t="s">
        <v>26</v>
      </c>
    </row>
    <row r="1867" spans="1:11">
      <c r="A1867" s="1">
        <v>45561</v>
      </c>
      <c r="B1867" t="s">
        <v>40</v>
      </c>
      <c r="C1867" t="s">
        <v>51</v>
      </c>
      <c r="D1867">
        <v>463</v>
      </c>
      <c r="E1867">
        <v>147</v>
      </c>
      <c r="F1867">
        <v>33</v>
      </c>
      <c r="G1867">
        <v>0</v>
      </c>
      <c r="H1867">
        <v>644</v>
      </c>
      <c r="I1867" s="1">
        <v>45536</v>
      </c>
      <c r="J1867">
        <v>33</v>
      </c>
      <c r="K1867" t="s">
        <v>26</v>
      </c>
    </row>
    <row r="1868" spans="1:11">
      <c r="A1868" s="1">
        <v>45561</v>
      </c>
      <c r="B1868" t="s">
        <v>40</v>
      </c>
      <c r="C1868" t="s">
        <v>43</v>
      </c>
      <c r="D1868">
        <v>982</v>
      </c>
      <c r="E1868">
        <v>172</v>
      </c>
      <c r="F1868">
        <v>8</v>
      </c>
      <c r="G1868">
        <v>0</v>
      </c>
      <c r="H1868">
        <v>1162</v>
      </c>
      <c r="I1868" s="1">
        <v>45536</v>
      </c>
      <c r="J1868">
        <v>8</v>
      </c>
      <c r="K1868" t="s">
        <v>26</v>
      </c>
    </row>
    <row r="1869" spans="1:11">
      <c r="A1869" s="1">
        <v>45561</v>
      </c>
      <c r="B1869" t="s">
        <v>40</v>
      </c>
      <c r="C1869" t="s">
        <v>39</v>
      </c>
      <c r="D1869">
        <v>171</v>
      </c>
      <c r="E1869">
        <v>36</v>
      </c>
      <c r="F1869">
        <v>8</v>
      </c>
      <c r="G1869">
        <v>0</v>
      </c>
      <c r="H1869">
        <v>215</v>
      </c>
      <c r="I1869" s="1">
        <v>45536</v>
      </c>
      <c r="J1869">
        <v>8</v>
      </c>
      <c r="K1869" t="s">
        <v>26</v>
      </c>
    </row>
    <row r="1870" spans="1:11">
      <c r="A1870" s="1">
        <v>45561</v>
      </c>
      <c r="B1870" t="s">
        <v>40</v>
      </c>
      <c r="C1870" t="s">
        <v>52</v>
      </c>
      <c r="D1870">
        <v>486</v>
      </c>
      <c r="E1870">
        <v>195</v>
      </c>
      <c r="F1870">
        <v>31</v>
      </c>
      <c r="G1870">
        <v>0</v>
      </c>
      <c r="H1870">
        <v>713</v>
      </c>
      <c r="I1870" s="1">
        <v>45536</v>
      </c>
      <c r="J1870">
        <v>31</v>
      </c>
      <c r="K1870" t="s">
        <v>26</v>
      </c>
    </row>
    <row r="1871" spans="1:11">
      <c r="A1871" s="1">
        <v>45561</v>
      </c>
      <c r="B1871" t="s">
        <v>40</v>
      </c>
      <c r="C1871" t="s">
        <v>46</v>
      </c>
      <c r="D1871">
        <v>389</v>
      </c>
      <c r="E1871">
        <v>114</v>
      </c>
      <c r="F1871">
        <v>64</v>
      </c>
      <c r="G1871">
        <v>0</v>
      </c>
      <c r="H1871">
        <v>567</v>
      </c>
      <c r="I1871" s="1">
        <v>45536</v>
      </c>
      <c r="J1871">
        <v>64</v>
      </c>
      <c r="K1871" t="s">
        <v>26</v>
      </c>
    </row>
    <row r="1872" spans="1:11">
      <c r="A1872" s="1">
        <v>45561</v>
      </c>
      <c r="B1872" t="s">
        <v>40</v>
      </c>
      <c r="C1872" t="s">
        <v>24</v>
      </c>
      <c r="D1872">
        <v>503</v>
      </c>
      <c r="E1872">
        <v>149</v>
      </c>
      <c r="F1872">
        <v>10</v>
      </c>
      <c r="G1872">
        <v>0</v>
      </c>
      <c r="H1872">
        <v>662</v>
      </c>
      <c r="I1872" s="1">
        <v>45536</v>
      </c>
      <c r="J1872">
        <v>10</v>
      </c>
      <c r="K1872" t="s">
        <v>26</v>
      </c>
    </row>
    <row r="1873" spans="1:11">
      <c r="A1873" s="1">
        <v>45561</v>
      </c>
      <c r="B1873" t="s">
        <v>21</v>
      </c>
      <c r="C1873" t="s">
        <v>54</v>
      </c>
      <c r="D1873">
        <v>39</v>
      </c>
      <c r="E1873">
        <v>25</v>
      </c>
      <c r="F1873">
        <v>1</v>
      </c>
      <c r="G1873">
        <v>0</v>
      </c>
      <c r="H1873">
        <v>65</v>
      </c>
      <c r="I1873" s="1">
        <v>45536</v>
      </c>
      <c r="J1873">
        <v>1</v>
      </c>
      <c r="K1873" t="s">
        <v>26</v>
      </c>
    </row>
    <row r="1874" spans="1:11">
      <c r="A1874" s="1">
        <v>45561</v>
      </c>
      <c r="B1874" t="s">
        <v>21</v>
      </c>
      <c r="C1874" t="s">
        <v>52</v>
      </c>
      <c r="D1874">
        <v>52</v>
      </c>
      <c r="E1874">
        <v>47</v>
      </c>
      <c r="F1874">
        <v>5</v>
      </c>
      <c r="G1874">
        <v>0</v>
      </c>
      <c r="H1874">
        <v>104</v>
      </c>
      <c r="I1874" s="1">
        <v>45536</v>
      </c>
      <c r="J1874">
        <v>5</v>
      </c>
      <c r="K1874" t="s">
        <v>26</v>
      </c>
    </row>
    <row r="1875" spans="1:11">
      <c r="A1875" s="1">
        <v>45561</v>
      </c>
      <c r="B1875" t="s">
        <v>21</v>
      </c>
      <c r="C1875" t="s">
        <v>60</v>
      </c>
      <c r="D1875">
        <v>97</v>
      </c>
      <c r="E1875">
        <v>9</v>
      </c>
      <c r="F1875">
        <v>7</v>
      </c>
      <c r="G1875">
        <v>0</v>
      </c>
      <c r="H1875">
        <v>113</v>
      </c>
      <c r="I1875" s="1">
        <v>45536</v>
      </c>
      <c r="J1875">
        <v>7</v>
      </c>
      <c r="K1875" t="s">
        <v>26</v>
      </c>
    </row>
    <row r="1876" spans="1:11">
      <c r="A1876" s="1">
        <v>45596</v>
      </c>
      <c r="B1876" t="s">
        <v>40</v>
      </c>
      <c r="C1876" t="s">
        <v>43</v>
      </c>
      <c r="D1876">
        <v>1101</v>
      </c>
      <c r="E1876">
        <v>169</v>
      </c>
      <c r="F1876">
        <v>3</v>
      </c>
      <c r="G1876">
        <v>0</v>
      </c>
      <c r="H1876">
        <v>1272</v>
      </c>
      <c r="I1876" s="1">
        <v>45566</v>
      </c>
      <c r="J1876">
        <v>3</v>
      </c>
      <c r="K1876" t="s">
        <v>26</v>
      </c>
    </row>
    <row r="1877" spans="1:11">
      <c r="A1877" s="1">
        <v>45596</v>
      </c>
      <c r="B1877" t="s">
        <v>40</v>
      </c>
      <c r="C1877" t="s">
        <v>39</v>
      </c>
      <c r="D1877">
        <v>234</v>
      </c>
      <c r="E1877">
        <v>35</v>
      </c>
      <c r="F1877">
        <v>19</v>
      </c>
      <c r="G1877">
        <v>0</v>
      </c>
      <c r="H1877">
        <v>287</v>
      </c>
      <c r="I1877" s="1">
        <v>45566</v>
      </c>
      <c r="J1877">
        <v>19</v>
      </c>
      <c r="K1877" t="s">
        <v>26</v>
      </c>
    </row>
    <row r="1878" spans="1:11">
      <c r="A1878" s="1">
        <v>45596</v>
      </c>
      <c r="B1878" t="s">
        <v>40</v>
      </c>
      <c r="C1878" t="s">
        <v>24</v>
      </c>
      <c r="D1878">
        <v>490</v>
      </c>
      <c r="E1878">
        <v>132</v>
      </c>
      <c r="F1878">
        <v>16</v>
      </c>
      <c r="G1878">
        <v>0</v>
      </c>
      <c r="H1878">
        <v>638</v>
      </c>
      <c r="I1878" s="1">
        <v>45566</v>
      </c>
      <c r="J1878">
        <v>16</v>
      </c>
      <c r="K1878" t="s">
        <v>26</v>
      </c>
    </row>
    <row r="1879" spans="1:11">
      <c r="A1879" s="1">
        <v>45596</v>
      </c>
      <c r="B1879" t="s">
        <v>40</v>
      </c>
      <c r="C1879" t="s">
        <v>44</v>
      </c>
      <c r="D1879">
        <v>246</v>
      </c>
      <c r="E1879">
        <v>32</v>
      </c>
      <c r="F1879">
        <v>3</v>
      </c>
      <c r="G1879">
        <v>0</v>
      </c>
      <c r="H1879">
        <v>281</v>
      </c>
      <c r="I1879" s="1">
        <v>45566</v>
      </c>
      <c r="J1879">
        <v>3</v>
      </c>
      <c r="K1879" t="s">
        <v>26</v>
      </c>
    </row>
    <row r="1880" spans="1:11">
      <c r="A1880" s="1">
        <v>45596</v>
      </c>
      <c r="B1880" t="s">
        <v>21</v>
      </c>
      <c r="C1880" t="s">
        <v>54</v>
      </c>
      <c r="D1880">
        <v>38</v>
      </c>
      <c r="E1880">
        <v>23</v>
      </c>
      <c r="F1880">
        <v>3</v>
      </c>
      <c r="G1880">
        <v>0</v>
      </c>
      <c r="H1880">
        <v>64</v>
      </c>
      <c r="I1880" s="1">
        <v>45566</v>
      </c>
      <c r="J1880">
        <v>3</v>
      </c>
      <c r="K1880" t="s">
        <v>26</v>
      </c>
    </row>
    <row r="1881" spans="1:11">
      <c r="A1881" s="1">
        <v>45624</v>
      </c>
      <c r="B1881" t="s">
        <v>40</v>
      </c>
      <c r="C1881" t="s">
        <v>33</v>
      </c>
      <c r="D1881">
        <v>146</v>
      </c>
      <c r="E1881">
        <v>28</v>
      </c>
      <c r="F1881">
        <v>11</v>
      </c>
      <c r="G1881">
        <v>0</v>
      </c>
      <c r="H1881">
        <v>184</v>
      </c>
      <c r="I1881" s="1">
        <v>45597</v>
      </c>
      <c r="J1881">
        <v>11</v>
      </c>
      <c r="K1881" t="s">
        <v>26</v>
      </c>
    </row>
    <row r="1882" spans="1:11">
      <c r="A1882" s="1">
        <v>45624</v>
      </c>
      <c r="B1882" t="s">
        <v>40</v>
      </c>
      <c r="C1882" t="s">
        <v>30</v>
      </c>
      <c r="D1882">
        <v>479</v>
      </c>
      <c r="E1882">
        <v>99</v>
      </c>
      <c r="F1882">
        <v>8</v>
      </c>
      <c r="G1882">
        <v>0</v>
      </c>
      <c r="H1882">
        <v>586</v>
      </c>
      <c r="I1882" s="1">
        <v>45597</v>
      </c>
      <c r="J1882">
        <v>8</v>
      </c>
      <c r="K1882" t="s">
        <v>26</v>
      </c>
    </row>
    <row r="1883" spans="1:11">
      <c r="A1883" s="1">
        <v>45624</v>
      </c>
      <c r="B1883" t="s">
        <v>40</v>
      </c>
      <c r="C1883" t="s">
        <v>37</v>
      </c>
      <c r="D1883">
        <v>518</v>
      </c>
      <c r="E1883">
        <v>155</v>
      </c>
      <c r="F1883">
        <v>8</v>
      </c>
      <c r="G1883">
        <v>0</v>
      </c>
      <c r="H1883">
        <v>681</v>
      </c>
      <c r="I1883" s="1">
        <v>45597</v>
      </c>
      <c r="J1883">
        <v>8</v>
      </c>
      <c r="K1883" t="s">
        <v>26</v>
      </c>
    </row>
    <row r="1884" spans="1:11">
      <c r="A1884" s="1">
        <v>45624</v>
      </c>
      <c r="B1884" t="s">
        <v>40</v>
      </c>
      <c r="C1884" t="s">
        <v>43</v>
      </c>
      <c r="D1884">
        <v>1061</v>
      </c>
      <c r="E1884">
        <v>190</v>
      </c>
      <c r="F1884">
        <v>3</v>
      </c>
      <c r="G1884">
        <v>0</v>
      </c>
      <c r="H1884">
        <v>1254</v>
      </c>
      <c r="I1884" s="1">
        <v>45597</v>
      </c>
      <c r="J1884">
        <v>3</v>
      </c>
      <c r="K1884" t="s">
        <v>26</v>
      </c>
    </row>
    <row r="1885" spans="1:11">
      <c r="A1885" s="1">
        <v>45624</v>
      </c>
      <c r="B1885" t="s">
        <v>40</v>
      </c>
      <c r="C1885" t="s">
        <v>39</v>
      </c>
      <c r="D1885">
        <v>241</v>
      </c>
      <c r="E1885">
        <v>25</v>
      </c>
      <c r="F1885">
        <v>10</v>
      </c>
      <c r="G1885">
        <v>0</v>
      </c>
      <c r="H1885">
        <v>276</v>
      </c>
      <c r="I1885" s="1">
        <v>45597</v>
      </c>
      <c r="J1885">
        <v>10</v>
      </c>
      <c r="K1885" t="s">
        <v>26</v>
      </c>
    </row>
    <row r="1886" spans="1:11">
      <c r="A1886" s="1">
        <v>45624</v>
      </c>
      <c r="B1886" t="s">
        <v>40</v>
      </c>
      <c r="C1886" t="s">
        <v>24</v>
      </c>
      <c r="D1886">
        <v>539</v>
      </c>
      <c r="E1886">
        <v>133</v>
      </c>
      <c r="F1886">
        <v>10</v>
      </c>
      <c r="G1886">
        <v>0</v>
      </c>
      <c r="H1886">
        <v>682</v>
      </c>
      <c r="I1886" s="1">
        <v>45597</v>
      </c>
      <c r="J1886">
        <v>10</v>
      </c>
      <c r="K1886" t="s">
        <v>26</v>
      </c>
    </row>
    <row r="1887" spans="1:11">
      <c r="A1887" s="1">
        <v>45624</v>
      </c>
      <c r="B1887" t="s">
        <v>40</v>
      </c>
      <c r="C1887" t="s">
        <v>32</v>
      </c>
      <c r="D1887">
        <v>326</v>
      </c>
      <c r="E1887">
        <v>30</v>
      </c>
      <c r="F1887">
        <v>3</v>
      </c>
      <c r="G1887">
        <v>0</v>
      </c>
      <c r="H1887">
        <v>358</v>
      </c>
      <c r="I1887" s="1">
        <v>45597</v>
      </c>
      <c r="J1887">
        <v>3</v>
      </c>
      <c r="K1887" t="s">
        <v>26</v>
      </c>
    </row>
    <row r="1888" spans="1:11">
      <c r="A1888" s="1">
        <v>45624</v>
      </c>
      <c r="B1888" t="s">
        <v>21</v>
      </c>
      <c r="C1888" t="s">
        <v>54</v>
      </c>
      <c r="D1888">
        <v>37</v>
      </c>
      <c r="E1888">
        <v>13</v>
      </c>
      <c r="F1888">
        <v>3</v>
      </c>
      <c r="G1888">
        <v>0</v>
      </c>
      <c r="H1888">
        <v>52</v>
      </c>
      <c r="I1888" s="1">
        <v>45597</v>
      </c>
      <c r="J1888">
        <v>3</v>
      </c>
      <c r="K1888" t="s">
        <v>26</v>
      </c>
    </row>
    <row r="1889" spans="1:11">
      <c r="A1889" s="1">
        <v>45624</v>
      </c>
      <c r="B1889" t="s">
        <v>21</v>
      </c>
      <c r="C1889" t="s">
        <v>52</v>
      </c>
      <c r="D1889">
        <v>61</v>
      </c>
      <c r="E1889">
        <v>34</v>
      </c>
      <c r="F1889">
        <v>14</v>
      </c>
      <c r="G1889">
        <v>0</v>
      </c>
      <c r="H1889">
        <v>108</v>
      </c>
      <c r="I1889" s="1">
        <v>45597</v>
      </c>
      <c r="J1889">
        <v>14</v>
      </c>
      <c r="K1889" t="s">
        <v>26</v>
      </c>
    </row>
    <row r="1890" spans="1:11">
      <c r="A1890" s="1">
        <v>45624</v>
      </c>
      <c r="B1890" t="s">
        <v>21</v>
      </c>
      <c r="C1890" t="s">
        <v>36</v>
      </c>
      <c r="D1890">
        <v>0</v>
      </c>
      <c r="E1890">
        <v>0</v>
      </c>
      <c r="F1890">
        <v>1</v>
      </c>
      <c r="G1890">
        <v>0</v>
      </c>
      <c r="H1890">
        <v>1</v>
      </c>
      <c r="I1890" s="1">
        <v>45597</v>
      </c>
      <c r="J1890">
        <v>1</v>
      </c>
      <c r="K1890" t="s">
        <v>26</v>
      </c>
    </row>
    <row r="1891" spans="1:11">
      <c r="A1891" s="1">
        <v>45645</v>
      </c>
      <c r="B1891" t="s">
        <v>40</v>
      </c>
      <c r="C1891" t="s">
        <v>30</v>
      </c>
      <c r="D1891">
        <v>607</v>
      </c>
      <c r="E1891">
        <v>83</v>
      </c>
      <c r="F1891">
        <v>3</v>
      </c>
      <c r="G1891">
        <v>0</v>
      </c>
      <c r="H1891">
        <v>693</v>
      </c>
      <c r="I1891" s="1">
        <v>45627</v>
      </c>
      <c r="J1891">
        <v>3</v>
      </c>
      <c r="K1891" t="s">
        <v>26</v>
      </c>
    </row>
    <row r="1892" spans="1:11">
      <c r="A1892" s="1">
        <v>45645</v>
      </c>
      <c r="B1892" t="s">
        <v>40</v>
      </c>
      <c r="C1892" t="s">
        <v>51</v>
      </c>
      <c r="D1892">
        <v>620</v>
      </c>
      <c r="E1892">
        <v>96</v>
      </c>
      <c r="F1892">
        <v>44</v>
      </c>
      <c r="G1892">
        <v>0</v>
      </c>
      <c r="H1892">
        <v>760</v>
      </c>
      <c r="I1892" s="1">
        <v>45627</v>
      </c>
      <c r="J1892">
        <v>44</v>
      </c>
      <c r="K1892" t="s">
        <v>26</v>
      </c>
    </row>
    <row r="1893" spans="1:11">
      <c r="A1893" s="1">
        <v>45645</v>
      </c>
      <c r="B1893" t="s">
        <v>40</v>
      </c>
      <c r="C1893" t="s">
        <v>52</v>
      </c>
      <c r="D1893">
        <v>617</v>
      </c>
      <c r="E1893">
        <v>220</v>
      </c>
      <c r="F1893">
        <v>43</v>
      </c>
      <c r="G1893">
        <v>0</v>
      </c>
      <c r="H1893">
        <v>880</v>
      </c>
      <c r="I1893" s="1">
        <v>45627</v>
      </c>
      <c r="J1893">
        <v>43</v>
      </c>
      <c r="K1893" t="s">
        <v>26</v>
      </c>
    </row>
    <row r="1894" spans="1:11">
      <c r="A1894" s="1">
        <v>45645</v>
      </c>
      <c r="B1894" t="s">
        <v>40</v>
      </c>
      <c r="C1894" t="s">
        <v>24</v>
      </c>
      <c r="D1894">
        <v>519</v>
      </c>
      <c r="E1894">
        <v>141</v>
      </c>
      <c r="F1894">
        <v>6</v>
      </c>
      <c r="G1894">
        <v>0</v>
      </c>
      <c r="H1894">
        <v>666</v>
      </c>
      <c r="I1894" s="1">
        <v>45627</v>
      </c>
      <c r="J1894">
        <v>6</v>
      </c>
      <c r="K1894" t="s">
        <v>26</v>
      </c>
    </row>
    <row r="1895" spans="1:11">
      <c r="A1895" s="1">
        <v>45645</v>
      </c>
      <c r="B1895" t="s">
        <v>40</v>
      </c>
      <c r="C1895" t="s">
        <v>32</v>
      </c>
      <c r="D1895">
        <v>314</v>
      </c>
      <c r="E1895">
        <v>34</v>
      </c>
      <c r="F1895">
        <v>3</v>
      </c>
      <c r="G1895">
        <v>0</v>
      </c>
      <c r="H1895">
        <v>351</v>
      </c>
      <c r="I1895" s="1">
        <v>45627</v>
      </c>
      <c r="J1895">
        <v>3</v>
      </c>
      <c r="K1895" t="s">
        <v>26</v>
      </c>
    </row>
    <row r="1896" spans="1:11">
      <c r="A1896" s="1">
        <v>45645</v>
      </c>
      <c r="B1896" t="s">
        <v>21</v>
      </c>
      <c r="C1896" t="s">
        <v>52</v>
      </c>
      <c r="D1896">
        <v>54</v>
      </c>
      <c r="E1896">
        <v>21</v>
      </c>
      <c r="F1896">
        <v>28</v>
      </c>
      <c r="G1896">
        <v>0</v>
      </c>
      <c r="H1896">
        <v>103</v>
      </c>
      <c r="I1896" s="1">
        <v>45627</v>
      </c>
      <c r="J1896">
        <v>28</v>
      </c>
      <c r="K1896" t="s">
        <v>26</v>
      </c>
    </row>
    <row r="1897" spans="1:11">
      <c r="A1897" s="1">
        <v>45687</v>
      </c>
      <c r="B1897" t="s">
        <v>40</v>
      </c>
      <c r="C1897" t="s">
        <v>37</v>
      </c>
      <c r="D1897">
        <v>465</v>
      </c>
      <c r="E1897">
        <v>112</v>
      </c>
      <c r="F1897">
        <v>9</v>
      </c>
      <c r="G1897">
        <v>0</v>
      </c>
      <c r="H1897">
        <v>586</v>
      </c>
      <c r="I1897" s="1">
        <v>45658</v>
      </c>
      <c r="J1897">
        <v>9</v>
      </c>
      <c r="K1897" t="s">
        <v>26</v>
      </c>
    </row>
    <row r="1898" spans="1:11">
      <c r="A1898" s="1">
        <v>45687</v>
      </c>
      <c r="B1898" t="s">
        <v>40</v>
      </c>
      <c r="C1898" t="s">
        <v>43</v>
      </c>
      <c r="D1898">
        <v>1240</v>
      </c>
      <c r="E1898">
        <v>359</v>
      </c>
      <c r="F1898">
        <v>13</v>
      </c>
      <c r="G1898">
        <v>0</v>
      </c>
      <c r="H1898">
        <v>1613</v>
      </c>
      <c r="I1898" s="1">
        <v>45658</v>
      </c>
      <c r="J1898">
        <v>13</v>
      </c>
      <c r="K1898" t="s">
        <v>26</v>
      </c>
    </row>
    <row r="1899" spans="1:11">
      <c r="A1899" s="1">
        <v>45687</v>
      </c>
      <c r="B1899" t="s">
        <v>40</v>
      </c>
      <c r="C1899" t="s">
        <v>35</v>
      </c>
      <c r="D1899">
        <v>897</v>
      </c>
      <c r="E1899">
        <v>463</v>
      </c>
      <c r="F1899">
        <v>18</v>
      </c>
      <c r="G1899">
        <v>0</v>
      </c>
      <c r="H1899">
        <v>1378</v>
      </c>
      <c r="I1899" s="1">
        <v>45658</v>
      </c>
      <c r="J1899">
        <v>18</v>
      </c>
      <c r="K1899" t="s">
        <v>26</v>
      </c>
    </row>
    <row r="1900" spans="1:11">
      <c r="A1900" s="1">
        <v>45687</v>
      </c>
      <c r="B1900" t="s">
        <v>40</v>
      </c>
      <c r="C1900" t="s">
        <v>24</v>
      </c>
      <c r="D1900">
        <v>576</v>
      </c>
      <c r="E1900">
        <v>158</v>
      </c>
      <c r="F1900">
        <v>12</v>
      </c>
      <c r="G1900">
        <v>0</v>
      </c>
      <c r="H1900">
        <v>746</v>
      </c>
      <c r="I1900" s="1">
        <v>45658</v>
      </c>
      <c r="J1900">
        <v>12</v>
      </c>
      <c r="K1900" t="s">
        <v>26</v>
      </c>
    </row>
    <row r="1901" spans="1:11">
      <c r="A1901" s="1">
        <v>45687</v>
      </c>
      <c r="B1901" t="s">
        <v>40</v>
      </c>
      <c r="C1901" t="s">
        <v>32</v>
      </c>
      <c r="D1901">
        <v>324</v>
      </c>
      <c r="E1901">
        <v>45</v>
      </c>
      <c r="F1901">
        <v>9</v>
      </c>
      <c r="G1901">
        <v>0</v>
      </c>
      <c r="H1901">
        <v>377</v>
      </c>
      <c r="I1901" s="1">
        <v>45658</v>
      </c>
      <c r="J1901">
        <v>9</v>
      </c>
      <c r="K1901" t="s">
        <v>26</v>
      </c>
    </row>
    <row r="1902" spans="1:11">
      <c r="A1902" s="1">
        <v>45687</v>
      </c>
      <c r="B1902" t="s">
        <v>21</v>
      </c>
      <c r="C1902" t="s">
        <v>54</v>
      </c>
      <c r="D1902">
        <v>29</v>
      </c>
      <c r="E1902">
        <v>7</v>
      </c>
      <c r="F1902">
        <v>3</v>
      </c>
      <c r="G1902">
        <v>0</v>
      </c>
      <c r="H1902">
        <v>39</v>
      </c>
      <c r="I1902" s="1">
        <v>45658</v>
      </c>
      <c r="J1902">
        <v>3</v>
      </c>
      <c r="K1902" t="s">
        <v>26</v>
      </c>
    </row>
    <row r="1903" spans="1:11">
      <c r="A1903" s="1">
        <v>45715</v>
      </c>
      <c r="B1903" t="s">
        <v>40</v>
      </c>
      <c r="C1903" t="s">
        <v>37</v>
      </c>
      <c r="D1903">
        <v>503</v>
      </c>
      <c r="E1903">
        <v>111</v>
      </c>
      <c r="F1903">
        <v>12</v>
      </c>
      <c r="G1903">
        <v>0</v>
      </c>
      <c r="H1903">
        <v>626</v>
      </c>
      <c r="I1903" s="1">
        <v>45689</v>
      </c>
      <c r="J1903">
        <v>12</v>
      </c>
      <c r="K1903" t="s">
        <v>26</v>
      </c>
    </row>
    <row r="1904" spans="1:11">
      <c r="A1904" s="1">
        <v>45715</v>
      </c>
      <c r="B1904" t="s">
        <v>40</v>
      </c>
      <c r="C1904" t="s">
        <v>54</v>
      </c>
      <c r="D1904">
        <v>1625</v>
      </c>
      <c r="E1904">
        <v>357</v>
      </c>
      <c r="F1904">
        <v>33</v>
      </c>
      <c r="G1904">
        <v>0</v>
      </c>
      <c r="H1904">
        <v>2015</v>
      </c>
      <c r="I1904" s="1">
        <v>45689</v>
      </c>
      <c r="J1904">
        <v>33</v>
      </c>
      <c r="K1904" t="s">
        <v>26</v>
      </c>
    </row>
    <row r="1905" spans="1:11">
      <c r="A1905" s="1">
        <v>45715</v>
      </c>
      <c r="B1905" t="s">
        <v>40</v>
      </c>
      <c r="C1905" t="s">
        <v>32</v>
      </c>
      <c r="D1905">
        <v>395</v>
      </c>
      <c r="E1905">
        <v>48</v>
      </c>
      <c r="F1905">
        <v>12</v>
      </c>
      <c r="G1905">
        <v>0</v>
      </c>
      <c r="H1905">
        <v>455</v>
      </c>
      <c r="I1905" s="1">
        <v>45689</v>
      </c>
      <c r="J1905">
        <v>12</v>
      </c>
      <c r="K1905" t="s">
        <v>26</v>
      </c>
    </row>
    <row r="1906" spans="1:11">
      <c r="A1906" s="1">
        <v>45715</v>
      </c>
      <c r="B1906" t="s">
        <v>21</v>
      </c>
      <c r="C1906" t="s">
        <v>54</v>
      </c>
      <c r="D1906">
        <v>31</v>
      </c>
      <c r="E1906">
        <v>4</v>
      </c>
      <c r="F1906">
        <v>7</v>
      </c>
      <c r="G1906">
        <v>0</v>
      </c>
      <c r="H1906">
        <v>42</v>
      </c>
      <c r="I1906" s="1">
        <v>45689</v>
      </c>
      <c r="J1906">
        <v>7</v>
      </c>
      <c r="K1906" t="s">
        <v>26</v>
      </c>
    </row>
    <row r="1907" spans="1:11">
      <c r="A1907" s="1">
        <v>45743</v>
      </c>
      <c r="B1907" t="s">
        <v>40</v>
      </c>
      <c r="C1907" t="s">
        <v>30</v>
      </c>
      <c r="D1907">
        <v>508</v>
      </c>
      <c r="E1907">
        <v>91</v>
      </c>
      <c r="F1907">
        <v>8</v>
      </c>
      <c r="G1907">
        <v>0</v>
      </c>
      <c r="H1907">
        <v>607</v>
      </c>
      <c r="I1907" s="1">
        <v>45717</v>
      </c>
      <c r="J1907">
        <v>8</v>
      </c>
      <c r="K1907" t="s">
        <v>26</v>
      </c>
    </row>
    <row r="1908" spans="1:11">
      <c r="A1908" s="1">
        <v>45743</v>
      </c>
      <c r="B1908" t="s">
        <v>40</v>
      </c>
      <c r="C1908" t="s">
        <v>37</v>
      </c>
      <c r="D1908">
        <v>475</v>
      </c>
      <c r="E1908">
        <v>136</v>
      </c>
      <c r="F1908">
        <v>20</v>
      </c>
      <c r="G1908">
        <v>0</v>
      </c>
      <c r="H1908">
        <v>631</v>
      </c>
      <c r="I1908" s="1">
        <v>45717</v>
      </c>
      <c r="J1908">
        <v>20</v>
      </c>
      <c r="K1908" t="s">
        <v>26</v>
      </c>
    </row>
    <row r="1909" spans="1:11">
      <c r="A1909" s="1">
        <v>45743</v>
      </c>
      <c r="B1909" t="s">
        <v>40</v>
      </c>
      <c r="C1909" t="s">
        <v>35</v>
      </c>
      <c r="D1909">
        <v>832</v>
      </c>
      <c r="E1909">
        <v>474</v>
      </c>
      <c r="F1909">
        <v>45</v>
      </c>
      <c r="G1909">
        <v>0</v>
      </c>
      <c r="H1909">
        <v>1350</v>
      </c>
      <c r="I1909" s="1">
        <v>45717</v>
      </c>
      <c r="J1909">
        <v>45</v>
      </c>
      <c r="K1909" t="s">
        <v>26</v>
      </c>
    </row>
    <row r="1910" spans="1:11">
      <c r="A1910" s="1">
        <v>45743</v>
      </c>
      <c r="B1910" t="s">
        <v>40</v>
      </c>
      <c r="C1910" t="s">
        <v>32</v>
      </c>
      <c r="D1910">
        <v>350</v>
      </c>
      <c r="E1910">
        <v>52</v>
      </c>
      <c r="F1910">
        <v>7</v>
      </c>
      <c r="G1910">
        <v>0</v>
      </c>
      <c r="H1910">
        <v>409</v>
      </c>
      <c r="I1910" s="1">
        <v>45717</v>
      </c>
      <c r="J1910">
        <v>7</v>
      </c>
      <c r="K1910" t="s">
        <v>26</v>
      </c>
    </row>
    <row r="1911" spans="1:11">
      <c r="A1911" s="1">
        <v>45743</v>
      </c>
      <c r="B1911" t="s">
        <v>21</v>
      </c>
      <c r="C1911" t="s">
        <v>54</v>
      </c>
      <c r="D1911">
        <v>34</v>
      </c>
      <c r="E1911">
        <v>7</v>
      </c>
      <c r="F1911">
        <v>8</v>
      </c>
      <c r="G1911">
        <v>0</v>
      </c>
      <c r="H1911">
        <v>49</v>
      </c>
      <c r="I1911" s="1">
        <v>45717</v>
      </c>
      <c r="J1911">
        <v>8</v>
      </c>
      <c r="K1911" t="s">
        <v>26</v>
      </c>
    </row>
    <row r="1912" spans="1:11">
      <c r="A1912" s="1">
        <v>45743</v>
      </c>
      <c r="B1912" t="s">
        <v>21</v>
      </c>
      <c r="C1912" t="s">
        <v>52</v>
      </c>
      <c r="D1912">
        <v>37</v>
      </c>
      <c r="E1912">
        <v>27</v>
      </c>
      <c r="F1912">
        <v>23</v>
      </c>
      <c r="G1912">
        <v>0</v>
      </c>
      <c r="H1912">
        <v>87</v>
      </c>
      <c r="I1912" s="1">
        <v>45717</v>
      </c>
      <c r="J1912">
        <v>23</v>
      </c>
      <c r="K1912" t="s">
        <v>26</v>
      </c>
    </row>
    <row r="1913" spans="1:11">
      <c r="A1913" s="1">
        <v>45771</v>
      </c>
      <c r="B1913" t="s">
        <v>40</v>
      </c>
      <c r="C1913" t="s">
        <v>33</v>
      </c>
      <c r="D1913">
        <v>122</v>
      </c>
      <c r="E1913">
        <v>38</v>
      </c>
      <c r="F1913">
        <v>1</v>
      </c>
      <c r="G1913">
        <v>0</v>
      </c>
      <c r="H1913">
        <v>161</v>
      </c>
      <c r="I1913" s="1">
        <v>45748</v>
      </c>
      <c r="J1913">
        <v>1</v>
      </c>
      <c r="K1913" t="s">
        <v>26</v>
      </c>
    </row>
    <row r="1914" spans="1:11">
      <c r="A1914" s="1">
        <v>45771</v>
      </c>
      <c r="B1914" t="s">
        <v>40</v>
      </c>
      <c r="C1914" t="s">
        <v>30</v>
      </c>
      <c r="D1914">
        <v>545</v>
      </c>
      <c r="E1914">
        <v>100</v>
      </c>
      <c r="F1914">
        <v>11</v>
      </c>
      <c r="G1914">
        <v>0</v>
      </c>
      <c r="H1914">
        <v>656</v>
      </c>
      <c r="I1914" s="1">
        <v>45748</v>
      </c>
      <c r="J1914">
        <v>11</v>
      </c>
      <c r="K1914" t="s">
        <v>26</v>
      </c>
    </row>
    <row r="1915" spans="1:11">
      <c r="A1915" s="1">
        <v>45771</v>
      </c>
      <c r="B1915" t="s">
        <v>40</v>
      </c>
      <c r="C1915" t="s">
        <v>56</v>
      </c>
      <c r="D1915">
        <v>562</v>
      </c>
      <c r="E1915">
        <v>202</v>
      </c>
      <c r="F1915">
        <v>3</v>
      </c>
      <c r="G1915">
        <v>0</v>
      </c>
      <c r="H1915">
        <v>767</v>
      </c>
      <c r="I1915" s="1">
        <v>45748</v>
      </c>
      <c r="J1915">
        <v>3</v>
      </c>
      <c r="K1915" t="s">
        <v>26</v>
      </c>
    </row>
    <row r="1916" spans="1:11">
      <c r="A1916" s="1">
        <v>45771</v>
      </c>
      <c r="B1916" t="s">
        <v>21</v>
      </c>
      <c r="C1916" t="s">
        <v>54</v>
      </c>
      <c r="D1916">
        <v>63</v>
      </c>
      <c r="E1916">
        <v>8</v>
      </c>
      <c r="F1916">
        <v>5</v>
      </c>
      <c r="G1916">
        <v>0</v>
      </c>
      <c r="H1916">
        <v>75</v>
      </c>
      <c r="I1916" s="1">
        <v>45748</v>
      </c>
      <c r="J1916">
        <v>5</v>
      </c>
      <c r="K1916" t="s">
        <v>26</v>
      </c>
    </row>
    <row r="1917" spans="1:11">
      <c r="A1917" s="1">
        <v>45771</v>
      </c>
      <c r="B1917" t="s">
        <v>21</v>
      </c>
      <c r="C1917" t="s">
        <v>52</v>
      </c>
      <c r="D1917">
        <v>54</v>
      </c>
      <c r="E1917">
        <v>24</v>
      </c>
      <c r="F1917">
        <v>23</v>
      </c>
      <c r="G1917">
        <v>0</v>
      </c>
      <c r="H1917">
        <v>100</v>
      </c>
      <c r="I1917" s="1">
        <v>45748</v>
      </c>
      <c r="J1917">
        <v>23</v>
      </c>
      <c r="K1917" t="s">
        <v>26</v>
      </c>
    </row>
    <row r="1918" spans="1:11">
      <c r="A1918" s="1">
        <v>45806</v>
      </c>
      <c r="B1918" t="s">
        <v>40</v>
      </c>
      <c r="C1918" t="s">
        <v>33</v>
      </c>
      <c r="D1918">
        <v>115</v>
      </c>
      <c r="E1918">
        <v>38</v>
      </c>
      <c r="F1918">
        <v>3</v>
      </c>
      <c r="G1918">
        <v>0</v>
      </c>
      <c r="H1918">
        <v>155</v>
      </c>
      <c r="I1918" s="1">
        <v>45778</v>
      </c>
      <c r="J1918">
        <v>3</v>
      </c>
      <c r="K1918" t="s">
        <v>26</v>
      </c>
    </row>
    <row r="1919" spans="1:11">
      <c r="A1919" s="1">
        <v>45806</v>
      </c>
      <c r="B1919" t="s">
        <v>40</v>
      </c>
      <c r="C1919" t="s">
        <v>22</v>
      </c>
      <c r="D1919">
        <v>719</v>
      </c>
      <c r="E1919">
        <v>113</v>
      </c>
      <c r="F1919">
        <v>7</v>
      </c>
      <c r="G1919">
        <v>0</v>
      </c>
      <c r="H1919">
        <v>839</v>
      </c>
      <c r="I1919" s="1">
        <v>45778</v>
      </c>
      <c r="J1919">
        <v>7</v>
      </c>
      <c r="K1919" t="s">
        <v>26</v>
      </c>
    </row>
    <row r="1920" spans="1:11">
      <c r="A1920" s="1">
        <v>45806</v>
      </c>
      <c r="B1920" t="s">
        <v>40</v>
      </c>
      <c r="C1920" t="s">
        <v>32</v>
      </c>
      <c r="D1920">
        <v>401</v>
      </c>
      <c r="E1920">
        <v>37</v>
      </c>
      <c r="F1920">
        <v>15</v>
      </c>
      <c r="G1920">
        <v>0</v>
      </c>
      <c r="H1920">
        <v>452</v>
      </c>
      <c r="I1920" s="1">
        <v>45778</v>
      </c>
      <c r="J1920">
        <v>15</v>
      </c>
      <c r="K1920" t="s">
        <v>26</v>
      </c>
    </row>
    <row r="1921" spans="1:11">
      <c r="A1921" s="1">
        <v>45806</v>
      </c>
      <c r="B1921" t="s">
        <v>21</v>
      </c>
      <c r="C1921" t="s">
        <v>52</v>
      </c>
      <c r="D1921">
        <v>52</v>
      </c>
      <c r="E1921">
        <v>26</v>
      </c>
      <c r="F1921">
        <v>24</v>
      </c>
      <c r="G1921">
        <v>0</v>
      </c>
      <c r="H1921">
        <v>102</v>
      </c>
      <c r="I1921" s="1">
        <v>45778</v>
      </c>
      <c r="J1921">
        <v>24</v>
      </c>
      <c r="K1921" t="s">
        <v>26</v>
      </c>
    </row>
    <row r="1922" spans="1:11">
      <c r="A1922" s="1">
        <v>45834</v>
      </c>
      <c r="B1922" t="s">
        <v>40</v>
      </c>
      <c r="C1922" t="s">
        <v>33</v>
      </c>
      <c r="D1922">
        <v>115</v>
      </c>
      <c r="E1922">
        <v>31</v>
      </c>
      <c r="F1922">
        <v>3</v>
      </c>
      <c r="G1922">
        <v>0</v>
      </c>
      <c r="H1922">
        <v>149</v>
      </c>
      <c r="I1922" s="1">
        <v>45809</v>
      </c>
      <c r="J1922">
        <v>3</v>
      </c>
      <c r="K1922" t="s">
        <v>26</v>
      </c>
    </row>
    <row r="1923" spans="1:11">
      <c r="A1923" s="1">
        <v>45834</v>
      </c>
      <c r="B1923" t="s">
        <v>40</v>
      </c>
      <c r="C1923" t="s">
        <v>37</v>
      </c>
      <c r="D1923">
        <v>484</v>
      </c>
      <c r="E1923">
        <v>145</v>
      </c>
      <c r="F1923">
        <v>40</v>
      </c>
      <c r="G1923">
        <v>0</v>
      </c>
      <c r="H1923">
        <v>668</v>
      </c>
      <c r="I1923" s="1">
        <v>45809</v>
      </c>
      <c r="J1923">
        <v>40</v>
      </c>
      <c r="K1923" t="s">
        <v>26</v>
      </c>
    </row>
    <row r="1924" spans="1:11">
      <c r="A1924" s="1">
        <v>45834</v>
      </c>
      <c r="B1924" t="s">
        <v>40</v>
      </c>
      <c r="C1924" t="s">
        <v>56</v>
      </c>
      <c r="D1924">
        <v>556</v>
      </c>
      <c r="E1924">
        <v>213</v>
      </c>
      <c r="F1924">
        <v>3</v>
      </c>
      <c r="G1924">
        <v>0</v>
      </c>
      <c r="H1924">
        <v>772</v>
      </c>
      <c r="I1924" s="1">
        <v>45809</v>
      </c>
      <c r="J1924">
        <v>3</v>
      </c>
      <c r="K1924" t="s">
        <v>26</v>
      </c>
    </row>
    <row r="1925" spans="1:11">
      <c r="A1925" s="1">
        <v>45834</v>
      </c>
      <c r="B1925" t="s">
        <v>40</v>
      </c>
      <c r="C1925" t="s">
        <v>51</v>
      </c>
      <c r="D1925">
        <v>487</v>
      </c>
      <c r="E1925">
        <v>62</v>
      </c>
      <c r="F1925">
        <v>15</v>
      </c>
      <c r="G1925">
        <v>0</v>
      </c>
      <c r="H1925">
        <v>565</v>
      </c>
      <c r="I1925" s="1">
        <v>45809</v>
      </c>
      <c r="J1925">
        <v>15</v>
      </c>
      <c r="K1925" t="s">
        <v>26</v>
      </c>
    </row>
    <row r="1926" spans="1:11">
      <c r="A1926" s="1">
        <v>45834</v>
      </c>
      <c r="B1926" t="s">
        <v>40</v>
      </c>
      <c r="C1926" t="s">
        <v>39</v>
      </c>
      <c r="D1926">
        <v>188</v>
      </c>
      <c r="E1926">
        <v>66</v>
      </c>
      <c r="F1926">
        <v>5</v>
      </c>
      <c r="G1926">
        <v>0</v>
      </c>
      <c r="H1926">
        <v>259</v>
      </c>
      <c r="I1926" s="1">
        <v>45809</v>
      </c>
      <c r="J1926">
        <v>5</v>
      </c>
      <c r="K1926" t="s">
        <v>26</v>
      </c>
    </row>
    <row r="1927" spans="1:11">
      <c r="A1927" s="1">
        <v>45834</v>
      </c>
      <c r="B1927" t="s">
        <v>40</v>
      </c>
      <c r="C1927" t="s">
        <v>44</v>
      </c>
      <c r="D1927">
        <v>249</v>
      </c>
      <c r="E1927">
        <v>44</v>
      </c>
      <c r="F1927">
        <v>1</v>
      </c>
      <c r="G1927">
        <v>0</v>
      </c>
      <c r="H1927">
        <v>295</v>
      </c>
      <c r="I1927" s="1">
        <v>45809</v>
      </c>
      <c r="J1927">
        <v>1</v>
      </c>
      <c r="K1927" t="s">
        <v>26</v>
      </c>
    </row>
    <row r="1928" spans="1:11">
      <c r="A1928" s="1">
        <v>45869</v>
      </c>
      <c r="B1928" t="s">
        <v>40</v>
      </c>
      <c r="C1928" t="s">
        <v>55</v>
      </c>
      <c r="D1928">
        <v>1311</v>
      </c>
      <c r="E1928">
        <v>108</v>
      </c>
      <c r="F1928">
        <v>11</v>
      </c>
      <c r="G1928">
        <v>0</v>
      </c>
      <c r="H1928">
        <v>1429</v>
      </c>
      <c r="I1928" s="1">
        <v>45839</v>
      </c>
      <c r="J1928">
        <v>11</v>
      </c>
      <c r="K1928" t="s">
        <v>26</v>
      </c>
    </row>
    <row r="1929" spans="1:11">
      <c r="A1929" s="1">
        <v>45869</v>
      </c>
      <c r="B1929" t="s">
        <v>40</v>
      </c>
      <c r="C1929" t="s">
        <v>33</v>
      </c>
      <c r="D1929">
        <v>100</v>
      </c>
      <c r="E1929">
        <v>20</v>
      </c>
      <c r="F1929">
        <v>3</v>
      </c>
      <c r="G1929">
        <v>0</v>
      </c>
      <c r="H1929">
        <v>123</v>
      </c>
      <c r="I1929" s="1">
        <v>45839</v>
      </c>
      <c r="J1929">
        <v>3</v>
      </c>
      <c r="K1929" t="s">
        <v>26</v>
      </c>
    </row>
    <row r="1930" spans="1:11">
      <c r="A1930" s="1">
        <v>45869</v>
      </c>
      <c r="B1930" t="s">
        <v>40</v>
      </c>
      <c r="C1930" t="s">
        <v>37</v>
      </c>
      <c r="D1930">
        <v>475</v>
      </c>
      <c r="E1930">
        <v>107</v>
      </c>
      <c r="F1930">
        <v>10</v>
      </c>
      <c r="G1930">
        <v>0</v>
      </c>
      <c r="H1930">
        <v>591</v>
      </c>
      <c r="I1930" s="1">
        <v>45839</v>
      </c>
      <c r="J1930">
        <v>10</v>
      </c>
      <c r="K1930" t="s">
        <v>26</v>
      </c>
    </row>
    <row r="1931" spans="1:11">
      <c r="A1931" s="1">
        <v>45869</v>
      </c>
      <c r="B1931" t="s">
        <v>40</v>
      </c>
      <c r="C1931" t="s">
        <v>39</v>
      </c>
      <c r="D1931">
        <v>190</v>
      </c>
      <c r="E1931">
        <v>54</v>
      </c>
      <c r="F1931">
        <v>6</v>
      </c>
      <c r="G1931">
        <v>0</v>
      </c>
      <c r="H1931">
        <v>250</v>
      </c>
      <c r="I1931" s="1">
        <v>45839</v>
      </c>
      <c r="J1931">
        <v>6</v>
      </c>
      <c r="K1931" t="s">
        <v>26</v>
      </c>
    </row>
    <row r="1932" spans="1:11">
      <c r="A1932" s="1">
        <v>45869</v>
      </c>
      <c r="B1932" t="s">
        <v>40</v>
      </c>
      <c r="C1932" t="s">
        <v>22</v>
      </c>
      <c r="D1932">
        <v>697</v>
      </c>
      <c r="E1932">
        <v>86</v>
      </c>
      <c r="F1932">
        <v>15</v>
      </c>
      <c r="G1932">
        <v>0</v>
      </c>
      <c r="H1932">
        <v>797</v>
      </c>
      <c r="I1932" s="1">
        <v>45839</v>
      </c>
      <c r="J1932">
        <v>15</v>
      </c>
      <c r="K1932" t="s">
        <v>26</v>
      </c>
    </row>
    <row r="1933" spans="1:11">
      <c r="A1933" s="1">
        <v>45869</v>
      </c>
      <c r="B1933" t="s">
        <v>40</v>
      </c>
      <c r="C1933" t="s">
        <v>32</v>
      </c>
      <c r="D1933">
        <v>414</v>
      </c>
      <c r="E1933">
        <v>37</v>
      </c>
      <c r="F1933">
        <v>18</v>
      </c>
      <c r="G1933">
        <v>0</v>
      </c>
      <c r="H1933">
        <v>469</v>
      </c>
      <c r="I1933" s="1">
        <v>45839</v>
      </c>
      <c r="J1933">
        <v>18</v>
      </c>
      <c r="K1933" t="s">
        <v>26</v>
      </c>
    </row>
    <row r="1934" spans="1:11">
      <c r="A1934" s="1">
        <v>45869</v>
      </c>
      <c r="B1934" t="s">
        <v>21</v>
      </c>
      <c r="C1934" t="s">
        <v>51</v>
      </c>
      <c r="D1934">
        <v>24</v>
      </c>
      <c r="E1934">
        <v>8</v>
      </c>
      <c r="F1934">
        <v>1</v>
      </c>
      <c r="G1934">
        <v>0</v>
      </c>
      <c r="H1934">
        <v>33</v>
      </c>
      <c r="I1934" s="1">
        <v>45839</v>
      </c>
      <c r="J1934">
        <v>1</v>
      </c>
      <c r="K1934" t="s">
        <v>26</v>
      </c>
    </row>
    <row r="1935" spans="1:11">
      <c r="A1935" s="1">
        <v>45897</v>
      </c>
      <c r="B1935" t="s">
        <v>40</v>
      </c>
      <c r="C1935" t="s">
        <v>55</v>
      </c>
      <c r="D1935">
        <v>1197</v>
      </c>
      <c r="E1935">
        <v>140</v>
      </c>
      <c r="F1935">
        <v>15</v>
      </c>
      <c r="G1935">
        <v>0</v>
      </c>
      <c r="H1935">
        <v>1352</v>
      </c>
      <c r="I1935" s="1">
        <v>45870</v>
      </c>
      <c r="J1935">
        <v>15</v>
      </c>
      <c r="K1935" t="s">
        <v>26</v>
      </c>
    </row>
    <row r="1936" spans="1:11">
      <c r="A1936" s="1">
        <v>45897</v>
      </c>
      <c r="B1936" t="s">
        <v>40</v>
      </c>
      <c r="C1936" t="s">
        <v>39</v>
      </c>
      <c r="D1936">
        <v>182</v>
      </c>
      <c r="E1936">
        <v>68</v>
      </c>
      <c r="F1936">
        <v>8</v>
      </c>
      <c r="G1936">
        <v>0</v>
      </c>
      <c r="H1936">
        <v>258</v>
      </c>
      <c r="I1936" s="1">
        <v>45870</v>
      </c>
      <c r="J1936">
        <v>8</v>
      </c>
      <c r="K1936" t="s">
        <v>26</v>
      </c>
    </row>
    <row r="1937" spans="1:11">
      <c r="A1937" s="1">
        <v>45925</v>
      </c>
      <c r="B1937" t="s">
        <v>40</v>
      </c>
      <c r="C1937" t="s">
        <v>55</v>
      </c>
      <c r="D1937">
        <v>1353</v>
      </c>
      <c r="E1937">
        <v>215</v>
      </c>
      <c r="F1937">
        <v>23</v>
      </c>
      <c r="G1937">
        <v>0</v>
      </c>
      <c r="H1937">
        <v>1591</v>
      </c>
      <c r="I1937" s="1">
        <v>45901</v>
      </c>
      <c r="J1937">
        <v>23</v>
      </c>
      <c r="K1937" t="s">
        <v>26</v>
      </c>
    </row>
    <row r="1938" spans="1:11">
      <c r="A1938" s="1">
        <v>45925</v>
      </c>
      <c r="B1938" t="s">
        <v>40</v>
      </c>
      <c r="C1938" t="s">
        <v>37</v>
      </c>
      <c r="D1938">
        <v>430</v>
      </c>
      <c r="E1938">
        <v>116</v>
      </c>
      <c r="F1938">
        <v>3</v>
      </c>
      <c r="G1938">
        <v>0</v>
      </c>
      <c r="H1938">
        <v>550</v>
      </c>
      <c r="I1938" s="1">
        <v>45901</v>
      </c>
      <c r="J1938">
        <v>3</v>
      </c>
      <c r="K1938" t="s">
        <v>26</v>
      </c>
    </row>
    <row r="1939" spans="1:11">
      <c r="A1939" s="1">
        <v>45925</v>
      </c>
      <c r="B1939" t="s">
        <v>40</v>
      </c>
      <c r="C1939" t="s">
        <v>56</v>
      </c>
      <c r="D1939">
        <v>536</v>
      </c>
      <c r="E1939">
        <v>208</v>
      </c>
      <c r="F1939">
        <v>21</v>
      </c>
      <c r="G1939">
        <v>0</v>
      </c>
      <c r="H1939">
        <v>765</v>
      </c>
      <c r="I1939" s="1">
        <v>45901</v>
      </c>
      <c r="J1939">
        <v>21</v>
      </c>
      <c r="K1939" t="s">
        <v>26</v>
      </c>
    </row>
    <row r="1940" spans="1:11">
      <c r="A1940" s="1">
        <v>45925</v>
      </c>
      <c r="B1940" t="s">
        <v>40</v>
      </c>
      <c r="C1940" t="s">
        <v>24</v>
      </c>
      <c r="D1940">
        <v>584</v>
      </c>
      <c r="E1940">
        <v>263</v>
      </c>
      <c r="F1940">
        <v>1</v>
      </c>
      <c r="G1940">
        <v>0</v>
      </c>
      <c r="H1940">
        <v>848</v>
      </c>
      <c r="I1940" s="1">
        <v>45901</v>
      </c>
      <c r="J1940">
        <v>1</v>
      </c>
      <c r="K1940" t="s">
        <v>26</v>
      </c>
    </row>
    <row r="1941" spans="1:11">
      <c r="A1941" s="1">
        <v>45925</v>
      </c>
      <c r="B1941" t="s">
        <v>40</v>
      </c>
      <c r="C1941" t="s">
        <v>32</v>
      </c>
      <c r="D1941">
        <v>398</v>
      </c>
      <c r="E1941">
        <v>37</v>
      </c>
      <c r="F1941">
        <v>11</v>
      </c>
      <c r="G1941">
        <v>0</v>
      </c>
      <c r="H1941">
        <v>445</v>
      </c>
      <c r="I1941" s="1">
        <v>45901</v>
      </c>
      <c r="J1941">
        <v>11</v>
      </c>
      <c r="K1941" t="s">
        <v>26</v>
      </c>
    </row>
    <row r="1942" spans="1:11">
      <c r="A1942" s="1">
        <v>45960</v>
      </c>
      <c r="B1942" t="s">
        <v>40</v>
      </c>
      <c r="C1942" t="s">
        <v>55</v>
      </c>
      <c r="D1942">
        <v>1609</v>
      </c>
      <c r="E1942">
        <v>187</v>
      </c>
      <c r="F1942">
        <v>40</v>
      </c>
      <c r="G1942">
        <v>0</v>
      </c>
      <c r="H1942">
        <v>1836</v>
      </c>
      <c r="I1942" s="1">
        <v>45931</v>
      </c>
      <c r="J1942">
        <v>40</v>
      </c>
      <c r="K1942" t="s">
        <v>26</v>
      </c>
    </row>
    <row r="1943" spans="1:11">
      <c r="A1943" s="1">
        <v>45960</v>
      </c>
      <c r="B1943" t="s">
        <v>40</v>
      </c>
      <c r="C1943" t="s">
        <v>37</v>
      </c>
      <c r="D1943">
        <v>339</v>
      </c>
      <c r="E1943">
        <v>61</v>
      </c>
      <c r="F1943">
        <v>6</v>
      </c>
      <c r="G1943">
        <v>0</v>
      </c>
      <c r="H1943">
        <v>406</v>
      </c>
      <c r="I1943" s="1">
        <v>45931</v>
      </c>
      <c r="J1943">
        <v>6</v>
      </c>
      <c r="K1943" t="s">
        <v>26</v>
      </c>
    </row>
    <row r="1944" spans="1:11">
      <c r="A1944" s="1">
        <v>45960</v>
      </c>
      <c r="B1944" t="s">
        <v>40</v>
      </c>
      <c r="C1944" t="s">
        <v>56</v>
      </c>
      <c r="D1944">
        <v>576</v>
      </c>
      <c r="E1944">
        <v>201</v>
      </c>
      <c r="F1944">
        <v>49</v>
      </c>
      <c r="G1944">
        <v>0</v>
      </c>
      <c r="H1944">
        <v>826</v>
      </c>
      <c r="I1944" s="1">
        <v>45931</v>
      </c>
      <c r="J1944">
        <v>49</v>
      </c>
      <c r="K1944" t="s">
        <v>26</v>
      </c>
    </row>
    <row r="1945" spans="1:11">
      <c r="A1945" s="1">
        <v>45960</v>
      </c>
      <c r="B1945" t="s">
        <v>40</v>
      </c>
      <c r="C1945" t="s">
        <v>51</v>
      </c>
      <c r="D1945">
        <v>508</v>
      </c>
      <c r="E1945">
        <v>54</v>
      </c>
      <c r="F1945">
        <v>5</v>
      </c>
      <c r="G1945">
        <v>0</v>
      </c>
      <c r="H1945">
        <v>568</v>
      </c>
      <c r="I1945" s="1">
        <v>45931</v>
      </c>
      <c r="J1945">
        <v>5</v>
      </c>
      <c r="K1945" t="s">
        <v>26</v>
      </c>
    </row>
    <row r="1946" spans="1:11">
      <c r="A1946" s="1">
        <v>45960</v>
      </c>
      <c r="B1946" t="s">
        <v>40</v>
      </c>
      <c r="C1946" t="s">
        <v>39</v>
      </c>
      <c r="D1946">
        <v>199</v>
      </c>
      <c r="E1946">
        <v>54</v>
      </c>
      <c r="F1946">
        <v>14</v>
      </c>
      <c r="G1946">
        <v>0</v>
      </c>
      <c r="H1946">
        <v>267</v>
      </c>
      <c r="I1946" s="1">
        <v>45931</v>
      </c>
      <c r="J1946">
        <v>14</v>
      </c>
      <c r="K1946" t="s">
        <v>26</v>
      </c>
    </row>
    <row r="1947" spans="1:11">
      <c r="A1947" s="1">
        <v>45960</v>
      </c>
      <c r="B1947" t="s">
        <v>40</v>
      </c>
      <c r="C1947" t="s">
        <v>32</v>
      </c>
      <c r="D1947">
        <v>371</v>
      </c>
      <c r="E1947">
        <v>36</v>
      </c>
      <c r="F1947">
        <v>5</v>
      </c>
      <c r="G1947">
        <v>0</v>
      </c>
      <c r="H1947">
        <v>412</v>
      </c>
      <c r="I1947" s="1">
        <v>45931</v>
      </c>
      <c r="J1947">
        <v>5</v>
      </c>
      <c r="K1947" t="s">
        <v>26</v>
      </c>
    </row>
    <row r="1948" spans="1:11">
      <c r="A1948" s="1">
        <v>45988</v>
      </c>
      <c r="B1948" t="s">
        <v>40</v>
      </c>
      <c r="C1948" t="s">
        <v>55</v>
      </c>
      <c r="D1948">
        <v>1644</v>
      </c>
      <c r="E1948">
        <v>224</v>
      </c>
      <c r="F1948">
        <v>31</v>
      </c>
      <c r="G1948">
        <v>0</v>
      </c>
      <c r="H1948">
        <v>1899</v>
      </c>
      <c r="I1948" s="1">
        <v>45962</v>
      </c>
      <c r="J1948">
        <v>31</v>
      </c>
      <c r="K1948" t="s">
        <v>26</v>
      </c>
    </row>
    <row r="1949" spans="1:11">
      <c r="A1949" s="1">
        <v>45988</v>
      </c>
      <c r="B1949" t="s">
        <v>40</v>
      </c>
      <c r="C1949" t="s">
        <v>33</v>
      </c>
      <c r="D1949">
        <v>75</v>
      </c>
      <c r="E1949">
        <v>18</v>
      </c>
      <c r="F1949">
        <v>1</v>
      </c>
      <c r="G1949">
        <v>0</v>
      </c>
      <c r="H1949">
        <v>94</v>
      </c>
      <c r="I1949" s="1">
        <v>45962</v>
      </c>
      <c r="J1949">
        <v>1</v>
      </c>
      <c r="K1949" t="s">
        <v>26</v>
      </c>
    </row>
    <row r="1950" spans="1:11">
      <c r="A1950" s="1">
        <v>45988</v>
      </c>
      <c r="B1950" t="s">
        <v>40</v>
      </c>
      <c r="C1950" t="s">
        <v>27</v>
      </c>
      <c r="D1950">
        <v>585</v>
      </c>
      <c r="E1950">
        <v>285</v>
      </c>
      <c r="F1950">
        <v>5</v>
      </c>
      <c r="G1950">
        <v>0</v>
      </c>
      <c r="H1950">
        <v>875</v>
      </c>
      <c r="I1950" s="1">
        <v>45962</v>
      </c>
      <c r="J1950">
        <v>5</v>
      </c>
      <c r="K1950" t="s">
        <v>26</v>
      </c>
    </row>
    <row r="1951" spans="1:11">
      <c r="A1951" s="1">
        <v>45988</v>
      </c>
      <c r="B1951" t="s">
        <v>40</v>
      </c>
      <c r="C1951" t="s">
        <v>37</v>
      </c>
      <c r="D1951">
        <v>337</v>
      </c>
      <c r="E1951">
        <v>73</v>
      </c>
      <c r="F1951">
        <v>12</v>
      </c>
      <c r="G1951">
        <v>0</v>
      </c>
      <c r="H1951">
        <v>422</v>
      </c>
      <c r="I1951" s="1">
        <v>45962</v>
      </c>
      <c r="J1951">
        <v>12</v>
      </c>
      <c r="K1951" t="s">
        <v>26</v>
      </c>
    </row>
    <row r="1952" spans="1:11">
      <c r="A1952" s="1">
        <v>45988</v>
      </c>
      <c r="B1952" t="s">
        <v>40</v>
      </c>
      <c r="C1952" t="s">
        <v>56</v>
      </c>
      <c r="D1952">
        <v>599</v>
      </c>
      <c r="E1952">
        <v>193</v>
      </c>
      <c r="F1952">
        <v>22</v>
      </c>
      <c r="G1952">
        <v>0</v>
      </c>
      <c r="H1952">
        <v>814</v>
      </c>
      <c r="I1952" s="1">
        <v>45962</v>
      </c>
      <c r="J1952">
        <v>22</v>
      </c>
      <c r="K1952" t="s">
        <v>26</v>
      </c>
    </row>
    <row r="1953" spans="1:11">
      <c r="A1953" s="1">
        <v>45988</v>
      </c>
      <c r="B1953" t="s">
        <v>40</v>
      </c>
      <c r="C1953" t="s">
        <v>51</v>
      </c>
      <c r="D1953">
        <v>432</v>
      </c>
      <c r="E1953">
        <v>70</v>
      </c>
      <c r="F1953">
        <v>3</v>
      </c>
      <c r="G1953">
        <v>0</v>
      </c>
      <c r="H1953">
        <v>505</v>
      </c>
      <c r="I1953" s="1">
        <v>45962</v>
      </c>
      <c r="J1953">
        <v>3</v>
      </c>
      <c r="K1953" t="s">
        <v>26</v>
      </c>
    </row>
    <row r="1954" spans="1:11">
      <c r="A1954" s="1">
        <v>45988</v>
      </c>
      <c r="B1954" t="s">
        <v>40</v>
      </c>
      <c r="C1954" t="s">
        <v>39</v>
      </c>
      <c r="D1954">
        <v>197</v>
      </c>
      <c r="E1954">
        <v>59</v>
      </c>
      <c r="F1954">
        <v>18</v>
      </c>
      <c r="G1954">
        <v>0</v>
      </c>
      <c r="H1954">
        <v>274</v>
      </c>
      <c r="I1954" s="1">
        <v>45962</v>
      </c>
      <c r="J1954">
        <v>18</v>
      </c>
      <c r="K1954" t="s">
        <v>26</v>
      </c>
    </row>
    <row r="1955" spans="1:11">
      <c r="A1955" s="1">
        <v>45988</v>
      </c>
      <c r="B1955" t="s">
        <v>40</v>
      </c>
      <c r="C1955" t="s">
        <v>24</v>
      </c>
      <c r="D1955">
        <v>555</v>
      </c>
      <c r="E1955">
        <v>223</v>
      </c>
      <c r="F1955">
        <v>3</v>
      </c>
      <c r="G1955">
        <v>0</v>
      </c>
      <c r="H1955">
        <v>781</v>
      </c>
      <c r="I1955" s="1">
        <v>45962</v>
      </c>
      <c r="J1955">
        <v>3</v>
      </c>
      <c r="K1955" t="s">
        <v>26</v>
      </c>
    </row>
    <row r="1956" spans="1:11">
      <c r="A1956" s="1">
        <v>45988</v>
      </c>
      <c r="B1956" t="s">
        <v>40</v>
      </c>
      <c r="C1956" t="s">
        <v>32</v>
      </c>
      <c r="D1956">
        <v>407</v>
      </c>
      <c r="E1956">
        <v>33</v>
      </c>
      <c r="F1956">
        <v>6</v>
      </c>
      <c r="G1956">
        <v>0</v>
      </c>
      <c r="H1956">
        <v>447</v>
      </c>
      <c r="I1956" s="1">
        <v>45962</v>
      </c>
      <c r="J1956">
        <v>6</v>
      </c>
      <c r="K1956" t="s">
        <v>26</v>
      </c>
    </row>
    <row r="1957" spans="1:11">
      <c r="A1957" s="1">
        <v>45988</v>
      </c>
      <c r="B1957" t="s">
        <v>40</v>
      </c>
      <c r="C1957" t="s">
        <v>44</v>
      </c>
      <c r="D1957">
        <v>375</v>
      </c>
      <c r="E1957">
        <v>51</v>
      </c>
      <c r="F1957">
        <v>6</v>
      </c>
      <c r="G1957">
        <v>0</v>
      </c>
      <c r="H1957">
        <v>432</v>
      </c>
      <c r="I1957" s="1">
        <v>45962</v>
      </c>
      <c r="J1957">
        <v>6</v>
      </c>
      <c r="K1957" t="s">
        <v>26</v>
      </c>
    </row>
    <row r="1958" spans="1:11">
      <c r="A1958" s="1">
        <v>45988</v>
      </c>
      <c r="B1958" t="s">
        <v>21</v>
      </c>
      <c r="C1958" t="s">
        <v>57</v>
      </c>
      <c r="D1958">
        <v>35</v>
      </c>
      <c r="E1958">
        <v>4</v>
      </c>
      <c r="F1958">
        <v>3</v>
      </c>
      <c r="G1958">
        <v>0</v>
      </c>
      <c r="H1958">
        <v>42</v>
      </c>
      <c r="I1958" s="1">
        <v>45962</v>
      </c>
      <c r="J1958">
        <v>3</v>
      </c>
      <c r="K1958" t="s">
        <v>26</v>
      </c>
    </row>
    <row r="1959" spans="1:11">
      <c r="A1959" s="1">
        <v>45988</v>
      </c>
      <c r="B1959" t="s">
        <v>21</v>
      </c>
      <c r="C1959" t="s">
        <v>44</v>
      </c>
      <c r="D1959">
        <v>8</v>
      </c>
      <c r="E1959">
        <v>0</v>
      </c>
      <c r="F1959">
        <v>1</v>
      </c>
      <c r="G1959">
        <v>0</v>
      </c>
      <c r="H1959">
        <v>9</v>
      </c>
      <c r="I1959" s="1">
        <v>45962</v>
      </c>
      <c r="J1959">
        <v>1</v>
      </c>
      <c r="K1959" t="s">
        <v>26</v>
      </c>
    </row>
    <row r="1960" spans="1:11">
      <c r="A1960" s="1">
        <v>46009</v>
      </c>
      <c r="B1960" t="s">
        <v>40</v>
      </c>
      <c r="C1960" t="s">
        <v>55</v>
      </c>
      <c r="D1960">
        <v>1767</v>
      </c>
      <c r="E1960">
        <v>251</v>
      </c>
      <c r="F1960">
        <v>25</v>
      </c>
      <c r="G1960">
        <v>0</v>
      </c>
      <c r="H1960">
        <v>2043</v>
      </c>
      <c r="I1960" s="1">
        <v>45992</v>
      </c>
      <c r="J1960">
        <v>25</v>
      </c>
      <c r="K1960" t="s">
        <v>26</v>
      </c>
    </row>
    <row r="1961" spans="1:11">
      <c r="A1961" s="1">
        <v>46009</v>
      </c>
      <c r="B1961" t="s">
        <v>40</v>
      </c>
      <c r="C1961" t="s">
        <v>27</v>
      </c>
      <c r="D1961">
        <v>562</v>
      </c>
      <c r="E1961">
        <v>291</v>
      </c>
      <c r="F1961">
        <v>36</v>
      </c>
      <c r="G1961">
        <v>0</v>
      </c>
      <c r="H1961">
        <v>889</v>
      </c>
      <c r="I1961" s="1">
        <v>45992</v>
      </c>
      <c r="J1961">
        <v>36</v>
      </c>
      <c r="K1961" t="s">
        <v>26</v>
      </c>
    </row>
    <row r="1962" spans="1:11">
      <c r="A1962" s="1">
        <v>46009</v>
      </c>
      <c r="B1962" t="s">
        <v>40</v>
      </c>
      <c r="C1962" t="s">
        <v>37</v>
      </c>
      <c r="D1962">
        <v>353</v>
      </c>
      <c r="E1962">
        <v>77</v>
      </c>
      <c r="F1962">
        <v>5</v>
      </c>
      <c r="G1962">
        <v>0</v>
      </c>
      <c r="H1962">
        <v>435</v>
      </c>
      <c r="I1962" s="1">
        <v>45992</v>
      </c>
      <c r="J1962">
        <v>5</v>
      </c>
      <c r="K1962" t="s">
        <v>26</v>
      </c>
    </row>
    <row r="1963" spans="1:11">
      <c r="A1963" s="1">
        <v>46009</v>
      </c>
      <c r="B1963" t="s">
        <v>40</v>
      </c>
      <c r="C1963" t="s">
        <v>56</v>
      </c>
      <c r="D1963">
        <v>628</v>
      </c>
      <c r="E1963">
        <v>174</v>
      </c>
      <c r="F1963">
        <v>28</v>
      </c>
      <c r="G1963">
        <v>0</v>
      </c>
      <c r="H1963">
        <v>830</v>
      </c>
      <c r="I1963" s="1">
        <v>45992</v>
      </c>
      <c r="J1963">
        <v>28</v>
      </c>
      <c r="K1963" t="s">
        <v>26</v>
      </c>
    </row>
    <row r="1964" spans="1:11">
      <c r="A1964" s="1">
        <v>46009</v>
      </c>
      <c r="B1964" t="s">
        <v>40</v>
      </c>
      <c r="C1964" t="s">
        <v>39</v>
      </c>
      <c r="D1964">
        <v>243</v>
      </c>
      <c r="E1964">
        <v>57</v>
      </c>
      <c r="F1964">
        <v>20</v>
      </c>
      <c r="G1964">
        <v>0</v>
      </c>
      <c r="H1964">
        <v>320</v>
      </c>
      <c r="I1964" s="1">
        <v>45992</v>
      </c>
      <c r="J1964">
        <v>20</v>
      </c>
      <c r="K1964" t="s">
        <v>26</v>
      </c>
    </row>
    <row r="1965" spans="1:11">
      <c r="A1965" s="1">
        <v>46009</v>
      </c>
      <c r="B1965" t="s">
        <v>40</v>
      </c>
      <c r="C1965" t="s">
        <v>22</v>
      </c>
      <c r="D1965">
        <v>658</v>
      </c>
      <c r="E1965">
        <v>77</v>
      </c>
      <c r="F1965">
        <v>1</v>
      </c>
      <c r="G1965">
        <v>0</v>
      </c>
      <c r="H1965">
        <v>736</v>
      </c>
      <c r="I1965" s="1">
        <v>45992</v>
      </c>
      <c r="J1965">
        <v>1</v>
      </c>
      <c r="K1965" t="s">
        <v>26</v>
      </c>
    </row>
    <row r="1966" spans="1:11">
      <c r="A1966" s="1">
        <v>46009</v>
      </c>
      <c r="B1966" t="s">
        <v>40</v>
      </c>
      <c r="C1966" t="s">
        <v>32</v>
      </c>
      <c r="D1966">
        <v>413</v>
      </c>
      <c r="E1966">
        <v>42</v>
      </c>
      <c r="F1966">
        <v>3</v>
      </c>
      <c r="G1966">
        <v>0</v>
      </c>
      <c r="H1966">
        <v>458</v>
      </c>
      <c r="I1966" s="1">
        <v>45992</v>
      </c>
      <c r="J1966">
        <v>3</v>
      </c>
      <c r="K1966" t="s">
        <v>26</v>
      </c>
    </row>
    <row r="1967" spans="1:11">
      <c r="A1967" s="1">
        <v>46009</v>
      </c>
      <c r="B1967" t="s">
        <v>40</v>
      </c>
      <c r="C1967" t="s">
        <v>44</v>
      </c>
      <c r="D1967">
        <v>453</v>
      </c>
      <c r="E1967">
        <v>56</v>
      </c>
      <c r="F1967">
        <v>7</v>
      </c>
      <c r="G1967">
        <v>0</v>
      </c>
      <c r="H1967">
        <v>516</v>
      </c>
      <c r="I1967" s="1">
        <v>45992</v>
      </c>
      <c r="J1967">
        <v>7</v>
      </c>
      <c r="K1967" t="s">
        <v>26</v>
      </c>
    </row>
    <row r="1968" spans="1:11">
      <c r="A1968" s="1">
        <v>46051</v>
      </c>
      <c r="B1968" t="s">
        <v>40</v>
      </c>
      <c r="C1968" t="s">
        <v>27</v>
      </c>
      <c r="D1968">
        <v>536</v>
      </c>
      <c r="E1968">
        <v>308</v>
      </c>
      <c r="F1968">
        <v>64</v>
      </c>
      <c r="G1968">
        <v>0</v>
      </c>
      <c r="H1968">
        <v>908</v>
      </c>
      <c r="I1968" s="1">
        <v>46023</v>
      </c>
      <c r="J1968">
        <v>64</v>
      </c>
      <c r="K1968" t="s">
        <v>26</v>
      </c>
    </row>
    <row r="1969" spans="1:11">
      <c r="A1969" s="1">
        <v>46051</v>
      </c>
      <c r="B1969" t="s">
        <v>40</v>
      </c>
      <c r="C1969" t="s">
        <v>37</v>
      </c>
      <c r="D1969">
        <v>502</v>
      </c>
      <c r="E1969">
        <v>183</v>
      </c>
      <c r="F1969">
        <v>6</v>
      </c>
      <c r="G1969">
        <v>0</v>
      </c>
      <c r="H1969">
        <v>690</v>
      </c>
      <c r="I1969" s="1">
        <v>46023</v>
      </c>
      <c r="J1969">
        <v>6</v>
      </c>
      <c r="K1969" t="s">
        <v>26</v>
      </c>
    </row>
    <row r="1970" spans="1:11">
      <c r="A1970" s="1">
        <v>46051</v>
      </c>
      <c r="B1970" t="s">
        <v>40</v>
      </c>
      <c r="C1970" t="s">
        <v>56</v>
      </c>
      <c r="D1970">
        <v>549</v>
      </c>
      <c r="E1970">
        <v>215</v>
      </c>
      <c r="F1970">
        <v>18</v>
      </c>
      <c r="G1970">
        <v>0</v>
      </c>
      <c r="H1970">
        <v>782</v>
      </c>
      <c r="I1970" s="1">
        <v>46023</v>
      </c>
      <c r="J1970">
        <v>18</v>
      </c>
      <c r="K1970" t="s">
        <v>26</v>
      </c>
    </row>
    <row r="1971" spans="1:11">
      <c r="A1971" s="1">
        <v>46051</v>
      </c>
      <c r="B1971" t="s">
        <v>40</v>
      </c>
      <c r="C1971" t="s">
        <v>51</v>
      </c>
      <c r="D1971">
        <v>421</v>
      </c>
      <c r="E1971">
        <v>67</v>
      </c>
      <c r="F1971">
        <v>6</v>
      </c>
      <c r="G1971">
        <v>0</v>
      </c>
      <c r="H1971">
        <v>494</v>
      </c>
      <c r="I1971" s="1">
        <v>46023</v>
      </c>
      <c r="J1971">
        <v>6</v>
      </c>
      <c r="K1971" t="s">
        <v>26</v>
      </c>
    </row>
    <row r="1972" spans="1:11">
      <c r="A1972" s="1">
        <v>46051</v>
      </c>
      <c r="B1972" t="s">
        <v>40</v>
      </c>
      <c r="C1972" t="s">
        <v>39</v>
      </c>
      <c r="D1972">
        <v>274</v>
      </c>
      <c r="E1972">
        <v>66</v>
      </c>
      <c r="F1972">
        <v>29</v>
      </c>
      <c r="G1972">
        <v>0</v>
      </c>
      <c r="H1972">
        <v>369</v>
      </c>
      <c r="I1972" s="1">
        <v>46023</v>
      </c>
      <c r="J1972">
        <v>29</v>
      </c>
      <c r="K1972" t="s">
        <v>26</v>
      </c>
    </row>
    <row r="1973" spans="1:11">
      <c r="A1973" s="1">
        <v>46051</v>
      </c>
      <c r="B1973" t="s">
        <v>40</v>
      </c>
      <c r="C1973" t="s">
        <v>32</v>
      </c>
      <c r="D1973">
        <v>463</v>
      </c>
      <c r="E1973">
        <v>99</v>
      </c>
      <c r="F1973">
        <v>5</v>
      </c>
      <c r="G1973">
        <v>0</v>
      </c>
      <c r="H1973">
        <v>567</v>
      </c>
      <c r="I1973" s="1">
        <v>46023</v>
      </c>
      <c r="J1973">
        <v>5</v>
      </c>
      <c r="K1973" t="s">
        <v>26</v>
      </c>
    </row>
    <row r="1974" spans="1:11">
      <c r="A1974" s="1">
        <v>46051</v>
      </c>
      <c r="B1974" t="s">
        <v>40</v>
      </c>
      <c r="C1974" t="s">
        <v>44</v>
      </c>
      <c r="D1974">
        <v>535</v>
      </c>
      <c r="E1974">
        <v>82</v>
      </c>
      <c r="F1974">
        <v>9</v>
      </c>
      <c r="G1974">
        <v>0</v>
      </c>
      <c r="H1974">
        <v>626</v>
      </c>
      <c r="I1974" s="1">
        <v>46023</v>
      </c>
      <c r="J1974">
        <v>9</v>
      </c>
      <c r="K1974" t="s">
        <v>26</v>
      </c>
    </row>
    <row r="1975" spans="1:11">
      <c r="A1975" s="1">
        <v>46051</v>
      </c>
      <c r="B1975" t="s">
        <v>21</v>
      </c>
      <c r="C1975" t="s">
        <v>44</v>
      </c>
      <c r="D1975">
        <v>12</v>
      </c>
      <c r="E1975">
        <v>1</v>
      </c>
      <c r="F1975">
        <v>1</v>
      </c>
      <c r="G1975">
        <v>0</v>
      </c>
      <c r="H1975">
        <v>15</v>
      </c>
      <c r="I1975" s="1">
        <v>46023</v>
      </c>
      <c r="J1975">
        <v>1</v>
      </c>
      <c r="K1975" t="s">
        <v>26</v>
      </c>
    </row>
    <row r="1976" spans="1:11">
      <c r="A1976" s="1">
        <v>46051</v>
      </c>
      <c r="B1976" t="s">
        <v>21</v>
      </c>
      <c r="C1976" t="s">
        <v>59</v>
      </c>
      <c r="D1976">
        <v>205</v>
      </c>
      <c r="E1976">
        <v>96</v>
      </c>
      <c r="F1976">
        <v>23</v>
      </c>
      <c r="G1976">
        <v>0</v>
      </c>
      <c r="H1976">
        <v>324</v>
      </c>
      <c r="I1976" s="1">
        <v>46023</v>
      </c>
      <c r="J1976">
        <v>23</v>
      </c>
      <c r="K1976" t="s">
        <v>26</v>
      </c>
    </row>
    <row r="1977" spans="1:11">
      <c r="A1977" s="1">
        <v>46079</v>
      </c>
      <c r="B1977" t="s">
        <v>40</v>
      </c>
      <c r="C1977" t="s">
        <v>27</v>
      </c>
      <c r="D1977">
        <v>548</v>
      </c>
      <c r="E1977">
        <v>263</v>
      </c>
      <c r="F1977">
        <v>101</v>
      </c>
      <c r="G1977">
        <v>0</v>
      </c>
      <c r="H1977">
        <v>912</v>
      </c>
      <c r="I1977" s="1">
        <v>46054</v>
      </c>
      <c r="J1977">
        <v>101</v>
      </c>
      <c r="K1977" t="s">
        <v>26</v>
      </c>
    </row>
    <row r="1978" spans="1:11">
      <c r="A1978" s="1">
        <v>46079</v>
      </c>
      <c r="B1978" t="s">
        <v>40</v>
      </c>
      <c r="C1978" t="s">
        <v>56</v>
      </c>
      <c r="D1978">
        <v>550</v>
      </c>
      <c r="E1978">
        <v>204</v>
      </c>
      <c r="F1978">
        <v>13</v>
      </c>
      <c r="G1978">
        <v>0</v>
      </c>
      <c r="H1978">
        <v>767</v>
      </c>
      <c r="I1978" s="1">
        <v>46054</v>
      </c>
      <c r="J1978">
        <v>13</v>
      </c>
      <c r="K1978" t="s">
        <v>26</v>
      </c>
    </row>
    <row r="1979" spans="1:11">
      <c r="A1979" s="1">
        <v>46079</v>
      </c>
      <c r="B1979" t="s">
        <v>40</v>
      </c>
      <c r="C1979" t="s">
        <v>28</v>
      </c>
      <c r="D1979">
        <v>267</v>
      </c>
      <c r="E1979">
        <v>118</v>
      </c>
      <c r="F1979">
        <v>10</v>
      </c>
      <c r="G1979">
        <v>0</v>
      </c>
      <c r="H1979">
        <v>394</v>
      </c>
      <c r="I1979" s="1">
        <v>46054</v>
      </c>
      <c r="J1979">
        <v>10</v>
      </c>
      <c r="K1979" t="s">
        <v>26</v>
      </c>
    </row>
    <row r="1980" spans="1:11">
      <c r="A1980" s="1">
        <v>46079</v>
      </c>
      <c r="B1980" t="s">
        <v>40</v>
      </c>
      <c r="C1980" t="s">
        <v>39</v>
      </c>
      <c r="D1980">
        <v>317</v>
      </c>
      <c r="E1980">
        <v>67</v>
      </c>
      <c r="F1980">
        <v>26</v>
      </c>
      <c r="G1980">
        <v>0</v>
      </c>
      <c r="H1980">
        <v>410</v>
      </c>
      <c r="I1980" s="1">
        <v>46054</v>
      </c>
      <c r="J1980">
        <v>26</v>
      </c>
      <c r="K1980" t="s">
        <v>26</v>
      </c>
    </row>
    <row r="1981" spans="1:11">
      <c r="A1981" s="1">
        <v>46079</v>
      </c>
      <c r="B1981" t="s">
        <v>40</v>
      </c>
      <c r="C1981" t="s">
        <v>22</v>
      </c>
      <c r="D1981">
        <v>591</v>
      </c>
      <c r="E1981">
        <v>76</v>
      </c>
      <c r="F1981">
        <v>1</v>
      </c>
      <c r="G1981">
        <v>0</v>
      </c>
      <c r="H1981">
        <v>668</v>
      </c>
      <c r="I1981" s="1">
        <v>46054</v>
      </c>
      <c r="J1981">
        <v>1</v>
      </c>
      <c r="K1981" t="s">
        <v>26</v>
      </c>
    </row>
    <row r="1982" spans="1:11">
      <c r="A1982" s="1">
        <v>46079</v>
      </c>
      <c r="B1982" t="s">
        <v>40</v>
      </c>
      <c r="C1982" t="s">
        <v>44</v>
      </c>
      <c r="D1982">
        <v>510</v>
      </c>
      <c r="E1982">
        <v>82</v>
      </c>
      <c r="F1982">
        <v>13</v>
      </c>
      <c r="G1982">
        <v>0</v>
      </c>
      <c r="H1982">
        <v>605</v>
      </c>
      <c r="I1982" s="1">
        <v>46054</v>
      </c>
      <c r="J1982">
        <v>13</v>
      </c>
      <c r="K1982" t="s">
        <v>26</v>
      </c>
    </row>
    <row r="1983" spans="1:11">
      <c r="A1983" s="1">
        <v>46079</v>
      </c>
      <c r="B1983" t="s">
        <v>21</v>
      </c>
      <c r="C1983" t="s">
        <v>59</v>
      </c>
      <c r="D1983">
        <v>210</v>
      </c>
      <c r="E1983">
        <v>84</v>
      </c>
      <c r="F1983">
        <v>15</v>
      </c>
      <c r="G1983">
        <v>0</v>
      </c>
      <c r="H1983">
        <v>309</v>
      </c>
      <c r="I1983" s="1">
        <v>46054</v>
      </c>
      <c r="J1983">
        <v>15</v>
      </c>
      <c r="K1983" t="s">
        <v>26</v>
      </c>
    </row>
    <row r="1984" spans="1:11">
      <c r="A1984" s="1">
        <v>46107</v>
      </c>
      <c r="B1984" t="s">
        <v>40</v>
      </c>
      <c r="C1984" t="s">
        <v>27</v>
      </c>
      <c r="D1984">
        <v>490</v>
      </c>
      <c r="E1984">
        <v>248</v>
      </c>
      <c r="F1984">
        <v>131</v>
      </c>
      <c r="G1984">
        <v>0</v>
      </c>
      <c r="H1984">
        <v>869</v>
      </c>
      <c r="I1984" s="1">
        <v>46082</v>
      </c>
      <c r="J1984">
        <v>131</v>
      </c>
      <c r="K1984" t="s">
        <v>26</v>
      </c>
    </row>
    <row r="1985" spans="1:11">
      <c r="A1985" s="1">
        <v>46107</v>
      </c>
      <c r="B1985" t="s">
        <v>40</v>
      </c>
      <c r="C1985" t="s">
        <v>56</v>
      </c>
      <c r="D1985">
        <v>527</v>
      </c>
      <c r="E1985">
        <v>223</v>
      </c>
      <c r="F1985">
        <v>22</v>
      </c>
      <c r="G1985">
        <v>0</v>
      </c>
      <c r="H1985">
        <v>772</v>
      </c>
      <c r="I1985" s="1">
        <v>46082</v>
      </c>
      <c r="J1985">
        <v>22</v>
      </c>
      <c r="K1985" t="s">
        <v>26</v>
      </c>
    </row>
    <row r="1986" spans="1:11">
      <c r="A1986" s="1">
        <v>46107</v>
      </c>
      <c r="B1986" t="s">
        <v>40</v>
      </c>
      <c r="C1986" t="s">
        <v>39</v>
      </c>
      <c r="D1986">
        <v>345</v>
      </c>
      <c r="E1986">
        <v>75</v>
      </c>
      <c r="F1986">
        <v>29</v>
      </c>
      <c r="G1986">
        <v>0</v>
      </c>
      <c r="H1986">
        <v>449</v>
      </c>
      <c r="I1986" s="1">
        <v>46082</v>
      </c>
      <c r="J1986">
        <v>29</v>
      </c>
      <c r="K1986" t="s">
        <v>26</v>
      </c>
    </row>
    <row r="1987" spans="1:11">
      <c r="A1987" s="1">
        <v>46107</v>
      </c>
      <c r="B1987" t="s">
        <v>40</v>
      </c>
      <c r="C1987" t="s">
        <v>32</v>
      </c>
      <c r="D1987">
        <v>409</v>
      </c>
      <c r="E1987">
        <v>87</v>
      </c>
      <c r="F1987">
        <v>8</v>
      </c>
      <c r="G1987">
        <v>0</v>
      </c>
      <c r="H1987">
        <v>504</v>
      </c>
      <c r="I1987" s="1">
        <v>46082</v>
      </c>
      <c r="J1987">
        <v>8</v>
      </c>
      <c r="K1987" t="s">
        <v>26</v>
      </c>
    </row>
    <row r="1988" spans="1:11">
      <c r="A1988" s="1">
        <v>46107</v>
      </c>
      <c r="B1988" t="s">
        <v>40</v>
      </c>
      <c r="C1988" t="s">
        <v>44</v>
      </c>
      <c r="D1988">
        <v>477</v>
      </c>
      <c r="E1988">
        <v>78</v>
      </c>
      <c r="F1988">
        <v>10</v>
      </c>
      <c r="G1988">
        <v>0</v>
      </c>
      <c r="H1988">
        <v>566</v>
      </c>
      <c r="I1988" s="1">
        <v>46082</v>
      </c>
      <c r="J1988">
        <v>10</v>
      </c>
      <c r="K1988" t="s">
        <v>26</v>
      </c>
    </row>
    <row r="1989" spans="1:11">
      <c r="A1989" s="1">
        <v>46107</v>
      </c>
      <c r="B1989" t="s">
        <v>21</v>
      </c>
      <c r="C1989" t="s">
        <v>41</v>
      </c>
      <c r="D1989">
        <v>16</v>
      </c>
      <c r="E1989">
        <v>3</v>
      </c>
      <c r="F1989">
        <v>3</v>
      </c>
      <c r="G1989">
        <v>0</v>
      </c>
      <c r="H1989">
        <v>21</v>
      </c>
      <c r="I1989" s="1">
        <v>46082</v>
      </c>
      <c r="J1989">
        <v>3</v>
      </c>
      <c r="K1989" t="s">
        <v>26</v>
      </c>
    </row>
    <row r="1990" spans="1:11">
      <c r="A1990" s="1">
        <v>46107</v>
      </c>
      <c r="B1990" t="s">
        <v>21</v>
      </c>
      <c r="C1990" t="s">
        <v>44</v>
      </c>
      <c r="D1990">
        <v>6</v>
      </c>
      <c r="E1990">
        <v>3</v>
      </c>
      <c r="F1990">
        <v>1</v>
      </c>
      <c r="G1990">
        <v>0</v>
      </c>
      <c r="H1990">
        <v>10</v>
      </c>
      <c r="I1990" s="1">
        <v>46082</v>
      </c>
      <c r="J1990">
        <v>1</v>
      </c>
      <c r="K1990" t="s">
        <v>26</v>
      </c>
    </row>
    <row r="1991" spans="1:11">
      <c r="A1991" s="1">
        <v>46107</v>
      </c>
      <c r="B1991" t="s">
        <v>21</v>
      </c>
      <c r="C1991" t="s">
        <v>59</v>
      </c>
      <c r="D1991">
        <v>198</v>
      </c>
      <c r="E1991">
        <v>92</v>
      </c>
      <c r="F1991">
        <v>20</v>
      </c>
      <c r="G1991">
        <v>0</v>
      </c>
      <c r="H1991">
        <v>311</v>
      </c>
      <c r="I1991" s="1">
        <v>46082</v>
      </c>
      <c r="J1991">
        <v>20</v>
      </c>
      <c r="K1991" t="s">
        <v>26</v>
      </c>
    </row>
    <row r="1992" spans="1:11">
      <c r="A1992" s="1">
        <v>46142</v>
      </c>
      <c r="B1992" t="s">
        <v>40</v>
      </c>
      <c r="C1992" t="s">
        <v>30</v>
      </c>
      <c r="D1992">
        <v>592</v>
      </c>
      <c r="E1992">
        <v>92</v>
      </c>
      <c r="F1992">
        <v>5</v>
      </c>
      <c r="G1992">
        <v>0</v>
      </c>
      <c r="H1992">
        <v>689</v>
      </c>
      <c r="I1992" s="1">
        <v>46113</v>
      </c>
      <c r="J1992">
        <v>5</v>
      </c>
      <c r="K1992" t="s">
        <v>26</v>
      </c>
    </row>
    <row r="1993" spans="1:11">
      <c r="A1993" s="1">
        <v>46142</v>
      </c>
      <c r="B1993" t="s">
        <v>40</v>
      </c>
      <c r="C1993" t="s">
        <v>27</v>
      </c>
      <c r="D1993">
        <v>442</v>
      </c>
      <c r="E1993">
        <v>218</v>
      </c>
      <c r="F1993">
        <v>171</v>
      </c>
      <c r="G1993">
        <v>0</v>
      </c>
      <c r="H1993">
        <v>831</v>
      </c>
      <c r="I1993" s="1">
        <v>46113</v>
      </c>
      <c r="J1993">
        <v>171</v>
      </c>
      <c r="K1993" t="s">
        <v>26</v>
      </c>
    </row>
    <row r="1994" spans="1:11">
      <c r="A1994" s="1">
        <v>46142</v>
      </c>
      <c r="B1994" t="s">
        <v>40</v>
      </c>
      <c r="C1994" t="s">
        <v>56</v>
      </c>
      <c r="D1994">
        <v>551</v>
      </c>
      <c r="E1994">
        <v>231</v>
      </c>
      <c r="F1994">
        <v>40</v>
      </c>
      <c r="G1994">
        <v>0</v>
      </c>
      <c r="H1994">
        <v>822</v>
      </c>
      <c r="I1994" s="1">
        <v>46113</v>
      </c>
      <c r="J1994">
        <v>40</v>
      </c>
      <c r="K1994" t="s">
        <v>26</v>
      </c>
    </row>
    <row r="1995" spans="1:11">
      <c r="A1995" s="1">
        <v>46142</v>
      </c>
      <c r="B1995" t="s">
        <v>40</v>
      </c>
      <c r="C1995" t="s">
        <v>51</v>
      </c>
      <c r="D1995">
        <v>446</v>
      </c>
      <c r="E1995">
        <v>87</v>
      </c>
      <c r="F1995">
        <v>10</v>
      </c>
      <c r="G1995">
        <v>0</v>
      </c>
      <c r="H1995">
        <v>543</v>
      </c>
      <c r="I1995" s="1">
        <v>46113</v>
      </c>
      <c r="J1995">
        <v>10</v>
      </c>
      <c r="K1995" t="s">
        <v>26</v>
      </c>
    </row>
    <row r="1996" spans="1:11">
      <c r="A1996" s="1">
        <v>46142</v>
      </c>
      <c r="B1996" t="s">
        <v>40</v>
      </c>
      <c r="C1996" t="s">
        <v>34</v>
      </c>
      <c r="D1996">
        <v>451</v>
      </c>
      <c r="E1996">
        <v>22</v>
      </c>
      <c r="F1996">
        <v>3</v>
      </c>
      <c r="G1996">
        <v>0</v>
      </c>
      <c r="H1996">
        <v>476</v>
      </c>
      <c r="I1996" s="1">
        <v>46113</v>
      </c>
      <c r="J1996">
        <v>3</v>
      </c>
      <c r="K1996" t="s">
        <v>26</v>
      </c>
    </row>
    <row r="1997" spans="1:11">
      <c r="A1997" s="1">
        <v>46142</v>
      </c>
      <c r="B1997" t="s">
        <v>40</v>
      </c>
      <c r="C1997" t="s">
        <v>32</v>
      </c>
      <c r="D1997">
        <v>429</v>
      </c>
      <c r="E1997">
        <v>98</v>
      </c>
      <c r="F1997">
        <v>8</v>
      </c>
      <c r="G1997">
        <v>0</v>
      </c>
      <c r="H1997">
        <v>534</v>
      </c>
      <c r="I1997" s="1">
        <v>46113</v>
      </c>
      <c r="J1997">
        <v>8</v>
      </c>
      <c r="K1997" t="s">
        <v>26</v>
      </c>
    </row>
    <row r="1998" spans="1:11">
      <c r="A1998" s="1">
        <v>46142</v>
      </c>
      <c r="B1998" t="s">
        <v>40</v>
      </c>
      <c r="C1998" t="s">
        <v>44</v>
      </c>
      <c r="D1998">
        <v>507</v>
      </c>
      <c r="E1998">
        <v>78</v>
      </c>
      <c r="F1998">
        <v>6</v>
      </c>
      <c r="G1998">
        <v>0</v>
      </c>
      <c r="H1998">
        <v>591</v>
      </c>
      <c r="I1998" s="1">
        <v>46113</v>
      </c>
      <c r="J1998">
        <v>6</v>
      </c>
      <c r="K1998" t="s">
        <v>26</v>
      </c>
    </row>
    <row r="1999" spans="1:11">
      <c r="A1999" s="1">
        <v>46170</v>
      </c>
      <c r="B1999" t="s">
        <v>40</v>
      </c>
      <c r="C1999" t="s">
        <v>30</v>
      </c>
      <c r="D1999">
        <v>595</v>
      </c>
      <c r="E1999">
        <v>91</v>
      </c>
      <c r="F1999">
        <v>6</v>
      </c>
      <c r="G1999">
        <v>0</v>
      </c>
      <c r="H1999">
        <v>692</v>
      </c>
      <c r="I1999" s="1">
        <v>46143</v>
      </c>
      <c r="J1999">
        <v>6</v>
      </c>
      <c r="K1999" t="s">
        <v>26</v>
      </c>
    </row>
    <row r="2000" spans="1:11">
      <c r="A2000" s="1">
        <v>46170</v>
      </c>
      <c r="B2000" t="s">
        <v>40</v>
      </c>
      <c r="C2000" t="s">
        <v>27</v>
      </c>
      <c r="D2000">
        <v>502</v>
      </c>
      <c r="E2000">
        <v>184</v>
      </c>
      <c r="F2000">
        <v>204</v>
      </c>
      <c r="G2000">
        <v>0</v>
      </c>
      <c r="H2000">
        <v>890</v>
      </c>
      <c r="I2000" s="1">
        <v>46143</v>
      </c>
      <c r="J2000">
        <v>204</v>
      </c>
      <c r="K2000" t="s">
        <v>26</v>
      </c>
    </row>
    <row r="2001" spans="1:11">
      <c r="A2001" s="1">
        <v>46170</v>
      </c>
      <c r="B2001" t="s">
        <v>40</v>
      </c>
      <c r="C2001" t="s">
        <v>37</v>
      </c>
      <c r="D2001">
        <v>593</v>
      </c>
      <c r="E2001">
        <v>186</v>
      </c>
      <c r="F2001">
        <v>44</v>
      </c>
      <c r="G2001">
        <v>0</v>
      </c>
      <c r="H2001">
        <v>822</v>
      </c>
      <c r="I2001" s="1">
        <v>46143</v>
      </c>
      <c r="J2001">
        <v>44</v>
      </c>
      <c r="K2001" t="s">
        <v>26</v>
      </c>
    </row>
    <row r="2002" spans="1:11">
      <c r="A2002" s="1">
        <v>46170</v>
      </c>
      <c r="B2002" t="s">
        <v>40</v>
      </c>
      <c r="C2002" t="s">
        <v>56</v>
      </c>
      <c r="D2002">
        <v>542</v>
      </c>
      <c r="E2002">
        <v>236</v>
      </c>
      <c r="F2002">
        <v>46</v>
      </c>
      <c r="G2002">
        <v>0</v>
      </c>
      <c r="H2002">
        <v>824</v>
      </c>
      <c r="I2002" s="1">
        <v>46143</v>
      </c>
      <c r="J2002">
        <v>46</v>
      </c>
      <c r="K2002" t="s">
        <v>26</v>
      </c>
    </row>
    <row r="2003" spans="1:11">
      <c r="A2003" s="1">
        <v>46170</v>
      </c>
      <c r="B2003" t="s">
        <v>40</v>
      </c>
      <c r="C2003" t="s">
        <v>51</v>
      </c>
      <c r="D2003">
        <v>494</v>
      </c>
      <c r="E2003">
        <v>100</v>
      </c>
      <c r="F2003">
        <v>10</v>
      </c>
      <c r="G2003">
        <v>0</v>
      </c>
      <c r="H2003">
        <v>603</v>
      </c>
      <c r="I2003" s="1">
        <v>46143</v>
      </c>
      <c r="J2003">
        <v>10</v>
      </c>
      <c r="K2003" t="s">
        <v>26</v>
      </c>
    </row>
    <row r="2004" spans="1:11">
      <c r="A2004" s="1">
        <v>46170</v>
      </c>
      <c r="B2004" t="s">
        <v>21</v>
      </c>
      <c r="C2004" t="s">
        <v>59</v>
      </c>
      <c r="D2004">
        <v>150</v>
      </c>
      <c r="E2004">
        <v>87</v>
      </c>
      <c r="F2004">
        <v>13</v>
      </c>
      <c r="G2004">
        <v>0</v>
      </c>
      <c r="H2004">
        <v>249</v>
      </c>
      <c r="I2004" s="1">
        <v>46143</v>
      </c>
      <c r="J2004">
        <v>13</v>
      </c>
      <c r="K2004" t="s">
        <v>26</v>
      </c>
    </row>
    <row r="2005" spans="1:11">
      <c r="A2005" s="1">
        <v>46198</v>
      </c>
      <c r="B2005" t="s">
        <v>40</v>
      </c>
      <c r="C2005" t="s">
        <v>30</v>
      </c>
      <c r="D2005">
        <v>598</v>
      </c>
      <c r="E2005">
        <v>85</v>
      </c>
      <c r="F2005">
        <v>6</v>
      </c>
      <c r="G2005">
        <v>0</v>
      </c>
      <c r="H2005">
        <v>689</v>
      </c>
      <c r="I2005" s="1">
        <v>46174</v>
      </c>
      <c r="J2005">
        <v>6</v>
      </c>
      <c r="K2005" t="s">
        <v>26</v>
      </c>
    </row>
    <row r="2006" spans="1:11">
      <c r="A2006" s="1">
        <v>46198</v>
      </c>
      <c r="B2006" t="s">
        <v>40</v>
      </c>
      <c r="C2006" t="s">
        <v>37</v>
      </c>
      <c r="D2006">
        <v>532</v>
      </c>
      <c r="E2006">
        <v>221</v>
      </c>
      <c r="F2006">
        <v>69</v>
      </c>
      <c r="G2006">
        <v>0</v>
      </c>
      <c r="H2006">
        <v>823</v>
      </c>
      <c r="I2006" s="1">
        <v>46174</v>
      </c>
      <c r="J2006">
        <v>69</v>
      </c>
      <c r="K2006" t="s">
        <v>26</v>
      </c>
    </row>
    <row r="2007" spans="1:11">
      <c r="A2007" s="1">
        <v>46198</v>
      </c>
      <c r="B2007" t="s">
        <v>40</v>
      </c>
      <c r="C2007" t="s">
        <v>56</v>
      </c>
      <c r="D2007">
        <v>551</v>
      </c>
      <c r="E2007">
        <v>218</v>
      </c>
      <c r="F2007">
        <v>41</v>
      </c>
      <c r="G2007">
        <v>0</v>
      </c>
      <c r="H2007">
        <v>810</v>
      </c>
      <c r="I2007" s="1">
        <v>46174</v>
      </c>
      <c r="J2007">
        <v>41</v>
      </c>
      <c r="K2007" t="s">
        <v>26</v>
      </c>
    </row>
    <row r="2008" spans="1:11">
      <c r="A2008" s="1">
        <v>46198</v>
      </c>
      <c r="B2008" t="s">
        <v>40</v>
      </c>
      <c r="C2008" t="s">
        <v>28</v>
      </c>
      <c r="D2008">
        <v>191</v>
      </c>
      <c r="E2008">
        <v>122</v>
      </c>
      <c r="F2008">
        <v>3</v>
      </c>
      <c r="G2008">
        <v>0</v>
      </c>
      <c r="H2008">
        <v>316</v>
      </c>
      <c r="I2008" s="1">
        <v>46174</v>
      </c>
      <c r="J2008">
        <v>3</v>
      </c>
      <c r="K2008" t="s">
        <v>26</v>
      </c>
    </row>
    <row r="2009" spans="1:11">
      <c r="A2009" s="1">
        <v>46198</v>
      </c>
      <c r="B2009" t="s">
        <v>40</v>
      </c>
      <c r="C2009" t="s">
        <v>22</v>
      </c>
      <c r="D2009">
        <v>575</v>
      </c>
      <c r="E2009">
        <v>82</v>
      </c>
      <c r="F2009">
        <v>7</v>
      </c>
      <c r="G2009">
        <v>0</v>
      </c>
      <c r="H2009">
        <v>664</v>
      </c>
      <c r="I2009" s="1">
        <v>46174</v>
      </c>
      <c r="J2009">
        <v>7</v>
      </c>
      <c r="K2009" t="s">
        <v>26</v>
      </c>
    </row>
    <row r="2010" spans="1:11">
      <c r="A2010" s="1">
        <v>46198</v>
      </c>
      <c r="B2010" t="s">
        <v>40</v>
      </c>
      <c r="C2010" t="s">
        <v>34</v>
      </c>
      <c r="D2010">
        <v>439</v>
      </c>
      <c r="E2010">
        <v>53</v>
      </c>
      <c r="F2010">
        <v>3</v>
      </c>
      <c r="G2010">
        <v>0</v>
      </c>
      <c r="H2010">
        <v>495</v>
      </c>
      <c r="I2010" s="1">
        <v>46174</v>
      </c>
      <c r="J2010">
        <v>3</v>
      </c>
      <c r="K2010" t="s">
        <v>26</v>
      </c>
    </row>
    <row r="2011" spans="1:11">
      <c r="A2011" s="1">
        <v>46198</v>
      </c>
      <c r="B2011" t="s">
        <v>40</v>
      </c>
      <c r="C2011" t="s">
        <v>62</v>
      </c>
      <c r="D2011">
        <v>367</v>
      </c>
      <c r="E2011">
        <v>98</v>
      </c>
      <c r="F2011">
        <v>17</v>
      </c>
      <c r="G2011">
        <v>0</v>
      </c>
      <c r="H2011">
        <v>481</v>
      </c>
      <c r="I2011" s="1">
        <v>46174</v>
      </c>
      <c r="J2011">
        <v>17</v>
      </c>
      <c r="K2011" t="s">
        <v>26</v>
      </c>
    </row>
    <row r="2012" spans="1:11">
      <c r="A2012" s="1">
        <v>46198</v>
      </c>
      <c r="B2012" t="s">
        <v>40</v>
      </c>
      <c r="C2012" t="s">
        <v>32</v>
      </c>
      <c r="D2012">
        <v>463</v>
      </c>
      <c r="E2012">
        <v>112</v>
      </c>
      <c r="F2012">
        <v>7</v>
      </c>
      <c r="G2012">
        <v>0</v>
      </c>
      <c r="H2012">
        <v>582</v>
      </c>
      <c r="I2012" s="1">
        <v>46174</v>
      </c>
      <c r="J2012">
        <v>7</v>
      </c>
      <c r="K2012" t="s">
        <v>26</v>
      </c>
    </row>
    <row r="2013" spans="1:11">
      <c r="A2013" s="1">
        <v>46198</v>
      </c>
      <c r="B2013" t="s">
        <v>21</v>
      </c>
      <c r="C2013" t="s">
        <v>49</v>
      </c>
      <c r="D2013">
        <v>17</v>
      </c>
      <c r="E2013">
        <v>1</v>
      </c>
      <c r="F2013">
        <v>1</v>
      </c>
      <c r="G2013">
        <v>0</v>
      </c>
      <c r="H2013">
        <v>19</v>
      </c>
      <c r="I2013" s="1">
        <v>46174</v>
      </c>
      <c r="J2013">
        <v>1</v>
      </c>
      <c r="K2013" t="s">
        <v>26</v>
      </c>
    </row>
    <row r="2014" spans="1:11">
      <c r="A2014" s="1">
        <v>46233</v>
      </c>
      <c r="B2014" t="s">
        <v>40</v>
      </c>
      <c r="C2014" t="s">
        <v>30</v>
      </c>
      <c r="D2014">
        <v>599</v>
      </c>
      <c r="E2014">
        <v>72</v>
      </c>
      <c r="F2014">
        <v>9</v>
      </c>
      <c r="G2014">
        <v>0</v>
      </c>
      <c r="H2014">
        <v>680</v>
      </c>
      <c r="I2014" s="1">
        <v>46204</v>
      </c>
      <c r="J2014">
        <v>9</v>
      </c>
      <c r="K2014" t="s">
        <v>26</v>
      </c>
    </row>
    <row r="2015" spans="1:11">
      <c r="A2015" s="1">
        <v>46233</v>
      </c>
      <c r="B2015" t="s">
        <v>40</v>
      </c>
      <c r="C2015" t="s">
        <v>37</v>
      </c>
      <c r="D2015">
        <v>555</v>
      </c>
      <c r="E2015">
        <v>235</v>
      </c>
      <c r="F2015">
        <v>91</v>
      </c>
      <c r="G2015">
        <v>0</v>
      </c>
      <c r="H2015">
        <v>881</v>
      </c>
      <c r="I2015" s="1">
        <v>46204</v>
      </c>
      <c r="J2015">
        <v>91</v>
      </c>
      <c r="K2015" t="s">
        <v>26</v>
      </c>
    </row>
    <row r="2016" spans="1:11">
      <c r="A2016" s="1">
        <v>46233</v>
      </c>
      <c r="B2016" t="s">
        <v>40</v>
      </c>
      <c r="C2016" t="s">
        <v>56</v>
      </c>
      <c r="D2016">
        <v>584</v>
      </c>
      <c r="E2016">
        <v>203</v>
      </c>
      <c r="F2016">
        <v>39</v>
      </c>
      <c r="G2016">
        <v>0</v>
      </c>
      <c r="H2016">
        <v>826</v>
      </c>
      <c r="I2016" s="1">
        <v>46204</v>
      </c>
      <c r="J2016">
        <v>39</v>
      </c>
      <c r="K2016" t="s">
        <v>26</v>
      </c>
    </row>
    <row r="2017" spans="1:11">
      <c r="A2017" s="1">
        <v>46233</v>
      </c>
      <c r="B2017" t="s">
        <v>40</v>
      </c>
      <c r="C2017" t="s">
        <v>28</v>
      </c>
      <c r="D2017">
        <v>218</v>
      </c>
      <c r="E2017">
        <v>72</v>
      </c>
      <c r="F2017">
        <v>7</v>
      </c>
      <c r="G2017">
        <v>0</v>
      </c>
      <c r="H2017">
        <v>297</v>
      </c>
      <c r="I2017" s="1">
        <v>46204</v>
      </c>
      <c r="J2017">
        <v>7</v>
      </c>
      <c r="K2017" t="s">
        <v>26</v>
      </c>
    </row>
    <row r="2018" spans="1:11">
      <c r="A2018" s="1">
        <v>46233</v>
      </c>
      <c r="B2018" t="s">
        <v>40</v>
      </c>
      <c r="C2018" t="s">
        <v>22</v>
      </c>
      <c r="D2018">
        <v>593</v>
      </c>
      <c r="E2018">
        <v>33</v>
      </c>
      <c r="F2018">
        <v>6</v>
      </c>
      <c r="G2018">
        <v>0</v>
      </c>
      <c r="H2018">
        <v>632</v>
      </c>
      <c r="I2018" s="1">
        <v>46204</v>
      </c>
      <c r="J2018">
        <v>6</v>
      </c>
      <c r="K2018" t="s">
        <v>26</v>
      </c>
    </row>
    <row r="2019" spans="1:11">
      <c r="A2019" s="1">
        <v>46233</v>
      </c>
      <c r="B2019" t="s">
        <v>40</v>
      </c>
      <c r="C2019" t="s">
        <v>62</v>
      </c>
      <c r="D2019">
        <v>399</v>
      </c>
      <c r="E2019">
        <v>90</v>
      </c>
      <c r="F2019">
        <v>8</v>
      </c>
      <c r="G2019">
        <v>0</v>
      </c>
      <c r="H2019">
        <v>497</v>
      </c>
      <c r="I2019" s="1">
        <v>46204</v>
      </c>
      <c r="J2019">
        <v>8</v>
      </c>
      <c r="K2019" t="s">
        <v>26</v>
      </c>
    </row>
    <row r="2020" spans="1:11">
      <c r="A2020" s="1">
        <v>46233</v>
      </c>
      <c r="B2020" t="s">
        <v>40</v>
      </c>
      <c r="C2020" t="s">
        <v>24</v>
      </c>
      <c r="D2020">
        <v>747</v>
      </c>
      <c r="E2020">
        <v>252</v>
      </c>
      <c r="F2020">
        <v>62</v>
      </c>
      <c r="G2020">
        <v>0</v>
      </c>
      <c r="H2020">
        <v>1060</v>
      </c>
      <c r="I2020" s="1">
        <v>46204</v>
      </c>
      <c r="J2020">
        <v>62</v>
      </c>
      <c r="K2020" t="s">
        <v>26</v>
      </c>
    </row>
    <row r="2021" spans="1:11">
      <c r="A2021" s="1">
        <v>46233</v>
      </c>
      <c r="B2021" t="s">
        <v>40</v>
      </c>
      <c r="C2021" t="s">
        <v>32</v>
      </c>
      <c r="D2021">
        <v>447</v>
      </c>
      <c r="E2021">
        <v>71</v>
      </c>
      <c r="F2021">
        <v>14</v>
      </c>
      <c r="G2021">
        <v>0</v>
      </c>
      <c r="H2021">
        <v>532</v>
      </c>
      <c r="I2021" s="1">
        <v>46204</v>
      </c>
      <c r="J2021">
        <v>14</v>
      </c>
      <c r="K2021" t="s">
        <v>26</v>
      </c>
    </row>
    <row r="2022" spans="1:11">
      <c r="A2022" s="1">
        <v>46233</v>
      </c>
      <c r="B2022" t="s">
        <v>40</v>
      </c>
      <c r="C2022" t="s">
        <v>44</v>
      </c>
      <c r="D2022">
        <v>548</v>
      </c>
      <c r="E2022">
        <v>88</v>
      </c>
      <c r="F2022">
        <v>6</v>
      </c>
      <c r="G2022">
        <v>0</v>
      </c>
      <c r="H2022">
        <v>641</v>
      </c>
      <c r="I2022" s="1">
        <v>46204</v>
      </c>
      <c r="J2022">
        <v>6</v>
      </c>
      <c r="K2022" t="s">
        <v>26</v>
      </c>
    </row>
    <row r="2023" spans="1:11">
      <c r="A2023" s="1">
        <v>46233</v>
      </c>
      <c r="B2023" t="s">
        <v>21</v>
      </c>
      <c r="C2023" t="s">
        <v>46</v>
      </c>
      <c r="D2023">
        <v>26</v>
      </c>
      <c r="E2023">
        <v>1</v>
      </c>
      <c r="F2023">
        <v>1</v>
      </c>
      <c r="G2023">
        <v>0</v>
      </c>
      <c r="H2023">
        <v>29</v>
      </c>
      <c r="I2023" s="1">
        <v>46204</v>
      </c>
      <c r="J2023">
        <v>1</v>
      </c>
      <c r="K2023" t="s">
        <v>26</v>
      </c>
    </row>
    <row r="2024" spans="1:11">
      <c r="A2024" s="1">
        <v>46261</v>
      </c>
      <c r="B2024" t="s">
        <v>40</v>
      </c>
      <c r="C2024" t="s">
        <v>55</v>
      </c>
      <c r="D2024">
        <v>1515</v>
      </c>
      <c r="E2024">
        <v>343</v>
      </c>
      <c r="F2024">
        <v>26</v>
      </c>
      <c r="G2024">
        <v>0</v>
      </c>
      <c r="H2024">
        <v>1885</v>
      </c>
      <c r="I2024" s="1">
        <v>46235</v>
      </c>
      <c r="J2024">
        <v>26</v>
      </c>
      <c r="K2024" t="s">
        <v>26</v>
      </c>
    </row>
    <row r="2025" spans="1:11">
      <c r="A2025" s="1">
        <v>46261</v>
      </c>
      <c r="B2025" t="s">
        <v>40</v>
      </c>
      <c r="C2025" t="s">
        <v>56</v>
      </c>
      <c r="D2025">
        <v>593</v>
      </c>
      <c r="E2025">
        <v>214</v>
      </c>
      <c r="F2025">
        <v>39</v>
      </c>
      <c r="G2025">
        <v>0</v>
      </c>
      <c r="H2025">
        <v>846</v>
      </c>
      <c r="I2025" s="1">
        <v>46235</v>
      </c>
      <c r="J2025">
        <v>39</v>
      </c>
      <c r="K2025" t="s">
        <v>26</v>
      </c>
    </row>
    <row r="2026" spans="1:11">
      <c r="A2026" s="1">
        <v>46261</v>
      </c>
      <c r="B2026" t="s">
        <v>40</v>
      </c>
      <c r="C2026" t="s">
        <v>62</v>
      </c>
      <c r="D2026">
        <v>402</v>
      </c>
      <c r="E2026">
        <v>72</v>
      </c>
      <c r="F2026">
        <v>5</v>
      </c>
      <c r="G2026">
        <v>0</v>
      </c>
      <c r="H2026">
        <v>479</v>
      </c>
      <c r="I2026" s="1">
        <v>46235</v>
      </c>
      <c r="J2026">
        <v>5</v>
      </c>
      <c r="K2026" t="s">
        <v>26</v>
      </c>
    </row>
    <row r="2027" spans="1:11">
      <c r="A2027" s="1">
        <v>46261</v>
      </c>
      <c r="B2027" t="s">
        <v>40</v>
      </c>
      <c r="C2027" t="s">
        <v>44</v>
      </c>
      <c r="D2027">
        <v>485</v>
      </c>
      <c r="E2027">
        <v>79</v>
      </c>
      <c r="F2027">
        <v>3</v>
      </c>
      <c r="G2027">
        <v>0</v>
      </c>
      <c r="H2027">
        <v>566</v>
      </c>
      <c r="I2027" s="1">
        <v>46235</v>
      </c>
      <c r="J2027">
        <v>3</v>
      </c>
      <c r="K2027" t="s">
        <v>26</v>
      </c>
    </row>
    <row r="2028" spans="1:11">
      <c r="A2028" s="1">
        <v>46261</v>
      </c>
      <c r="B2028" t="s">
        <v>21</v>
      </c>
      <c r="C2028" t="s">
        <v>35</v>
      </c>
      <c r="D2028">
        <v>2</v>
      </c>
      <c r="E2028">
        <v>2</v>
      </c>
      <c r="F2028">
        <v>1</v>
      </c>
      <c r="G2028">
        <v>0</v>
      </c>
      <c r="H2028">
        <v>5</v>
      </c>
      <c r="I2028" s="1">
        <v>46235</v>
      </c>
      <c r="J2028">
        <v>1</v>
      </c>
      <c r="K2028" t="s">
        <v>26</v>
      </c>
    </row>
    <row r="2029" spans="1:11">
      <c r="A2029" s="1">
        <v>44952</v>
      </c>
      <c r="B2029" t="s">
        <v>40</v>
      </c>
      <c r="C2029" t="s">
        <v>50</v>
      </c>
      <c r="D2029">
        <v>527</v>
      </c>
      <c r="E2029">
        <v>179</v>
      </c>
      <c r="F2029">
        <v>64</v>
      </c>
      <c r="G2029">
        <v>2</v>
      </c>
      <c r="H2029">
        <v>772</v>
      </c>
      <c r="I2029" s="1">
        <v>44927</v>
      </c>
      <c r="J2029">
        <v>66</v>
      </c>
      <c r="K2029" t="s">
        <v>23</v>
      </c>
    </row>
    <row r="2030" spans="1:11">
      <c r="A2030" s="1">
        <v>44952</v>
      </c>
      <c r="B2030" t="s">
        <v>40</v>
      </c>
      <c r="C2030" t="s">
        <v>38</v>
      </c>
      <c r="D2030">
        <v>2051</v>
      </c>
      <c r="E2030">
        <v>164</v>
      </c>
      <c r="F2030">
        <v>11</v>
      </c>
      <c r="G2030">
        <v>2</v>
      </c>
      <c r="H2030">
        <v>2228</v>
      </c>
      <c r="I2030" s="1">
        <v>44927</v>
      </c>
      <c r="J2030">
        <v>13</v>
      </c>
      <c r="K2030" t="s">
        <v>23</v>
      </c>
    </row>
    <row r="2031" spans="1:11">
      <c r="A2031" s="1">
        <v>44952</v>
      </c>
      <c r="B2031" t="s">
        <v>21</v>
      </c>
      <c r="C2031" t="s">
        <v>41</v>
      </c>
      <c r="D2031">
        <v>893</v>
      </c>
      <c r="E2031">
        <v>280</v>
      </c>
      <c r="F2031">
        <v>4</v>
      </c>
      <c r="G2031">
        <v>2</v>
      </c>
      <c r="H2031">
        <v>1178</v>
      </c>
      <c r="I2031" s="1">
        <v>44927</v>
      </c>
      <c r="J2031">
        <v>6</v>
      </c>
      <c r="K2031" t="s">
        <v>23</v>
      </c>
    </row>
    <row r="2032" spans="1:11">
      <c r="A2032" s="1">
        <v>44952</v>
      </c>
      <c r="B2032" t="s">
        <v>21</v>
      </c>
      <c r="C2032" t="s">
        <v>37</v>
      </c>
      <c r="D2032">
        <v>34</v>
      </c>
      <c r="E2032">
        <v>4</v>
      </c>
      <c r="F2032">
        <v>0</v>
      </c>
      <c r="G2032">
        <v>2</v>
      </c>
      <c r="H2032">
        <v>39</v>
      </c>
      <c r="I2032" s="1">
        <v>44927</v>
      </c>
      <c r="J2032">
        <v>2</v>
      </c>
      <c r="K2032" t="s">
        <v>23</v>
      </c>
    </row>
    <row r="2033" spans="1:11">
      <c r="A2033" s="1">
        <v>44952</v>
      </c>
      <c r="B2033" t="s">
        <v>21</v>
      </c>
      <c r="C2033" t="s">
        <v>28</v>
      </c>
      <c r="D2033">
        <v>149</v>
      </c>
      <c r="E2033">
        <v>23</v>
      </c>
      <c r="F2033">
        <v>2</v>
      </c>
      <c r="G2033">
        <v>2</v>
      </c>
      <c r="H2033">
        <v>176</v>
      </c>
      <c r="I2033" s="1">
        <v>44927</v>
      </c>
      <c r="J2033">
        <v>4</v>
      </c>
      <c r="K2033" t="s">
        <v>23</v>
      </c>
    </row>
    <row r="2034" spans="1:11">
      <c r="A2034" s="1">
        <v>44952</v>
      </c>
      <c r="B2034" t="s">
        <v>21</v>
      </c>
      <c r="C2034" t="s">
        <v>54</v>
      </c>
      <c r="D2034">
        <v>214</v>
      </c>
      <c r="E2034">
        <v>72</v>
      </c>
      <c r="F2034">
        <v>7</v>
      </c>
      <c r="G2034">
        <v>2</v>
      </c>
      <c r="H2034">
        <v>295</v>
      </c>
      <c r="I2034" s="1">
        <v>44927</v>
      </c>
      <c r="J2034">
        <v>9</v>
      </c>
      <c r="K2034" t="s">
        <v>23</v>
      </c>
    </row>
    <row r="2035" spans="1:11">
      <c r="A2035" s="1">
        <v>44952</v>
      </c>
      <c r="B2035" t="s">
        <v>21</v>
      </c>
      <c r="C2035" t="s">
        <v>53</v>
      </c>
      <c r="D2035">
        <v>24</v>
      </c>
      <c r="E2035">
        <v>6</v>
      </c>
      <c r="F2035">
        <v>2</v>
      </c>
      <c r="G2035">
        <v>2</v>
      </c>
      <c r="H2035">
        <v>33</v>
      </c>
      <c r="I2035" s="1">
        <v>44927</v>
      </c>
      <c r="J2035">
        <v>4</v>
      </c>
      <c r="K2035" t="s">
        <v>23</v>
      </c>
    </row>
    <row r="2036" spans="1:11">
      <c r="A2036" s="1">
        <v>44952</v>
      </c>
      <c r="B2036" t="s">
        <v>21</v>
      </c>
      <c r="C2036" t="s">
        <v>29</v>
      </c>
      <c r="D2036">
        <v>423</v>
      </c>
      <c r="E2036">
        <v>19</v>
      </c>
      <c r="F2036">
        <v>4</v>
      </c>
      <c r="G2036">
        <v>2</v>
      </c>
      <c r="H2036">
        <v>447</v>
      </c>
      <c r="I2036" s="1">
        <v>44927</v>
      </c>
      <c r="J2036">
        <v>6</v>
      </c>
      <c r="K2036" t="s">
        <v>23</v>
      </c>
    </row>
    <row r="2037" spans="1:11">
      <c r="A2037" s="1">
        <v>44952</v>
      </c>
      <c r="B2037" t="s">
        <v>21</v>
      </c>
      <c r="C2037" t="s">
        <v>32</v>
      </c>
      <c r="D2037">
        <v>347</v>
      </c>
      <c r="E2037">
        <v>103</v>
      </c>
      <c r="F2037">
        <v>43</v>
      </c>
      <c r="G2037">
        <v>2</v>
      </c>
      <c r="H2037">
        <v>494</v>
      </c>
      <c r="I2037" s="1">
        <v>44927</v>
      </c>
      <c r="J2037">
        <v>45</v>
      </c>
      <c r="K2037" t="s">
        <v>23</v>
      </c>
    </row>
    <row r="2038" spans="1:11">
      <c r="A2038" s="1">
        <v>44980</v>
      </c>
      <c r="B2038" t="s">
        <v>40</v>
      </c>
      <c r="C2038" t="s">
        <v>50</v>
      </c>
      <c r="D2038">
        <v>625</v>
      </c>
      <c r="E2038">
        <v>162</v>
      </c>
      <c r="F2038">
        <v>74</v>
      </c>
      <c r="G2038">
        <v>2</v>
      </c>
      <c r="H2038">
        <v>863</v>
      </c>
      <c r="I2038" s="1">
        <v>44958</v>
      </c>
      <c r="J2038">
        <v>76</v>
      </c>
      <c r="K2038" t="s">
        <v>23</v>
      </c>
    </row>
    <row r="2039" spans="1:11">
      <c r="A2039" s="1">
        <v>44980</v>
      </c>
      <c r="B2039" t="s">
        <v>40</v>
      </c>
      <c r="C2039" t="s">
        <v>41</v>
      </c>
      <c r="D2039">
        <v>4477</v>
      </c>
      <c r="E2039">
        <v>2874</v>
      </c>
      <c r="F2039">
        <v>372</v>
      </c>
      <c r="G2039">
        <v>2</v>
      </c>
      <c r="H2039">
        <v>7725</v>
      </c>
      <c r="I2039" s="1">
        <v>44958</v>
      </c>
      <c r="J2039">
        <v>374</v>
      </c>
      <c r="K2039" t="s">
        <v>23</v>
      </c>
    </row>
    <row r="2040" spans="1:11">
      <c r="A2040" s="1">
        <v>44980</v>
      </c>
      <c r="B2040" t="s">
        <v>40</v>
      </c>
      <c r="C2040" t="s">
        <v>38</v>
      </c>
      <c r="D2040">
        <v>2122</v>
      </c>
      <c r="E2040">
        <v>177</v>
      </c>
      <c r="F2040">
        <v>21</v>
      </c>
      <c r="G2040">
        <v>2</v>
      </c>
      <c r="H2040">
        <v>2322</v>
      </c>
      <c r="I2040" s="1">
        <v>44958</v>
      </c>
      <c r="J2040">
        <v>23</v>
      </c>
      <c r="K2040" t="s">
        <v>23</v>
      </c>
    </row>
    <row r="2041" spans="1:11">
      <c r="A2041" s="1">
        <v>44980</v>
      </c>
      <c r="B2041" t="s">
        <v>40</v>
      </c>
      <c r="C2041" t="s">
        <v>34</v>
      </c>
      <c r="D2041">
        <v>2541</v>
      </c>
      <c r="E2041">
        <v>198</v>
      </c>
      <c r="F2041">
        <v>4</v>
      </c>
      <c r="G2041">
        <v>2</v>
      </c>
      <c r="H2041">
        <v>2745</v>
      </c>
      <c r="I2041" s="1">
        <v>44958</v>
      </c>
      <c r="J2041">
        <v>6</v>
      </c>
      <c r="K2041" t="s">
        <v>23</v>
      </c>
    </row>
    <row r="2042" spans="1:11">
      <c r="A2042" s="1">
        <v>44980</v>
      </c>
      <c r="B2042" t="s">
        <v>40</v>
      </c>
      <c r="C2042" t="s">
        <v>49</v>
      </c>
      <c r="D2042">
        <v>2703</v>
      </c>
      <c r="E2042">
        <v>758</v>
      </c>
      <c r="F2042">
        <v>139</v>
      </c>
      <c r="G2042">
        <v>2</v>
      </c>
      <c r="H2042">
        <v>3602</v>
      </c>
      <c r="I2042" s="1">
        <v>44958</v>
      </c>
      <c r="J2042">
        <v>141</v>
      </c>
      <c r="K2042" t="s">
        <v>23</v>
      </c>
    </row>
    <row r="2043" spans="1:11">
      <c r="A2043" s="1">
        <v>44980</v>
      </c>
      <c r="B2043" t="s">
        <v>21</v>
      </c>
      <c r="C2043" t="s">
        <v>28</v>
      </c>
      <c r="D2043">
        <v>187</v>
      </c>
      <c r="E2043">
        <v>24</v>
      </c>
      <c r="F2043">
        <v>4</v>
      </c>
      <c r="G2043">
        <v>2</v>
      </c>
      <c r="H2043">
        <v>216</v>
      </c>
      <c r="I2043" s="1">
        <v>44958</v>
      </c>
      <c r="J2043">
        <v>6</v>
      </c>
      <c r="K2043" t="s">
        <v>23</v>
      </c>
    </row>
    <row r="2044" spans="1:11">
      <c r="A2044" s="1">
        <v>44980</v>
      </c>
      <c r="B2044" t="s">
        <v>21</v>
      </c>
      <c r="C2044" t="s">
        <v>54</v>
      </c>
      <c r="D2044">
        <v>252</v>
      </c>
      <c r="E2044">
        <v>88</v>
      </c>
      <c r="F2044">
        <v>8</v>
      </c>
      <c r="G2044">
        <v>2</v>
      </c>
      <c r="H2044">
        <v>350</v>
      </c>
      <c r="I2044" s="1">
        <v>44958</v>
      </c>
      <c r="J2044">
        <v>10</v>
      </c>
      <c r="K2044" t="s">
        <v>23</v>
      </c>
    </row>
    <row r="2045" spans="1:11">
      <c r="A2045" s="1">
        <v>44980</v>
      </c>
      <c r="B2045" t="s">
        <v>21</v>
      </c>
      <c r="C2045" t="s">
        <v>53</v>
      </c>
      <c r="D2045">
        <v>27</v>
      </c>
      <c r="E2045">
        <v>9</v>
      </c>
      <c r="F2045">
        <v>0</v>
      </c>
      <c r="G2045">
        <v>2</v>
      </c>
      <c r="H2045">
        <v>38</v>
      </c>
      <c r="I2045" s="1">
        <v>44958</v>
      </c>
      <c r="J2045">
        <v>2</v>
      </c>
      <c r="K2045" t="s">
        <v>23</v>
      </c>
    </row>
    <row r="2046" spans="1:11">
      <c r="A2046" s="1">
        <v>44980</v>
      </c>
      <c r="B2046" t="s">
        <v>21</v>
      </c>
      <c r="C2046" t="s">
        <v>29</v>
      </c>
      <c r="D2046">
        <v>432</v>
      </c>
      <c r="E2046">
        <v>14</v>
      </c>
      <c r="F2046">
        <v>4</v>
      </c>
      <c r="G2046">
        <v>2</v>
      </c>
      <c r="H2046">
        <v>452</v>
      </c>
      <c r="I2046" s="1">
        <v>44958</v>
      </c>
      <c r="J2046">
        <v>6</v>
      </c>
      <c r="K2046" t="s">
        <v>23</v>
      </c>
    </row>
    <row r="2047" spans="1:11">
      <c r="A2047" s="1">
        <v>44980</v>
      </c>
      <c r="B2047" t="s">
        <v>21</v>
      </c>
      <c r="C2047" t="s">
        <v>32</v>
      </c>
      <c r="D2047">
        <v>385</v>
      </c>
      <c r="E2047">
        <v>84</v>
      </c>
      <c r="F2047">
        <v>33</v>
      </c>
      <c r="G2047">
        <v>2</v>
      </c>
      <c r="H2047">
        <v>503</v>
      </c>
      <c r="I2047" s="1">
        <v>44958</v>
      </c>
      <c r="J2047">
        <v>35</v>
      </c>
      <c r="K2047" t="s">
        <v>23</v>
      </c>
    </row>
    <row r="2048" spans="1:11">
      <c r="A2048" s="1">
        <v>45015</v>
      </c>
      <c r="B2048" t="s">
        <v>40</v>
      </c>
      <c r="C2048" t="s">
        <v>38</v>
      </c>
      <c r="D2048">
        <v>2118</v>
      </c>
      <c r="E2048">
        <v>251</v>
      </c>
      <c r="F2048">
        <v>18</v>
      </c>
      <c r="G2048">
        <v>2</v>
      </c>
      <c r="H2048">
        <v>2389</v>
      </c>
      <c r="I2048" s="1">
        <v>44986</v>
      </c>
      <c r="J2048">
        <v>20</v>
      </c>
      <c r="K2048" t="s">
        <v>23</v>
      </c>
    </row>
    <row r="2049" spans="1:11">
      <c r="A2049" s="1">
        <v>45015</v>
      </c>
      <c r="B2049" t="s">
        <v>40</v>
      </c>
      <c r="C2049" t="s">
        <v>34</v>
      </c>
      <c r="D2049">
        <v>2798</v>
      </c>
      <c r="E2049">
        <v>324</v>
      </c>
      <c r="F2049">
        <v>2</v>
      </c>
      <c r="G2049">
        <v>2</v>
      </c>
      <c r="H2049">
        <v>3126</v>
      </c>
      <c r="I2049" s="1">
        <v>44986</v>
      </c>
      <c r="J2049">
        <v>4</v>
      </c>
      <c r="K2049" t="s">
        <v>23</v>
      </c>
    </row>
    <row r="2050" spans="1:11">
      <c r="A2050" s="1">
        <v>45015</v>
      </c>
      <c r="B2050" t="s">
        <v>21</v>
      </c>
      <c r="C2050" t="s">
        <v>53</v>
      </c>
      <c r="D2050">
        <v>9</v>
      </c>
      <c r="E2050">
        <v>6</v>
      </c>
      <c r="F2050">
        <v>0</v>
      </c>
      <c r="G2050">
        <v>2</v>
      </c>
      <c r="H2050">
        <v>17</v>
      </c>
      <c r="I2050" s="1">
        <v>44986</v>
      </c>
      <c r="J2050">
        <v>2</v>
      </c>
      <c r="K2050" t="s">
        <v>23</v>
      </c>
    </row>
    <row r="2051" spans="1:11">
      <c r="A2051" s="1">
        <v>45015</v>
      </c>
      <c r="B2051" t="s">
        <v>21</v>
      </c>
      <c r="C2051" t="s">
        <v>29</v>
      </c>
      <c r="D2051">
        <v>424</v>
      </c>
      <c r="E2051">
        <v>9</v>
      </c>
      <c r="F2051">
        <v>2</v>
      </c>
      <c r="G2051">
        <v>2</v>
      </c>
      <c r="H2051">
        <v>437</v>
      </c>
      <c r="I2051" s="1">
        <v>44986</v>
      </c>
      <c r="J2051">
        <v>4</v>
      </c>
      <c r="K2051" t="s">
        <v>23</v>
      </c>
    </row>
    <row r="2052" spans="1:11">
      <c r="A2052" s="1">
        <v>45015</v>
      </c>
      <c r="B2052" t="s">
        <v>21</v>
      </c>
      <c r="C2052" t="s">
        <v>36</v>
      </c>
      <c r="D2052">
        <v>20</v>
      </c>
      <c r="E2052">
        <v>6</v>
      </c>
      <c r="F2052">
        <v>2</v>
      </c>
      <c r="G2052">
        <v>2</v>
      </c>
      <c r="H2052">
        <v>30</v>
      </c>
      <c r="I2052" s="1">
        <v>44986</v>
      </c>
      <c r="J2052">
        <v>4</v>
      </c>
      <c r="K2052" t="s">
        <v>23</v>
      </c>
    </row>
    <row r="2053" spans="1:11">
      <c r="A2053" s="1">
        <v>45015</v>
      </c>
      <c r="B2053" t="s">
        <v>21</v>
      </c>
      <c r="C2053" t="s">
        <v>49</v>
      </c>
      <c r="D2053">
        <v>617</v>
      </c>
      <c r="E2053">
        <v>268</v>
      </c>
      <c r="F2053">
        <v>2</v>
      </c>
      <c r="G2053">
        <v>2</v>
      </c>
      <c r="H2053">
        <v>888</v>
      </c>
      <c r="I2053" s="1">
        <v>44986</v>
      </c>
      <c r="J2053">
        <v>4</v>
      </c>
      <c r="K2053" t="s">
        <v>23</v>
      </c>
    </row>
    <row r="2054" spans="1:11">
      <c r="A2054" s="1">
        <v>45043</v>
      </c>
      <c r="B2054" t="s">
        <v>40</v>
      </c>
      <c r="C2054" t="s">
        <v>50</v>
      </c>
      <c r="D2054">
        <v>642</v>
      </c>
      <c r="E2054">
        <v>204</v>
      </c>
      <c r="F2054">
        <v>50</v>
      </c>
      <c r="G2054">
        <v>2</v>
      </c>
      <c r="H2054">
        <v>899</v>
      </c>
      <c r="I2054" s="1">
        <v>45017</v>
      </c>
      <c r="J2054">
        <v>52</v>
      </c>
      <c r="K2054" t="s">
        <v>23</v>
      </c>
    </row>
    <row r="2055" spans="1:11">
      <c r="A2055" s="1">
        <v>45043</v>
      </c>
      <c r="B2055" t="s">
        <v>40</v>
      </c>
      <c r="C2055" t="s">
        <v>55</v>
      </c>
      <c r="D2055">
        <v>4316</v>
      </c>
      <c r="E2055">
        <v>687</v>
      </c>
      <c r="F2055">
        <v>136</v>
      </c>
      <c r="G2055">
        <v>2</v>
      </c>
      <c r="H2055">
        <v>5142</v>
      </c>
      <c r="I2055" s="1">
        <v>45017</v>
      </c>
      <c r="J2055">
        <v>138</v>
      </c>
      <c r="K2055" t="s">
        <v>23</v>
      </c>
    </row>
    <row r="2056" spans="1:11">
      <c r="A2056" s="1">
        <v>45043</v>
      </c>
      <c r="B2056" t="s">
        <v>40</v>
      </c>
      <c r="C2056" t="s">
        <v>30</v>
      </c>
      <c r="D2056">
        <v>1910</v>
      </c>
      <c r="E2056">
        <v>124</v>
      </c>
      <c r="F2056">
        <v>17</v>
      </c>
      <c r="G2056">
        <v>2</v>
      </c>
      <c r="H2056">
        <v>2053</v>
      </c>
      <c r="I2056" s="1">
        <v>45017</v>
      </c>
      <c r="J2056">
        <v>19</v>
      </c>
      <c r="K2056" t="s">
        <v>23</v>
      </c>
    </row>
    <row r="2057" spans="1:11">
      <c r="A2057" s="1">
        <v>45043</v>
      </c>
      <c r="B2057" t="s">
        <v>40</v>
      </c>
      <c r="C2057" t="s">
        <v>38</v>
      </c>
      <c r="D2057">
        <v>2124</v>
      </c>
      <c r="E2057">
        <v>339</v>
      </c>
      <c r="F2057">
        <v>7</v>
      </c>
      <c r="G2057">
        <v>2</v>
      </c>
      <c r="H2057">
        <v>2472</v>
      </c>
      <c r="I2057" s="1">
        <v>45017</v>
      </c>
      <c r="J2057">
        <v>9</v>
      </c>
      <c r="K2057" t="s">
        <v>23</v>
      </c>
    </row>
    <row r="2058" spans="1:11">
      <c r="A2058" s="1">
        <v>45043</v>
      </c>
      <c r="B2058" t="s">
        <v>40</v>
      </c>
      <c r="C2058" t="s">
        <v>49</v>
      </c>
      <c r="D2058">
        <v>2579</v>
      </c>
      <c r="E2058">
        <v>856</v>
      </c>
      <c r="F2058">
        <v>152</v>
      </c>
      <c r="G2058">
        <v>2</v>
      </c>
      <c r="H2058">
        <v>3589</v>
      </c>
      <c r="I2058" s="1">
        <v>45017</v>
      </c>
      <c r="J2058">
        <v>154</v>
      </c>
      <c r="K2058" t="s">
        <v>23</v>
      </c>
    </row>
    <row r="2059" spans="1:11">
      <c r="A2059" s="1">
        <v>45043</v>
      </c>
      <c r="B2059" t="s">
        <v>21</v>
      </c>
      <c r="C2059" t="s">
        <v>41</v>
      </c>
      <c r="D2059">
        <v>1090</v>
      </c>
      <c r="E2059">
        <v>291</v>
      </c>
      <c r="F2059">
        <v>33</v>
      </c>
      <c r="G2059">
        <v>2</v>
      </c>
      <c r="H2059">
        <v>1416</v>
      </c>
      <c r="I2059" s="1">
        <v>45017</v>
      </c>
      <c r="J2059">
        <v>35</v>
      </c>
      <c r="K2059" t="s">
        <v>23</v>
      </c>
    </row>
    <row r="2060" spans="1:11">
      <c r="A2060" s="1">
        <v>45043</v>
      </c>
      <c r="B2060" t="s">
        <v>21</v>
      </c>
      <c r="C2060" t="s">
        <v>37</v>
      </c>
      <c r="D2060">
        <v>47</v>
      </c>
      <c r="E2060">
        <v>5</v>
      </c>
      <c r="F2060">
        <v>2</v>
      </c>
      <c r="G2060">
        <v>2</v>
      </c>
      <c r="H2060">
        <v>56</v>
      </c>
      <c r="I2060" s="1">
        <v>45017</v>
      </c>
      <c r="J2060">
        <v>4</v>
      </c>
      <c r="K2060" t="s">
        <v>23</v>
      </c>
    </row>
    <row r="2061" spans="1:11">
      <c r="A2061" s="1">
        <v>45043</v>
      </c>
      <c r="B2061" t="s">
        <v>21</v>
      </c>
      <c r="C2061" t="s">
        <v>28</v>
      </c>
      <c r="D2061">
        <v>207</v>
      </c>
      <c r="E2061">
        <v>63</v>
      </c>
      <c r="F2061">
        <v>2</v>
      </c>
      <c r="G2061">
        <v>2</v>
      </c>
      <c r="H2061">
        <v>274</v>
      </c>
      <c r="I2061" s="1">
        <v>45017</v>
      </c>
      <c r="J2061">
        <v>4</v>
      </c>
      <c r="K2061" t="s">
        <v>23</v>
      </c>
    </row>
    <row r="2062" spans="1:11">
      <c r="A2062" s="1">
        <v>45043</v>
      </c>
      <c r="B2062" t="s">
        <v>21</v>
      </c>
      <c r="C2062" t="s">
        <v>53</v>
      </c>
      <c r="D2062">
        <v>12</v>
      </c>
      <c r="E2062">
        <v>4</v>
      </c>
      <c r="F2062">
        <v>0</v>
      </c>
      <c r="G2062">
        <v>2</v>
      </c>
      <c r="H2062">
        <v>17</v>
      </c>
      <c r="I2062" s="1">
        <v>45017</v>
      </c>
      <c r="J2062">
        <v>2</v>
      </c>
      <c r="K2062" t="s">
        <v>23</v>
      </c>
    </row>
    <row r="2063" spans="1:11">
      <c r="A2063" s="1">
        <v>45043</v>
      </c>
      <c r="B2063" t="s">
        <v>21</v>
      </c>
      <c r="C2063" t="s">
        <v>29</v>
      </c>
      <c r="D2063">
        <v>419</v>
      </c>
      <c r="E2063">
        <v>15</v>
      </c>
      <c r="F2063">
        <v>7</v>
      </c>
      <c r="G2063">
        <v>2</v>
      </c>
      <c r="H2063">
        <v>443</v>
      </c>
      <c r="I2063" s="1">
        <v>45017</v>
      </c>
      <c r="J2063">
        <v>9</v>
      </c>
      <c r="K2063" t="s">
        <v>23</v>
      </c>
    </row>
    <row r="2064" spans="1:11">
      <c r="A2064" s="1">
        <v>45043</v>
      </c>
      <c r="B2064" t="s">
        <v>21</v>
      </c>
      <c r="C2064" t="s">
        <v>36</v>
      </c>
      <c r="D2064">
        <v>26</v>
      </c>
      <c r="E2064">
        <v>2</v>
      </c>
      <c r="F2064">
        <v>2</v>
      </c>
      <c r="G2064">
        <v>2</v>
      </c>
      <c r="H2064">
        <v>32</v>
      </c>
      <c r="I2064" s="1">
        <v>45017</v>
      </c>
      <c r="J2064">
        <v>4</v>
      </c>
      <c r="K2064" t="s">
        <v>23</v>
      </c>
    </row>
    <row r="2065" spans="1:11">
      <c r="A2065" s="1">
        <v>45071</v>
      </c>
      <c r="B2065" t="s">
        <v>40</v>
      </c>
      <c r="C2065" t="s">
        <v>30</v>
      </c>
      <c r="D2065">
        <v>1949</v>
      </c>
      <c r="E2065">
        <v>152</v>
      </c>
      <c r="F2065">
        <v>21</v>
      </c>
      <c r="G2065">
        <v>2</v>
      </c>
      <c r="H2065">
        <v>2124</v>
      </c>
      <c r="I2065" s="1">
        <v>45047</v>
      </c>
      <c r="J2065">
        <v>23</v>
      </c>
      <c r="K2065" t="s">
        <v>23</v>
      </c>
    </row>
    <row r="2066" spans="1:11">
      <c r="A2066" s="1">
        <v>45071</v>
      </c>
      <c r="B2066" t="s">
        <v>40</v>
      </c>
      <c r="C2066" t="s">
        <v>42</v>
      </c>
      <c r="D2066">
        <v>1870</v>
      </c>
      <c r="E2066">
        <v>1008</v>
      </c>
      <c r="F2066">
        <v>214</v>
      </c>
      <c r="G2066">
        <v>2</v>
      </c>
      <c r="H2066">
        <v>3094</v>
      </c>
      <c r="I2066" s="1">
        <v>45047</v>
      </c>
      <c r="J2066">
        <v>216</v>
      </c>
      <c r="K2066" t="s">
        <v>23</v>
      </c>
    </row>
    <row r="2067" spans="1:11">
      <c r="A2067" s="1">
        <v>45071</v>
      </c>
      <c r="B2067" t="s">
        <v>21</v>
      </c>
      <c r="C2067" t="s">
        <v>41</v>
      </c>
      <c r="D2067">
        <v>1075</v>
      </c>
      <c r="E2067">
        <v>282</v>
      </c>
      <c r="F2067">
        <v>30</v>
      </c>
      <c r="G2067">
        <v>2</v>
      </c>
      <c r="H2067">
        <v>1389</v>
      </c>
      <c r="I2067" s="1">
        <v>45047</v>
      </c>
      <c r="J2067">
        <v>32</v>
      </c>
      <c r="K2067" t="s">
        <v>23</v>
      </c>
    </row>
    <row r="2068" spans="1:11">
      <c r="A2068" s="1">
        <v>45071</v>
      </c>
      <c r="B2068" t="s">
        <v>21</v>
      </c>
      <c r="C2068" t="s">
        <v>37</v>
      </c>
      <c r="D2068">
        <v>54</v>
      </c>
      <c r="E2068">
        <v>4</v>
      </c>
      <c r="F2068">
        <v>0</v>
      </c>
      <c r="G2068">
        <v>2</v>
      </c>
      <c r="H2068">
        <v>59</v>
      </c>
      <c r="I2068" s="1">
        <v>45047</v>
      </c>
      <c r="J2068">
        <v>2</v>
      </c>
      <c r="K2068" t="s">
        <v>23</v>
      </c>
    </row>
    <row r="2069" spans="1:11">
      <c r="A2069" s="1">
        <v>45071</v>
      </c>
      <c r="B2069" t="s">
        <v>21</v>
      </c>
      <c r="C2069" t="s">
        <v>53</v>
      </c>
      <c r="D2069">
        <v>13</v>
      </c>
      <c r="E2069">
        <v>6</v>
      </c>
      <c r="F2069">
        <v>0</v>
      </c>
      <c r="G2069">
        <v>2</v>
      </c>
      <c r="H2069">
        <v>21</v>
      </c>
      <c r="I2069" s="1">
        <v>45047</v>
      </c>
      <c r="J2069">
        <v>2</v>
      </c>
      <c r="K2069" t="s">
        <v>23</v>
      </c>
    </row>
    <row r="2070" spans="1:11">
      <c r="A2070" s="1">
        <v>45071</v>
      </c>
      <c r="B2070" t="s">
        <v>21</v>
      </c>
      <c r="C2070" t="s">
        <v>29</v>
      </c>
      <c r="D2070">
        <v>445</v>
      </c>
      <c r="E2070">
        <v>18</v>
      </c>
      <c r="F2070">
        <v>6</v>
      </c>
      <c r="G2070">
        <v>2</v>
      </c>
      <c r="H2070">
        <v>471</v>
      </c>
      <c r="I2070" s="1">
        <v>45047</v>
      </c>
      <c r="J2070">
        <v>8</v>
      </c>
      <c r="K2070" t="s">
        <v>23</v>
      </c>
    </row>
    <row r="2071" spans="1:11">
      <c r="A2071" s="1">
        <v>45071</v>
      </c>
      <c r="B2071" t="s">
        <v>21</v>
      </c>
      <c r="C2071" t="s">
        <v>36</v>
      </c>
      <c r="D2071">
        <v>39</v>
      </c>
      <c r="E2071">
        <v>4</v>
      </c>
      <c r="F2071">
        <v>0</v>
      </c>
      <c r="G2071">
        <v>2</v>
      </c>
      <c r="H2071">
        <v>44</v>
      </c>
      <c r="I2071" s="1">
        <v>45047</v>
      </c>
      <c r="J2071">
        <v>2</v>
      </c>
      <c r="K2071" t="s">
        <v>23</v>
      </c>
    </row>
    <row r="2072" spans="1:11">
      <c r="A2072" s="1">
        <v>45106</v>
      </c>
      <c r="B2072" t="s">
        <v>40</v>
      </c>
      <c r="C2072" t="s">
        <v>50</v>
      </c>
      <c r="D2072">
        <v>688</v>
      </c>
      <c r="E2072">
        <v>171</v>
      </c>
      <c r="F2072">
        <v>69</v>
      </c>
      <c r="G2072">
        <v>2</v>
      </c>
      <c r="H2072">
        <v>930</v>
      </c>
      <c r="I2072" s="1">
        <v>45078</v>
      </c>
      <c r="J2072">
        <v>71</v>
      </c>
      <c r="K2072" t="s">
        <v>23</v>
      </c>
    </row>
    <row r="2073" spans="1:11">
      <c r="A2073" s="1">
        <v>45106</v>
      </c>
      <c r="B2073" t="s">
        <v>40</v>
      </c>
      <c r="C2073" t="s">
        <v>55</v>
      </c>
      <c r="D2073">
        <v>4795</v>
      </c>
      <c r="E2073">
        <v>396</v>
      </c>
      <c r="F2073">
        <v>66</v>
      </c>
      <c r="G2073">
        <v>2</v>
      </c>
      <c r="H2073">
        <v>5260</v>
      </c>
      <c r="I2073" s="1">
        <v>45078</v>
      </c>
      <c r="J2073">
        <v>68</v>
      </c>
      <c r="K2073" t="s">
        <v>23</v>
      </c>
    </row>
    <row r="2074" spans="1:11">
      <c r="A2074" s="1">
        <v>45106</v>
      </c>
      <c r="B2074" t="s">
        <v>40</v>
      </c>
      <c r="C2074" t="s">
        <v>30</v>
      </c>
      <c r="D2074">
        <v>2194</v>
      </c>
      <c r="E2074">
        <v>145</v>
      </c>
      <c r="F2074">
        <v>15</v>
      </c>
      <c r="G2074">
        <v>2</v>
      </c>
      <c r="H2074">
        <v>2356</v>
      </c>
      <c r="I2074" s="1">
        <v>45078</v>
      </c>
      <c r="J2074">
        <v>17</v>
      </c>
      <c r="K2074" t="s">
        <v>23</v>
      </c>
    </row>
    <row r="2075" spans="1:11">
      <c r="A2075" s="1">
        <v>45106</v>
      </c>
      <c r="B2075" t="s">
        <v>40</v>
      </c>
      <c r="C2075" t="s">
        <v>49</v>
      </c>
      <c r="D2075">
        <v>2958</v>
      </c>
      <c r="E2075">
        <v>782</v>
      </c>
      <c r="F2075">
        <v>199</v>
      </c>
      <c r="G2075">
        <v>2</v>
      </c>
      <c r="H2075">
        <v>3941</v>
      </c>
      <c r="I2075" s="1">
        <v>45078</v>
      </c>
      <c r="J2075">
        <v>201</v>
      </c>
      <c r="K2075" t="s">
        <v>23</v>
      </c>
    </row>
    <row r="2076" spans="1:11">
      <c r="A2076" s="1">
        <v>45106</v>
      </c>
      <c r="B2076" t="s">
        <v>21</v>
      </c>
      <c r="C2076" t="s">
        <v>41</v>
      </c>
      <c r="D2076">
        <v>1087</v>
      </c>
      <c r="E2076">
        <v>325</v>
      </c>
      <c r="F2076">
        <v>23</v>
      </c>
      <c r="G2076">
        <v>2</v>
      </c>
      <c r="H2076">
        <v>1437</v>
      </c>
      <c r="I2076" s="1">
        <v>45078</v>
      </c>
      <c r="J2076">
        <v>25</v>
      </c>
      <c r="K2076" t="s">
        <v>23</v>
      </c>
    </row>
    <row r="2077" spans="1:11">
      <c r="A2077" s="1">
        <v>45106</v>
      </c>
      <c r="B2077" t="s">
        <v>21</v>
      </c>
      <c r="C2077" t="s">
        <v>37</v>
      </c>
      <c r="D2077">
        <v>61</v>
      </c>
      <c r="E2077">
        <v>2</v>
      </c>
      <c r="F2077">
        <v>2</v>
      </c>
      <c r="G2077">
        <v>2</v>
      </c>
      <c r="H2077">
        <v>66</v>
      </c>
      <c r="I2077" s="1">
        <v>45078</v>
      </c>
      <c r="J2077">
        <v>4</v>
      </c>
      <c r="K2077" t="s">
        <v>23</v>
      </c>
    </row>
    <row r="2078" spans="1:11">
      <c r="A2078" s="1">
        <v>45106</v>
      </c>
      <c r="B2078" t="s">
        <v>21</v>
      </c>
      <c r="C2078" t="s">
        <v>54</v>
      </c>
      <c r="D2078">
        <v>240</v>
      </c>
      <c r="E2078">
        <v>111</v>
      </c>
      <c r="F2078">
        <v>25</v>
      </c>
      <c r="G2078">
        <v>2</v>
      </c>
      <c r="H2078">
        <v>378</v>
      </c>
      <c r="I2078" s="1">
        <v>45078</v>
      </c>
      <c r="J2078">
        <v>27</v>
      </c>
      <c r="K2078" t="s">
        <v>23</v>
      </c>
    </row>
    <row r="2079" spans="1:11">
      <c r="A2079" s="1">
        <v>45106</v>
      </c>
      <c r="B2079" t="s">
        <v>21</v>
      </c>
      <c r="C2079" t="s">
        <v>53</v>
      </c>
      <c r="D2079">
        <v>9</v>
      </c>
      <c r="E2079">
        <v>5</v>
      </c>
      <c r="F2079">
        <v>0</v>
      </c>
      <c r="G2079">
        <v>2</v>
      </c>
      <c r="H2079">
        <v>16</v>
      </c>
      <c r="I2079" s="1">
        <v>45078</v>
      </c>
      <c r="J2079">
        <v>2</v>
      </c>
      <c r="K2079" t="s">
        <v>23</v>
      </c>
    </row>
    <row r="2080" spans="1:11">
      <c r="A2080" s="1">
        <v>45106</v>
      </c>
      <c r="B2080" t="s">
        <v>21</v>
      </c>
      <c r="C2080" t="s">
        <v>29</v>
      </c>
      <c r="D2080">
        <v>438</v>
      </c>
      <c r="E2080">
        <v>17</v>
      </c>
      <c r="F2080">
        <v>5</v>
      </c>
      <c r="G2080">
        <v>2</v>
      </c>
      <c r="H2080">
        <v>463</v>
      </c>
      <c r="I2080" s="1">
        <v>45078</v>
      </c>
      <c r="J2080">
        <v>7</v>
      </c>
      <c r="K2080" t="s">
        <v>23</v>
      </c>
    </row>
    <row r="2081" spans="1:11">
      <c r="A2081" s="1">
        <v>45134</v>
      </c>
      <c r="B2081" t="s">
        <v>40</v>
      </c>
      <c r="C2081" t="s">
        <v>55</v>
      </c>
      <c r="D2081">
        <v>4968</v>
      </c>
      <c r="E2081">
        <v>288</v>
      </c>
      <c r="F2081">
        <v>114</v>
      </c>
      <c r="G2081">
        <v>2</v>
      </c>
      <c r="H2081">
        <v>5373</v>
      </c>
      <c r="I2081" s="1">
        <v>45108</v>
      </c>
      <c r="J2081">
        <v>116</v>
      </c>
      <c r="K2081" t="s">
        <v>23</v>
      </c>
    </row>
    <row r="2082" spans="1:11">
      <c r="A2082" s="1">
        <v>45134</v>
      </c>
      <c r="B2082" t="s">
        <v>21</v>
      </c>
      <c r="C2082" t="s">
        <v>53</v>
      </c>
      <c r="D2082">
        <v>7</v>
      </c>
      <c r="E2082">
        <v>5</v>
      </c>
      <c r="F2082">
        <v>0</v>
      </c>
      <c r="G2082">
        <v>2</v>
      </c>
      <c r="H2082">
        <v>14</v>
      </c>
      <c r="I2082" s="1">
        <v>45108</v>
      </c>
      <c r="J2082">
        <v>2</v>
      </c>
      <c r="K2082" t="s">
        <v>23</v>
      </c>
    </row>
    <row r="2083" spans="1:11">
      <c r="A2083" s="1">
        <v>45134</v>
      </c>
      <c r="B2083" t="s">
        <v>21</v>
      </c>
      <c r="C2083" t="s">
        <v>29</v>
      </c>
      <c r="D2083">
        <v>405</v>
      </c>
      <c r="E2083">
        <v>16</v>
      </c>
      <c r="F2083">
        <v>4</v>
      </c>
      <c r="G2083">
        <v>2</v>
      </c>
      <c r="H2083">
        <v>427</v>
      </c>
      <c r="I2083" s="1">
        <v>45108</v>
      </c>
      <c r="J2083">
        <v>6</v>
      </c>
      <c r="K2083" t="s">
        <v>23</v>
      </c>
    </row>
    <row r="2084" spans="1:11">
      <c r="A2084" s="1">
        <v>45169</v>
      </c>
      <c r="B2084" t="s">
        <v>40</v>
      </c>
      <c r="C2084" t="s">
        <v>30</v>
      </c>
      <c r="D2084">
        <v>2544</v>
      </c>
      <c r="E2084">
        <v>131</v>
      </c>
      <c r="F2084">
        <v>13</v>
      </c>
      <c r="G2084">
        <v>2</v>
      </c>
      <c r="H2084">
        <v>2690</v>
      </c>
      <c r="I2084" s="1">
        <v>45139</v>
      </c>
      <c r="J2084">
        <v>15</v>
      </c>
      <c r="K2084" t="s">
        <v>23</v>
      </c>
    </row>
    <row r="2085" spans="1:11">
      <c r="A2085" s="1">
        <v>45169</v>
      </c>
      <c r="B2085" t="s">
        <v>40</v>
      </c>
      <c r="C2085" t="s">
        <v>43</v>
      </c>
      <c r="D2085">
        <v>8710</v>
      </c>
      <c r="E2085">
        <v>2939</v>
      </c>
      <c r="F2085">
        <v>502</v>
      </c>
      <c r="G2085">
        <v>2</v>
      </c>
      <c r="H2085">
        <v>12153</v>
      </c>
      <c r="I2085" s="1">
        <v>45139</v>
      </c>
      <c r="J2085">
        <v>504</v>
      </c>
      <c r="K2085" t="s">
        <v>23</v>
      </c>
    </row>
    <row r="2086" spans="1:11">
      <c r="A2086" s="1">
        <v>45169</v>
      </c>
      <c r="B2086" t="s">
        <v>40</v>
      </c>
      <c r="C2086" t="s">
        <v>35</v>
      </c>
      <c r="D2086">
        <v>442</v>
      </c>
      <c r="E2086">
        <v>254</v>
      </c>
      <c r="F2086">
        <v>126</v>
      </c>
      <c r="G2086">
        <v>2</v>
      </c>
      <c r="H2086">
        <v>824</v>
      </c>
      <c r="I2086" s="1">
        <v>45139</v>
      </c>
      <c r="J2086">
        <v>128</v>
      </c>
      <c r="K2086" t="s">
        <v>23</v>
      </c>
    </row>
    <row r="2087" spans="1:11">
      <c r="A2087" s="1">
        <v>45169</v>
      </c>
      <c r="B2087" t="s">
        <v>21</v>
      </c>
      <c r="C2087" t="s">
        <v>25</v>
      </c>
      <c r="D2087">
        <v>306</v>
      </c>
      <c r="E2087">
        <v>82</v>
      </c>
      <c r="F2087">
        <v>10</v>
      </c>
      <c r="G2087">
        <v>2</v>
      </c>
      <c r="H2087">
        <v>400</v>
      </c>
      <c r="I2087" s="1">
        <v>45139</v>
      </c>
      <c r="J2087">
        <v>12</v>
      </c>
      <c r="K2087" t="s">
        <v>23</v>
      </c>
    </row>
    <row r="2088" spans="1:11">
      <c r="A2088" s="1">
        <v>45169</v>
      </c>
      <c r="B2088" t="s">
        <v>21</v>
      </c>
      <c r="C2088" t="s">
        <v>29</v>
      </c>
      <c r="D2088">
        <v>368</v>
      </c>
      <c r="E2088">
        <v>17</v>
      </c>
      <c r="F2088">
        <v>4</v>
      </c>
      <c r="G2088">
        <v>2</v>
      </c>
      <c r="H2088">
        <v>391</v>
      </c>
      <c r="I2088" s="1">
        <v>45139</v>
      </c>
      <c r="J2088">
        <v>6</v>
      </c>
      <c r="K2088" t="s">
        <v>23</v>
      </c>
    </row>
    <row r="2089" spans="1:11">
      <c r="A2089" s="1">
        <v>45169</v>
      </c>
      <c r="B2089" t="s">
        <v>21</v>
      </c>
      <c r="C2089" t="s">
        <v>32</v>
      </c>
      <c r="D2089">
        <v>331</v>
      </c>
      <c r="E2089">
        <v>69</v>
      </c>
      <c r="F2089">
        <v>5</v>
      </c>
      <c r="G2089">
        <v>2</v>
      </c>
      <c r="H2089">
        <v>407</v>
      </c>
      <c r="I2089" s="1">
        <v>45139</v>
      </c>
      <c r="J2089">
        <v>7</v>
      </c>
      <c r="K2089" t="s">
        <v>23</v>
      </c>
    </row>
    <row r="2090" spans="1:11">
      <c r="A2090" s="1">
        <v>45197</v>
      </c>
      <c r="B2090" t="s">
        <v>40</v>
      </c>
      <c r="C2090" t="s">
        <v>43</v>
      </c>
      <c r="D2090">
        <v>8229</v>
      </c>
      <c r="E2090">
        <v>3027</v>
      </c>
      <c r="F2090">
        <v>381</v>
      </c>
      <c r="G2090">
        <v>2</v>
      </c>
      <c r="H2090">
        <v>11639</v>
      </c>
      <c r="I2090" s="1">
        <v>45170</v>
      </c>
      <c r="J2090">
        <v>383</v>
      </c>
      <c r="K2090" t="s">
        <v>23</v>
      </c>
    </row>
    <row r="2091" spans="1:11">
      <c r="A2091" s="1">
        <v>45197</v>
      </c>
      <c r="B2091" t="s">
        <v>40</v>
      </c>
      <c r="C2091" t="s">
        <v>35</v>
      </c>
      <c r="D2091">
        <v>424</v>
      </c>
      <c r="E2091">
        <v>264</v>
      </c>
      <c r="F2091">
        <v>135</v>
      </c>
      <c r="G2091">
        <v>2</v>
      </c>
      <c r="H2091">
        <v>825</v>
      </c>
      <c r="I2091" s="1">
        <v>45170</v>
      </c>
      <c r="J2091">
        <v>137</v>
      </c>
      <c r="K2091" t="s">
        <v>23</v>
      </c>
    </row>
    <row r="2092" spans="1:11">
      <c r="A2092" s="1">
        <v>45197</v>
      </c>
      <c r="B2092" t="s">
        <v>21</v>
      </c>
      <c r="C2092" t="s">
        <v>27</v>
      </c>
      <c r="D2092">
        <v>152</v>
      </c>
      <c r="E2092">
        <v>7</v>
      </c>
      <c r="F2092">
        <v>8</v>
      </c>
      <c r="G2092">
        <v>2</v>
      </c>
      <c r="H2092">
        <v>168</v>
      </c>
      <c r="I2092" s="1">
        <v>45170</v>
      </c>
      <c r="J2092">
        <v>10</v>
      </c>
      <c r="K2092" t="s">
        <v>23</v>
      </c>
    </row>
    <row r="2093" spans="1:11">
      <c r="A2093" s="1">
        <v>45197</v>
      </c>
      <c r="B2093" t="s">
        <v>21</v>
      </c>
      <c r="C2093" t="s">
        <v>25</v>
      </c>
      <c r="D2093">
        <v>315</v>
      </c>
      <c r="E2093">
        <v>76</v>
      </c>
      <c r="F2093">
        <v>20</v>
      </c>
      <c r="G2093">
        <v>2</v>
      </c>
      <c r="H2093">
        <v>412</v>
      </c>
      <c r="I2093" s="1">
        <v>45170</v>
      </c>
      <c r="J2093">
        <v>22</v>
      </c>
      <c r="K2093" t="s">
        <v>23</v>
      </c>
    </row>
    <row r="2094" spans="1:11">
      <c r="A2094" s="1">
        <v>45197</v>
      </c>
      <c r="B2094" t="s">
        <v>21</v>
      </c>
      <c r="C2094" t="s">
        <v>29</v>
      </c>
      <c r="D2094">
        <v>374</v>
      </c>
      <c r="E2094">
        <v>28</v>
      </c>
      <c r="F2094">
        <v>2</v>
      </c>
      <c r="G2094">
        <v>2</v>
      </c>
      <c r="H2094">
        <v>406</v>
      </c>
      <c r="I2094" s="1">
        <v>45170</v>
      </c>
      <c r="J2094">
        <v>4</v>
      </c>
      <c r="K2094" t="s">
        <v>23</v>
      </c>
    </row>
    <row r="2095" spans="1:11">
      <c r="A2095" s="1">
        <v>45197</v>
      </c>
      <c r="B2095" t="s">
        <v>21</v>
      </c>
      <c r="C2095" t="s">
        <v>32</v>
      </c>
      <c r="D2095">
        <v>327</v>
      </c>
      <c r="E2095">
        <v>76</v>
      </c>
      <c r="F2095">
        <v>3</v>
      </c>
      <c r="G2095">
        <v>2</v>
      </c>
      <c r="H2095">
        <v>407</v>
      </c>
      <c r="I2095" s="1">
        <v>45170</v>
      </c>
      <c r="J2095">
        <v>5</v>
      </c>
      <c r="K2095" t="s">
        <v>23</v>
      </c>
    </row>
    <row r="2096" spans="1:11">
      <c r="A2096" s="1">
        <v>45225</v>
      </c>
      <c r="B2096" t="s">
        <v>40</v>
      </c>
      <c r="C2096" t="s">
        <v>55</v>
      </c>
      <c r="D2096">
        <v>4542</v>
      </c>
      <c r="E2096">
        <v>207</v>
      </c>
      <c r="F2096">
        <v>205</v>
      </c>
      <c r="G2096">
        <v>2</v>
      </c>
      <c r="H2096">
        <v>4956</v>
      </c>
      <c r="I2096" s="1">
        <v>45200</v>
      </c>
      <c r="J2096">
        <v>207</v>
      </c>
      <c r="K2096" t="s">
        <v>23</v>
      </c>
    </row>
    <row r="2097" spans="1:11">
      <c r="A2097" s="1">
        <v>45225</v>
      </c>
      <c r="B2097" t="s">
        <v>40</v>
      </c>
      <c r="C2097" t="s">
        <v>37</v>
      </c>
      <c r="D2097">
        <v>523</v>
      </c>
      <c r="E2097">
        <v>321</v>
      </c>
      <c r="F2097">
        <v>159</v>
      </c>
      <c r="G2097">
        <v>2</v>
      </c>
      <c r="H2097">
        <v>1005</v>
      </c>
      <c r="I2097" s="1">
        <v>45200</v>
      </c>
      <c r="J2097">
        <v>161</v>
      </c>
      <c r="K2097" t="s">
        <v>23</v>
      </c>
    </row>
    <row r="2098" spans="1:11">
      <c r="A2098" s="1">
        <v>45225</v>
      </c>
      <c r="B2098" t="s">
        <v>40</v>
      </c>
      <c r="C2098" t="s">
        <v>35</v>
      </c>
      <c r="D2098">
        <v>373</v>
      </c>
      <c r="E2098">
        <v>261</v>
      </c>
      <c r="F2098">
        <v>144</v>
      </c>
      <c r="G2098">
        <v>2</v>
      </c>
      <c r="H2098">
        <v>780</v>
      </c>
      <c r="I2098" s="1">
        <v>45200</v>
      </c>
      <c r="J2098">
        <v>146</v>
      </c>
      <c r="K2098" t="s">
        <v>23</v>
      </c>
    </row>
    <row r="2099" spans="1:11">
      <c r="A2099" s="1">
        <v>45225</v>
      </c>
      <c r="B2099" t="s">
        <v>40</v>
      </c>
      <c r="C2099" t="s">
        <v>34</v>
      </c>
      <c r="D2099">
        <v>3495</v>
      </c>
      <c r="E2099">
        <v>323</v>
      </c>
      <c r="F2099">
        <v>0</v>
      </c>
      <c r="G2099">
        <v>2</v>
      </c>
      <c r="H2099">
        <v>3820</v>
      </c>
      <c r="I2099" s="1">
        <v>45200</v>
      </c>
      <c r="J2099">
        <v>2</v>
      </c>
      <c r="K2099" t="s">
        <v>23</v>
      </c>
    </row>
    <row r="2100" spans="1:11">
      <c r="A2100" s="1">
        <v>45225</v>
      </c>
      <c r="B2100" t="s">
        <v>21</v>
      </c>
      <c r="C2100" t="s">
        <v>27</v>
      </c>
      <c r="D2100">
        <v>155</v>
      </c>
      <c r="E2100">
        <v>3</v>
      </c>
      <c r="F2100">
        <v>3</v>
      </c>
      <c r="G2100">
        <v>2</v>
      </c>
      <c r="H2100">
        <v>163</v>
      </c>
      <c r="I2100" s="1">
        <v>45200</v>
      </c>
      <c r="J2100">
        <v>5</v>
      </c>
      <c r="K2100" t="s">
        <v>23</v>
      </c>
    </row>
    <row r="2101" spans="1:11">
      <c r="A2101" s="1">
        <v>45225</v>
      </c>
      <c r="B2101" t="s">
        <v>21</v>
      </c>
      <c r="C2101" t="s">
        <v>28</v>
      </c>
      <c r="D2101">
        <v>218</v>
      </c>
      <c r="E2101">
        <v>160</v>
      </c>
      <c r="F2101">
        <v>36</v>
      </c>
      <c r="G2101">
        <v>2</v>
      </c>
      <c r="H2101">
        <v>417</v>
      </c>
      <c r="I2101" s="1">
        <v>45200</v>
      </c>
      <c r="J2101">
        <v>38</v>
      </c>
      <c r="K2101" t="s">
        <v>23</v>
      </c>
    </row>
    <row r="2102" spans="1:11">
      <c r="A2102" s="1">
        <v>45225</v>
      </c>
      <c r="B2102" t="s">
        <v>21</v>
      </c>
      <c r="C2102" t="s">
        <v>25</v>
      </c>
      <c r="D2102">
        <v>309</v>
      </c>
      <c r="E2102">
        <v>67</v>
      </c>
      <c r="F2102">
        <v>2</v>
      </c>
      <c r="G2102">
        <v>2</v>
      </c>
      <c r="H2102">
        <v>379</v>
      </c>
      <c r="I2102" s="1">
        <v>45200</v>
      </c>
      <c r="J2102">
        <v>4</v>
      </c>
      <c r="K2102" t="s">
        <v>23</v>
      </c>
    </row>
    <row r="2103" spans="1:11">
      <c r="A2103" s="1">
        <v>45225</v>
      </c>
      <c r="B2103" t="s">
        <v>21</v>
      </c>
      <c r="C2103" t="s">
        <v>29</v>
      </c>
      <c r="D2103">
        <v>385</v>
      </c>
      <c r="E2103">
        <v>21</v>
      </c>
      <c r="F2103">
        <v>3</v>
      </c>
      <c r="G2103">
        <v>2</v>
      </c>
      <c r="H2103">
        <v>412</v>
      </c>
      <c r="I2103" s="1">
        <v>45200</v>
      </c>
      <c r="J2103">
        <v>5</v>
      </c>
      <c r="K2103" t="s">
        <v>23</v>
      </c>
    </row>
    <row r="2104" spans="1:11">
      <c r="A2104" s="1">
        <v>45225</v>
      </c>
      <c r="B2104" t="s">
        <v>21</v>
      </c>
      <c r="C2104" t="s">
        <v>32</v>
      </c>
      <c r="D2104">
        <v>324</v>
      </c>
      <c r="E2104">
        <v>64</v>
      </c>
      <c r="F2104">
        <v>5</v>
      </c>
      <c r="G2104">
        <v>2</v>
      </c>
      <c r="H2104">
        <v>395</v>
      </c>
      <c r="I2104" s="1">
        <v>45200</v>
      </c>
      <c r="J2104">
        <v>7</v>
      </c>
      <c r="K2104" t="s">
        <v>23</v>
      </c>
    </row>
    <row r="2105" spans="1:11">
      <c r="A2105" s="1">
        <v>45260</v>
      </c>
      <c r="B2105" t="s">
        <v>40</v>
      </c>
      <c r="C2105" t="s">
        <v>37</v>
      </c>
      <c r="D2105">
        <v>536</v>
      </c>
      <c r="E2105">
        <v>341</v>
      </c>
      <c r="F2105">
        <v>197</v>
      </c>
      <c r="G2105">
        <v>2</v>
      </c>
      <c r="H2105">
        <v>1077</v>
      </c>
      <c r="I2105" s="1">
        <v>45231</v>
      </c>
      <c r="J2105">
        <v>199</v>
      </c>
      <c r="K2105" t="s">
        <v>23</v>
      </c>
    </row>
    <row r="2106" spans="1:11">
      <c r="A2106" s="1">
        <v>45260</v>
      </c>
      <c r="B2106" t="s">
        <v>40</v>
      </c>
      <c r="C2106" t="s">
        <v>35</v>
      </c>
      <c r="D2106">
        <v>387</v>
      </c>
      <c r="E2106">
        <v>249</v>
      </c>
      <c r="F2106">
        <v>173</v>
      </c>
      <c r="G2106">
        <v>2</v>
      </c>
      <c r="H2106">
        <v>811</v>
      </c>
      <c r="I2106" s="1">
        <v>45231</v>
      </c>
      <c r="J2106">
        <v>175</v>
      </c>
      <c r="K2106" t="s">
        <v>23</v>
      </c>
    </row>
    <row r="2107" spans="1:11">
      <c r="A2107" s="1">
        <v>45260</v>
      </c>
      <c r="B2107" t="s">
        <v>21</v>
      </c>
      <c r="C2107" t="s">
        <v>27</v>
      </c>
      <c r="D2107">
        <v>166</v>
      </c>
      <c r="E2107">
        <v>4</v>
      </c>
      <c r="F2107">
        <v>4</v>
      </c>
      <c r="G2107">
        <v>2</v>
      </c>
      <c r="H2107">
        <v>175</v>
      </c>
      <c r="I2107" s="1">
        <v>45231</v>
      </c>
      <c r="J2107">
        <v>6</v>
      </c>
      <c r="K2107" t="s">
        <v>23</v>
      </c>
    </row>
    <row r="2108" spans="1:11">
      <c r="A2108" s="1">
        <v>45260</v>
      </c>
      <c r="B2108" t="s">
        <v>21</v>
      </c>
      <c r="C2108" t="s">
        <v>28</v>
      </c>
      <c r="D2108">
        <v>203</v>
      </c>
      <c r="E2108">
        <v>186</v>
      </c>
      <c r="F2108">
        <v>47</v>
      </c>
      <c r="G2108">
        <v>2</v>
      </c>
      <c r="H2108">
        <v>438</v>
      </c>
      <c r="I2108" s="1">
        <v>45231</v>
      </c>
      <c r="J2108">
        <v>49</v>
      </c>
      <c r="K2108" t="s">
        <v>23</v>
      </c>
    </row>
    <row r="2109" spans="1:11">
      <c r="A2109" s="1">
        <v>45260</v>
      </c>
      <c r="B2109" t="s">
        <v>21</v>
      </c>
      <c r="C2109" t="s">
        <v>25</v>
      </c>
      <c r="D2109">
        <v>273</v>
      </c>
      <c r="E2109">
        <v>68</v>
      </c>
      <c r="F2109">
        <v>4</v>
      </c>
      <c r="G2109">
        <v>2</v>
      </c>
      <c r="H2109">
        <v>346</v>
      </c>
      <c r="I2109" s="1">
        <v>45231</v>
      </c>
      <c r="J2109">
        <v>6</v>
      </c>
      <c r="K2109" t="s">
        <v>23</v>
      </c>
    </row>
    <row r="2110" spans="1:11">
      <c r="A2110" s="1">
        <v>45260</v>
      </c>
      <c r="B2110" t="s">
        <v>21</v>
      </c>
      <c r="C2110" t="s">
        <v>29</v>
      </c>
      <c r="D2110">
        <v>375</v>
      </c>
      <c r="E2110">
        <v>31</v>
      </c>
      <c r="F2110">
        <v>4</v>
      </c>
      <c r="G2110">
        <v>2</v>
      </c>
      <c r="H2110">
        <v>412</v>
      </c>
      <c r="I2110" s="1">
        <v>45231</v>
      </c>
      <c r="J2110">
        <v>6</v>
      </c>
      <c r="K2110" t="s">
        <v>23</v>
      </c>
    </row>
    <row r="2111" spans="1:11">
      <c r="A2111" s="1">
        <v>45260</v>
      </c>
      <c r="B2111" t="s">
        <v>21</v>
      </c>
      <c r="C2111" t="s">
        <v>49</v>
      </c>
      <c r="D2111">
        <v>592</v>
      </c>
      <c r="E2111">
        <v>383</v>
      </c>
      <c r="F2111">
        <v>84</v>
      </c>
      <c r="G2111">
        <v>2</v>
      </c>
      <c r="H2111">
        <v>1061</v>
      </c>
      <c r="I2111" s="1">
        <v>45231</v>
      </c>
      <c r="J2111">
        <v>86</v>
      </c>
      <c r="K2111" t="s">
        <v>23</v>
      </c>
    </row>
    <row r="2112" spans="1:11">
      <c r="A2112" s="1">
        <v>45288</v>
      </c>
      <c r="B2112" t="s">
        <v>40</v>
      </c>
      <c r="C2112" t="s">
        <v>37</v>
      </c>
      <c r="D2112">
        <v>520</v>
      </c>
      <c r="E2112">
        <v>344</v>
      </c>
      <c r="F2112">
        <v>203</v>
      </c>
      <c r="G2112">
        <v>2</v>
      </c>
      <c r="H2112">
        <v>1069</v>
      </c>
      <c r="I2112" s="1">
        <v>45261</v>
      </c>
      <c r="J2112">
        <v>205</v>
      </c>
      <c r="K2112" t="s">
        <v>23</v>
      </c>
    </row>
    <row r="2113" spans="1:11">
      <c r="A2113" s="1">
        <v>45288</v>
      </c>
      <c r="B2113" t="s">
        <v>40</v>
      </c>
      <c r="C2113" t="s">
        <v>35</v>
      </c>
      <c r="D2113">
        <v>349</v>
      </c>
      <c r="E2113">
        <v>246</v>
      </c>
      <c r="F2113">
        <v>185</v>
      </c>
      <c r="G2113">
        <v>2</v>
      </c>
      <c r="H2113">
        <v>782</v>
      </c>
      <c r="I2113" s="1">
        <v>45261</v>
      </c>
      <c r="J2113">
        <v>187</v>
      </c>
      <c r="K2113" t="s">
        <v>23</v>
      </c>
    </row>
    <row r="2114" spans="1:11">
      <c r="A2114" s="1">
        <v>45288</v>
      </c>
      <c r="B2114" t="s">
        <v>21</v>
      </c>
      <c r="C2114" t="s">
        <v>28</v>
      </c>
      <c r="D2114">
        <v>215</v>
      </c>
      <c r="E2114">
        <v>181</v>
      </c>
      <c r="F2114">
        <v>52</v>
      </c>
      <c r="G2114">
        <v>2</v>
      </c>
      <c r="H2114">
        <v>450</v>
      </c>
      <c r="I2114" s="1">
        <v>45261</v>
      </c>
      <c r="J2114">
        <v>54</v>
      </c>
      <c r="K2114" t="s">
        <v>23</v>
      </c>
    </row>
    <row r="2115" spans="1:11">
      <c r="A2115" s="1">
        <v>45288</v>
      </c>
      <c r="B2115" t="s">
        <v>21</v>
      </c>
      <c r="C2115" t="s">
        <v>25</v>
      </c>
      <c r="D2115">
        <v>249</v>
      </c>
      <c r="E2115">
        <v>58</v>
      </c>
      <c r="F2115">
        <v>2</v>
      </c>
      <c r="G2115">
        <v>2</v>
      </c>
      <c r="H2115">
        <v>311</v>
      </c>
      <c r="I2115" s="1">
        <v>45261</v>
      </c>
      <c r="J2115">
        <v>4</v>
      </c>
      <c r="K2115" t="s">
        <v>23</v>
      </c>
    </row>
    <row r="2116" spans="1:11">
      <c r="A2116" s="1">
        <v>45288</v>
      </c>
      <c r="B2116" t="s">
        <v>21</v>
      </c>
      <c r="C2116" t="s">
        <v>52</v>
      </c>
      <c r="D2116">
        <v>2191</v>
      </c>
      <c r="E2116">
        <v>1122</v>
      </c>
      <c r="F2116">
        <v>13</v>
      </c>
      <c r="G2116">
        <v>2</v>
      </c>
      <c r="H2116">
        <v>3328</v>
      </c>
      <c r="I2116" s="1">
        <v>45261</v>
      </c>
      <c r="J2116">
        <v>15</v>
      </c>
      <c r="K2116" t="s">
        <v>23</v>
      </c>
    </row>
    <row r="2117" spans="1:11">
      <c r="A2117" s="1">
        <v>45288</v>
      </c>
      <c r="B2117" t="s">
        <v>21</v>
      </c>
      <c r="C2117" t="s">
        <v>29</v>
      </c>
      <c r="D2117">
        <v>377</v>
      </c>
      <c r="E2117">
        <v>33</v>
      </c>
      <c r="F2117">
        <v>8</v>
      </c>
      <c r="G2117">
        <v>2</v>
      </c>
      <c r="H2117">
        <v>420</v>
      </c>
      <c r="I2117" s="1">
        <v>45261</v>
      </c>
      <c r="J2117">
        <v>10</v>
      </c>
      <c r="K2117" t="s">
        <v>23</v>
      </c>
    </row>
    <row r="2118" spans="1:11">
      <c r="A2118" s="1">
        <v>45288</v>
      </c>
      <c r="B2118" t="s">
        <v>21</v>
      </c>
      <c r="C2118" t="s">
        <v>32</v>
      </c>
      <c r="D2118">
        <v>320</v>
      </c>
      <c r="E2118">
        <v>31</v>
      </c>
      <c r="F2118">
        <v>2</v>
      </c>
      <c r="G2118">
        <v>2</v>
      </c>
      <c r="H2118">
        <v>355</v>
      </c>
      <c r="I2118" s="1">
        <v>45261</v>
      </c>
      <c r="J2118">
        <v>4</v>
      </c>
      <c r="K2118" t="s">
        <v>23</v>
      </c>
    </row>
    <row r="2119" spans="1:11">
      <c r="A2119" s="1">
        <v>45316</v>
      </c>
      <c r="B2119" t="s">
        <v>40</v>
      </c>
      <c r="C2119" t="s">
        <v>42</v>
      </c>
      <c r="D2119">
        <v>1656</v>
      </c>
      <c r="E2119">
        <v>429</v>
      </c>
      <c r="F2119">
        <v>5</v>
      </c>
      <c r="G2119">
        <v>2</v>
      </c>
      <c r="H2119">
        <v>2091</v>
      </c>
      <c r="I2119" s="1">
        <v>45292</v>
      </c>
      <c r="J2119">
        <v>7</v>
      </c>
      <c r="K2119" t="s">
        <v>23</v>
      </c>
    </row>
    <row r="2120" spans="1:11">
      <c r="A2120" s="1">
        <v>45316</v>
      </c>
      <c r="B2120" t="s">
        <v>21</v>
      </c>
      <c r="C2120" t="s">
        <v>29</v>
      </c>
      <c r="D2120">
        <v>392</v>
      </c>
      <c r="E2120">
        <v>32</v>
      </c>
      <c r="F2120">
        <v>9</v>
      </c>
      <c r="G2120">
        <v>2</v>
      </c>
      <c r="H2120">
        <v>435</v>
      </c>
      <c r="I2120" s="1">
        <v>45292</v>
      </c>
      <c r="J2120">
        <v>11</v>
      </c>
      <c r="K2120" t="s">
        <v>23</v>
      </c>
    </row>
    <row r="2121" spans="1:11">
      <c r="A2121" s="1">
        <v>45351</v>
      </c>
      <c r="B2121" t="s">
        <v>40</v>
      </c>
      <c r="C2121" t="s">
        <v>38</v>
      </c>
      <c r="D2121">
        <v>2452</v>
      </c>
      <c r="E2121">
        <v>608</v>
      </c>
      <c r="F2121">
        <v>36</v>
      </c>
      <c r="G2121">
        <v>2</v>
      </c>
      <c r="H2121">
        <v>3097</v>
      </c>
      <c r="I2121" s="1">
        <v>45323</v>
      </c>
      <c r="J2121">
        <v>38</v>
      </c>
      <c r="K2121" t="s">
        <v>23</v>
      </c>
    </row>
    <row r="2122" spans="1:11">
      <c r="A2122" s="1">
        <v>45351</v>
      </c>
      <c r="B2122" t="s">
        <v>21</v>
      </c>
      <c r="C2122" t="s">
        <v>27</v>
      </c>
      <c r="D2122">
        <v>179</v>
      </c>
      <c r="E2122">
        <v>15</v>
      </c>
      <c r="F2122">
        <v>3</v>
      </c>
      <c r="G2122">
        <v>2</v>
      </c>
      <c r="H2122">
        <v>198</v>
      </c>
      <c r="I2122" s="1">
        <v>45323</v>
      </c>
      <c r="J2122">
        <v>5</v>
      </c>
      <c r="K2122" t="s">
        <v>23</v>
      </c>
    </row>
    <row r="2123" spans="1:11">
      <c r="A2123" s="1">
        <v>45351</v>
      </c>
      <c r="B2123" t="s">
        <v>21</v>
      </c>
      <c r="C2123" t="s">
        <v>25</v>
      </c>
      <c r="D2123">
        <v>195</v>
      </c>
      <c r="E2123">
        <v>77</v>
      </c>
      <c r="F2123">
        <v>5</v>
      </c>
      <c r="G2123">
        <v>2</v>
      </c>
      <c r="H2123">
        <v>279</v>
      </c>
      <c r="I2123" s="1">
        <v>45323</v>
      </c>
      <c r="J2123">
        <v>7</v>
      </c>
      <c r="K2123" t="s">
        <v>23</v>
      </c>
    </row>
    <row r="2124" spans="1:11">
      <c r="A2124" s="1">
        <v>45351</v>
      </c>
      <c r="B2124" t="s">
        <v>21</v>
      </c>
      <c r="C2124" t="s">
        <v>29</v>
      </c>
      <c r="D2124">
        <v>391</v>
      </c>
      <c r="E2124">
        <v>33</v>
      </c>
      <c r="F2124">
        <v>5</v>
      </c>
      <c r="G2124">
        <v>2</v>
      </c>
      <c r="H2124">
        <v>431</v>
      </c>
      <c r="I2124" s="1">
        <v>45323</v>
      </c>
      <c r="J2124">
        <v>7</v>
      </c>
      <c r="K2124" t="s">
        <v>23</v>
      </c>
    </row>
    <row r="2125" spans="1:11">
      <c r="A2125" s="1">
        <v>45351</v>
      </c>
      <c r="B2125" t="s">
        <v>21</v>
      </c>
      <c r="C2125" t="s">
        <v>44</v>
      </c>
      <c r="D2125">
        <v>756</v>
      </c>
      <c r="E2125">
        <v>238</v>
      </c>
      <c r="F2125">
        <v>51</v>
      </c>
      <c r="G2125">
        <v>2</v>
      </c>
      <c r="H2125">
        <v>1047</v>
      </c>
      <c r="I2125" s="1">
        <v>45323</v>
      </c>
      <c r="J2125">
        <v>53</v>
      </c>
      <c r="K2125" t="s">
        <v>23</v>
      </c>
    </row>
    <row r="2126" spans="1:11">
      <c r="A2126" s="1">
        <v>45379</v>
      </c>
      <c r="B2126" t="s">
        <v>40</v>
      </c>
      <c r="C2126" t="s">
        <v>43</v>
      </c>
      <c r="D2126">
        <v>8179</v>
      </c>
      <c r="E2126">
        <v>2045</v>
      </c>
      <c r="F2126">
        <v>245</v>
      </c>
      <c r="G2126">
        <v>2</v>
      </c>
      <c r="H2126">
        <v>10471</v>
      </c>
      <c r="I2126" s="1">
        <v>45352</v>
      </c>
      <c r="J2126">
        <v>247</v>
      </c>
      <c r="K2126" t="s">
        <v>23</v>
      </c>
    </row>
    <row r="2127" spans="1:11">
      <c r="A2127" s="1">
        <v>45379</v>
      </c>
      <c r="B2127" t="s">
        <v>21</v>
      </c>
      <c r="C2127" t="s">
        <v>41</v>
      </c>
      <c r="D2127">
        <v>847</v>
      </c>
      <c r="E2127">
        <v>308</v>
      </c>
      <c r="F2127">
        <v>5</v>
      </c>
      <c r="G2127">
        <v>2</v>
      </c>
      <c r="H2127">
        <v>1162</v>
      </c>
      <c r="I2127" s="1">
        <v>45352</v>
      </c>
      <c r="J2127">
        <v>7</v>
      </c>
      <c r="K2127" t="s">
        <v>23</v>
      </c>
    </row>
    <row r="2128" spans="1:11">
      <c r="A2128" s="1">
        <v>45379</v>
      </c>
      <c r="B2128" t="s">
        <v>21</v>
      </c>
      <c r="C2128" t="s">
        <v>27</v>
      </c>
      <c r="D2128">
        <v>182</v>
      </c>
      <c r="E2128">
        <v>21</v>
      </c>
      <c r="F2128">
        <v>4</v>
      </c>
      <c r="G2128">
        <v>2</v>
      </c>
      <c r="H2128">
        <v>208</v>
      </c>
      <c r="I2128" s="1">
        <v>45352</v>
      </c>
      <c r="J2128">
        <v>6</v>
      </c>
      <c r="K2128" t="s">
        <v>23</v>
      </c>
    </row>
    <row r="2129" spans="1:11">
      <c r="A2129" s="1">
        <v>45379</v>
      </c>
      <c r="B2129" t="s">
        <v>21</v>
      </c>
      <c r="C2129" t="s">
        <v>25</v>
      </c>
      <c r="D2129">
        <v>166</v>
      </c>
      <c r="E2129">
        <v>95</v>
      </c>
      <c r="F2129">
        <v>4</v>
      </c>
      <c r="G2129">
        <v>2</v>
      </c>
      <c r="H2129">
        <v>266</v>
      </c>
      <c r="I2129" s="1">
        <v>45352</v>
      </c>
      <c r="J2129">
        <v>6</v>
      </c>
      <c r="K2129" t="s">
        <v>23</v>
      </c>
    </row>
    <row r="2130" spans="1:11">
      <c r="A2130" s="1">
        <v>45379</v>
      </c>
      <c r="B2130" t="s">
        <v>21</v>
      </c>
      <c r="C2130" t="s">
        <v>29</v>
      </c>
      <c r="D2130">
        <v>407</v>
      </c>
      <c r="E2130">
        <v>29</v>
      </c>
      <c r="F2130">
        <v>9</v>
      </c>
      <c r="G2130">
        <v>2</v>
      </c>
      <c r="H2130">
        <v>448</v>
      </c>
      <c r="I2130" s="1">
        <v>45352</v>
      </c>
      <c r="J2130">
        <v>11</v>
      </c>
      <c r="K2130" t="s">
        <v>23</v>
      </c>
    </row>
    <row r="2131" spans="1:11">
      <c r="A2131" s="1">
        <v>45407</v>
      </c>
      <c r="B2131" t="s">
        <v>40</v>
      </c>
      <c r="C2131" t="s">
        <v>50</v>
      </c>
      <c r="D2131">
        <v>697</v>
      </c>
      <c r="E2131">
        <v>103</v>
      </c>
      <c r="F2131">
        <v>16</v>
      </c>
      <c r="G2131">
        <v>2</v>
      </c>
      <c r="H2131">
        <v>818</v>
      </c>
      <c r="I2131" s="1">
        <v>45383</v>
      </c>
      <c r="J2131">
        <v>18</v>
      </c>
      <c r="K2131" t="s">
        <v>23</v>
      </c>
    </row>
    <row r="2132" spans="1:11">
      <c r="A2132" s="1">
        <v>45407</v>
      </c>
      <c r="B2132" t="s">
        <v>40</v>
      </c>
      <c r="C2132" t="s">
        <v>34</v>
      </c>
      <c r="D2132">
        <v>3734</v>
      </c>
      <c r="E2132">
        <v>821</v>
      </c>
      <c r="F2132">
        <v>0</v>
      </c>
      <c r="G2132">
        <v>2</v>
      </c>
      <c r="H2132">
        <v>4557</v>
      </c>
      <c r="I2132" s="1">
        <v>45383</v>
      </c>
      <c r="J2132">
        <v>2</v>
      </c>
      <c r="K2132" t="s">
        <v>23</v>
      </c>
    </row>
    <row r="2133" spans="1:11">
      <c r="A2133" s="1">
        <v>45407</v>
      </c>
      <c r="B2133" t="s">
        <v>21</v>
      </c>
      <c r="C2133" t="s">
        <v>27</v>
      </c>
      <c r="D2133">
        <v>177</v>
      </c>
      <c r="E2133">
        <v>24</v>
      </c>
      <c r="F2133">
        <v>4</v>
      </c>
      <c r="G2133">
        <v>2</v>
      </c>
      <c r="H2133">
        <v>207</v>
      </c>
      <c r="I2133" s="1">
        <v>45383</v>
      </c>
      <c r="J2133">
        <v>6</v>
      </c>
      <c r="K2133" t="s">
        <v>23</v>
      </c>
    </row>
    <row r="2134" spans="1:11">
      <c r="A2134" s="1">
        <v>45407</v>
      </c>
      <c r="B2134" t="s">
        <v>21</v>
      </c>
      <c r="C2134" t="s">
        <v>37</v>
      </c>
      <c r="D2134">
        <v>27</v>
      </c>
      <c r="E2134">
        <v>9</v>
      </c>
      <c r="F2134">
        <v>2</v>
      </c>
      <c r="G2134">
        <v>2</v>
      </c>
      <c r="H2134">
        <v>40</v>
      </c>
      <c r="I2134" s="1">
        <v>45383</v>
      </c>
      <c r="J2134">
        <v>4</v>
      </c>
      <c r="K2134" t="s">
        <v>23</v>
      </c>
    </row>
    <row r="2135" spans="1:11">
      <c r="A2135" s="1">
        <v>45407</v>
      </c>
      <c r="B2135" t="s">
        <v>21</v>
      </c>
      <c r="C2135" t="s">
        <v>29</v>
      </c>
      <c r="D2135">
        <v>457</v>
      </c>
      <c r="E2135">
        <v>27</v>
      </c>
      <c r="F2135">
        <v>7</v>
      </c>
      <c r="G2135">
        <v>2</v>
      </c>
      <c r="H2135">
        <v>493</v>
      </c>
      <c r="I2135" s="1">
        <v>45383</v>
      </c>
      <c r="J2135">
        <v>9</v>
      </c>
      <c r="K2135" t="s">
        <v>23</v>
      </c>
    </row>
    <row r="2136" spans="1:11">
      <c r="A2136" s="1">
        <v>45442</v>
      </c>
      <c r="B2136" t="s">
        <v>21</v>
      </c>
      <c r="C2136" t="s">
        <v>41</v>
      </c>
      <c r="D2136">
        <v>850</v>
      </c>
      <c r="E2136">
        <v>291</v>
      </c>
      <c r="F2136">
        <v>30</v>
      </c>
      <c r="G2136">
        <v>2</v>
      </c>
      <c r="H2136">
        <v>1173</v>
      </c>
      <c r="I2136" s="1">
        <v>45413</v>
      </c>
      <c r="J2136">
        <v>32</v>
      </c>
      <c r="K2136" t="s">
        <v>23</v>
      </c>
    </row>
    <row r="2137" spans="1:11">
      <c r="A2137" s="1">
        <v>45442</v>
      </c>
      <c r="B2137" t="s">
        <v>21</v>
      </c>
      <c r="C2137" t="s">
        <v>27</v>
      </c>
      <c r="D2137">
        <v>214</v>
      </c>
      <c r="E2137">
        <v>17</v>
      </c>
      <c r="F2137">
        <v>2</v>
      </c>
      <c r="G2137">
        <v>2</v>
      </c>
      <c r="H2137">
        <v>236</v>
      </c>
      <c r="I2137" s="1">
        <v>45413</v>
      </c>
      <c r="J2137">
        <v>4</v>
      </c>
      <c r="K2137" t="s">
        <v>23</v>
      </c>
    </row>
    <row r="2138" spans="1:11">
      <c r="A2138" s="1">
        <v>45470</v>
      </c>
      <c r="B2138" t="s">
        <v>21</v>
      </c>
      <c r="C2138" t="s">
        <v>27</v>
      </c>
      <c r="D2138">
        <v>208</v>
      </c>
      <c r="E2138">
        <v>13</v>
      </c>
      <c r="F2138">
        <v>2</v>
      </c>
      <c r="G2138">
        <v>2</v>
      </c>
      <c r="H2138">
        <v>225</v>
      </c>
      <c r="I2138" s="1">
        <v>45444</v>
      </c>
      <c r="J2138">
        <v>4</v>
      </c>
      <c r="K2138" t="s">
        <v>23</v>
      </c>
    </row>
    <row r="2139" spans="1:11">
      <c r="A2139" s="1">
        <v>45498</v>
      </c>
      <c r="B2139" t="s">
        <v>40</v>
      </c>
      <c r="C2139" t="s">
        <v>43</v>
      </c>
      <c r="D2139">
        <v>9220</v>
      </c>
      <c r="E2139">
        <v>1963</v>
      </c>
      <c r="F2139">
        <v>215</v>
      </c>
      <c r="G2139">
        <v>2</v>
      </c>
      <c r="H2139">
        <v>11400</v>
      </c>
      <c r="I2139" s="1">
        <v>45474</v>
      </c>
      <c r="J2139">
        <v>217</v>
      </c>
      <c r="K2139" t="s">
        <v>23</v>
      </c>
    </row>
    <row r="2140" spans="1:11">
      <c r="A2140" s="1">
        <v>45498</v>
      </c>
      <c r="B2140" t="s">
        <v>21</v>
      </c>
      <c r="C2140" t="s">
        <v>27</v>
      </c>
      <c r="D2140">
        <v>213</v>
      </c>
      <c r="E2140">
        <v>15</v>
      </c>
      <c r="F2140">
        <v>3</v>
      </c>
      <c r="G2140">
        <v>2</v>
      </c>
      <c r="H2140">
        <v>232</v>
      </c>
      <c r="I2140" s="1">
        <v>45474</v>
      </c>
      <c r="J2140">
        <v>5</v>
      </c>
      <c r="K2140" t="s">
        <v>23</v>
      </c>
    </row>
    <row r="2141" spans="1:11">
      <c r="A2141" s="1">
        <v>45498</v>
      </c>
      <c r="B2141" t="s">
        <v>21</v>
      </c>
      <c r="C2141" t="s">
        <v>37</v>
      </c>
      <c r="D2141">
        <v>27</v>
      </c>
      <c r="E2141">
        <v>10</v>
      </c>
      <c r="F2141">
        <v>4</v>
      </c>
      <c r="G2141">
        <v>2</v>
      </c>
      <c r="H2141">
        <v>42</v>
      </c>
      <c r="I2141" s="1">
        <v>45474</v>
      </c>
      <c r="J2141">
        <v>6</v>
      </c>
      <c r="K2141" t="s">
        <v>23</v>
      </c>
    </row>
    <row r="2142" spans="1:11">
      <c r="A2142" s="1">
        <v>45533</v>
      </c>
      <c r="B2142" t="s">
        <v>40</v>
      </c>
      <c r="C2142" t="s">
        <v>50</v>
      </c>
      <c r="D2142">
        <v>815</v>
      </c>
      <c r="E2142">
        <v>114</v>
      </c>
      <c r="F2142">
        <v>10</v>
      </c>
      <c r="G2142">
        <v>2</v>
      </c>
      <c r="H2142">
        <v>942</v>
      </c>
      <c r="I2142" s="1">
        <v>45505</v>
      </c>
      <c r="J2142">
        <v>12</v>
      </c>
      <c r="K2142" t="s">
        <v>23</v>
      </c>
    </row>
    <row r="2143" spans="1:11">
      <c r="A2143" s="1">
        <v>45533</v>
      </c>
      <c r="B2143" t="s">
        <v>40</v>
      </c>
      <c r="C2143" t="s">
        <v>30</v>
      </c>
      <c r="D2143">
        <v>2299</v>
      </c>
      <c r="E2143">
        <v>43</v>
      </c>
      <c r="F2143">
        <v>2</v>
      </c>
      <c r="G2143">
        <v>2</v>
      </c>
      <c r="H2143">
        <v>2345</v>
      </c>
      <c r="I2143" s="1">
        <v>45505</v>
      </c>
      <c r="J2143">
        <v>4</v>
      </c>
      <c r="K2143" t="s">
        <v>23</v>
      </c>
    </row>
    <row r="2144" spans="1:11">
      <c r="A2144" s="1">
        <v>45533</v>
      </c>
      <c r="B2144" t="s">
        <v>40</v>
      </c>
      <c r="C2144" t="s">
        <v>43</v>
      </c>
      <c r="D2144">
        <v>9172</v>
      </c>
      <c r="E2144">
        <v>1996</v>
      </c>
      <c r="F2144">
        <v>214</v>
      </c>
      <c r="G2144">
        <v>2</v>
      </c>
      <c r="H2144">
        <v>11384</v>
      </c>
      <c r="I2144" s="1">
        <v>45505</v>
      </c>
      <c r="J2144">
        <v>216</v>
      </c>
      <c r="K2144" t="s">
        <v>23</v>
      </c>
    </row>
    <row r="2145" spans="1:11">
      <c r="A2145" s="1">
        <v>45533</v>
      </c>
      <c r="B2145" t="s">
        <v>40</v>
      </c>
      <c r="C2145" t="s">
        <v>24</v>
      </c>
      <c r="D2145">
        <v>338</v>
      </c>
      <c r="E2145">
        <v>185</v>
      </c>
      <c r="F2145">
        <v>86</v>
      </c>
      <c r="G2145">
        <v>2</v>
      </c>
      <c r="H2145">
        <v>612</v>
      </c>
      <c r="I2145" s="1">
        <v>45505</v>
      </c>
      <c r="J2145">
        <v>88</v>
      </c>
      <c r="K2145" t="s">
        <v>23</v>
      </c>
    </row>
    <row r="2146" spans="1:11">
      <c r="A2146" s="1">
        <v>45533</v>
      </c>
      <c r="B2146" t="s">
        <v>21</v>
      </c>
      <c r="C2146" t="s">
        <v>37</v>
      </c>
      <c r="D2146">
        <v>28</v>
      </c>
      <c r="E2146">
        <v>11</v>
      </c>
      <c r="F2146">
        <v>3</v>
      </c>
      <c r="G2146">
        <v>2</v>
      </c>
      <c r="H2146">
        <v>44</v>
      </c>
      <c r="I2146" s="1">
        <v>45505</v>
      </c>
      <c r="J2146">
        <v>5</v>
      </c>
      <c r="K2146" t="s">
        <v>23</v>
      </c>
    </row>
    <row r="2147" spans="1:11">
      <c r="A2147" s="1">
        <v>45561</v>
      </c>
      <c r="B2147" t="s">
        <v>40</v>
      </c>
      <c r="C2147" t="s">
        <v>50</v>
      </c>
      <c r="D2147">
        <v>642</v>
      </c>
      <c r="E2147">
        <v>100</v>
      </c>
      <c r="F2147">
        <v>10</v>
      </c>
      <c r="G2147">
        <v>2</v>
      </c>
      <c r="H2147">
        <v>754</v>
      </c>
      <c r="I2147" s="1">
        <v>45536</v>
      </c>
      <c r="J2147">
        <v>12</v>
      </c>
      <c r="K2147" t="s">
        <v>23</v>
      </c>
    </row>
    <row r="2148" spans="1:11">
      <c r="A2148" s="1">
        <v>45561</v>
      </c>
      <c r="B2148" t="s">
        <v>40</v>
      </c>
      <c r="C2148" t="s">
        <v>30</v>
      </c>
      <c r="D2148">
        <v>2236</v>
      </c>
      <c r="E2148">
        <v>85</v>
      </c>
      <c r="F2148">
        <v>2</v>
      </c>
      <c r="G2148">
        <v>2</v>
      </c>
      <c r="H2148">
        <v>2325</v>
      </c>
      <c r="I2148" s="1">
        <v>45536</v>
      </c>
      <c r="J2148">
        <v>4</v>
      </c>
      <c r="K2148" t="s">
        <v>23</v>
      </c>
    </row>
    <row r="2149" spans="1:11">
      <c r="A2149" s="1">
        <v>45561</v>
      </c>
      <c r="B2149" t="s">
        <v>40</v>
      </c>
      <c r="C2149" t="s">
        <v>43</v>
      </c>
      <c r="D2149">
        <v>9289</v>
      </c>
      <c r="E2149">
        <v>1879</v>
      </c>
      <c r="F2149">
        <v>169</v>
      </c>
      <c r="G2149">
        <v>2</v>
      </c>
      <c r="H2149">
        <v>11340</v>
      </c>
      <c r="I2149" s="1">
        <v>45536</v>
      </c>
      <c r="J2149">
        <v>171</v>
      </c>
      <c r="K2149" t="s">
        <v>23</v>
      </c>
    </row>
    <row r="2150" spans="1:11">
      <c r="A2150" s="1">
        <v>45561</v>
      </c>
      <c r="B2150" t="s">
        <v>40</v>
      </c>
      <c r="C2150" t="s">
        <v>34</v>
      </c>
      <c r="D2150">
        <v>3816</v>
      </c>
      <c r="E2150">
        <v>743</v>
      </c>
      <c r="F2150">
        <v>2</v>
      </c>
      <c r="G2150">
        <v>2</v>
      </c>
      <c r="H2150">
        <v>4563</v>
      </c>
      <c r="I2150" s="1">
        <v>45536</v>
      </c>
      <c r="J2150">
        <v>4</v>
      </c>
      <c r="K2150" t="s">
        <v>23</v>
      </c>
    </row>
    <row r="2151" spans="1:11">
      <c r="A2151" s="1">
        <v>45561</v>
      </c>
      <c r="B2151" t="s">
        <v>40</v>
      </c>
      <c r="C2151" t="s">
        <v>24</v>
      </c>
      <c r="D2151">
        <v>338</v>
      </c>
      <c r="E2151">
        <v>160</v>
      </c>
      <c r="F2151">
        <v>84</v>
      </c>
      <c r="G2151">
        <v>2</v>
      </c>
      <c r="H2151">
        <v>585</v>
      </c>
      <c r="I2151" s="1">
        <v>45536</v>
      </c>
      <c r="J2151">
        <v>86</v>
      </c>
      <c r="K2151" t="s">
        <v>23</v>
      </c>
    </row>
    <row r="2152" spans="1:11">
      <c r="A2152" s="1">
        <v>45561</v>
      </c>
      <c r="B2152" t="s">
        <v>21</v>
      </c>
      <c r="C2152" t="s">
        <v>41</v>
      </c>
      <c r="D2152">
        <v>692</v>
      </c>
      <c r="E2152">
        <v>100</v>
      </c>
      <c r="F2152">
        <v>44</v>
      </c>
      <c r="G2152">
        <v>2</v>
      </c>
      <c r="H2152">
        <v>838</v>
      </c>
      <c r="I2152" s="1">
        <v>45536</v>
      </c>
      <c r="J2152">
        <v>46</v>
      </c>
      <c r="K2152" t="s">
        <v>23</v>
      </c>
    </row>
    <row r="2153" spans="1:11">
      <c r="A2153" s="1">
        <v>45596</v>
      </c>
      <c r="B2153" t="s">
        <v>21</v>
      </c>
      <c r="C2153" t="s">
        <v>41</v>
      </c>
      <c r="D2153">
        <v>573</v>
      </c>
      <c r="E2153">
        <v>147</v>
      </c>
      <c r="F2153">
        <v>33</v>
      </c>
      <c r="G2153">
        <v>2</v>
      </c>
      <c r="H2153">
        <v>756</v>
      </c>
      <c r="I2153" s="1">
        <v>45566</v>
      </c>
      <c r="J2153">
        <v>35</v>
      </c>
      <c r="K2153" t="s">
        <v>23</v>
      </c>
    </row>
    <row r="2154" spans="1:11">
      <c r="A2154" s="1">
        <v>45596</v>
      </c>
      <c r="B2154" t="s">
        <v>21</v>
      </c>
      <c r="C2154" t="s">
        <v>27</v>
      </c>
      <c r="D2154">
        <v>195</v>
      </c>
      <c r="E2154">
        <v>22</v>
      </c>
      <c r="F2154">
        <v>3</v>
      </c>
      <c r="G2154">
        <v>2</v>
      </c>
      <c r="H2154">
        <v>222</v>
      </c>
      <c r="I2154" s="1">
        <v>45566</v>
      </c>
      <c r="J2154">
        <v>5</v>
      </c>
      <c r="K2154" t="s">
        <v>23</v>
      </c>
    </row>
    <row r="2155" spans="1:11">
      <c r="A2155" s="1">
        <v>45596</v>
      </c>
      <c r="B2155" t="s">
        <v>21</v>
      </c>
      <c r="C2155" t="s">
        <v>37</v>
      </c>
      <c r="D2155">
        <v>21</v>
      </c>
      <c r="E2155">
        <v>19</v>
      </c>
      <c r="F2155">
        <v>4</v>
      </c>
      <c r="G2155">
        <v>2</v>
      </c>
      <c r="H2155">
        <v>45</v>
      </c>
      <c r="I2155" s="1">
        <v>45566</v>
      </c>
      <c r="J2155">
        <v>6</v>
      </c>
      <c r="K2155" t="s">
        <v>23</v>
      </c>
    </row>
    <row r="2156" spans="1:11">
      <c r="A2156" s="1">
        <v>45624</v>
      </c>
      <c r="B2156" t="s">
        <v>21</v>
      </c>
      <c r="C2156" t="s">
        <v>27</v>
      </c>
      <c r="D2156">
        <v>192</v>
      </c>
      <c r="E2156">
        <v>23</v>
      </c>
      <c r="F2156">
        <v>3</v>
      </c>
      <c r="G2156">
        <v>2</v>
      </c>
      <c r="H2156">
        <v>220</v>
      </c>
      <c r="I2156" s="1">
        <v>45597</v>
      </c>
      <c r="J2156">
        <v>5</v>
      </c>
      <c r="K2156" t="s">
        <v>23</v>
      </c>
    </row>
    <row r="2157" spans="1:11">
      <c r="A2157" s="1">
        <v>45645</v>
      </c>
      <c r="B2157" t="s">
        <v>21</v>
      </c>
      <c r="C2157" t="s">
        <v>51</v>
      </c>
      <c r="D2157">
        <v>693</v>
      </c>
      <c r="E2157">
        <v>289</v>
      </c>
      <c r="F2157">
        <v>73</v>
      </c>
      <c r="G2157">
        <v>2</v>
      </c>
      <c r="H2157">
        <v>1057</v>
      </c>
      <c r="I2157" s="1">
        <v>45627</v>
      </c>
      <c r="J2157">
        <v>75</v>
      </c>
      <c r="K2157" t="s">
        <v>23</v>
      </c>
    </row>
    <row r="2158" spans="1:11">
      <c r="A2158" s="1">
        <v>45645</v>
      </c>
      <c r="B2158" t="s">
        <v>21</v>
      </c>
      <c r="C2158" t="s">
        <v>52</v>
      </c>
      <c r="D2158">
        <v>1879</v>
      </c>
      <c r="E2158">
        <v>1241</v>
      </c>
      <c r="F2158">
        <v>447</v>
      </c>
      <c r="G2158">
        <v>2</v>
      </c>
      <c r="H2158">
        <v>3569</v>
      </c>
      <c r="I2158" s="1">
        <v>45627</v>
      </c>
      <c r="J2158">
        <v>449</v>
      </c>
      <c r="K2158" t="s">
        <v>23</v>
      </c>
    </row>
    <row r="2159" spans="1:11">
      <c r="A2159" s="1">
        <v>45687</v>
      </c>
      <c r="B2159" t="s">
        <v>40</v>
      </c>
      <c r="C2159" t="s">
        <v>46</v>
      </c>
      <c r="D2159">
        <v>2100</v>
      </c>
      <c r="E2159">
        <v>496</v>
      </c>
      <c r="F2159">
        <v>47</v>
      </c>
      <c r="G2159">
        <v>2</v>
      </c>
      <c r="H2159">
        <v>2645</v>
      </c>
      <c r="I2159" s="1">
        <v>45658</v>
      </c>
      <c r="J2159">
        <v>49</v>
      </c>
      <c r="K2159" t="s">
        <v>23</v>
      </c>
    </row>
    <row r="2160" spans="1:11">
      <c r="A2160" s="1">
        <v>45687</v>
      </c>
      <c r="B2160" t="s">
        <v>21</v>
      </c>
      <c r="C2160" t="s">
        <v>51</v>
      </c>
      <c r="D2160">
        <v>728</v>
      </c>
      <c r="E2160">
        <v>276</v>
      </c>
      <c r="F2160">
        <v>82</v>
      </c>
      <c r="G2160">
        <v>2</v>
      </c>
      <c r="H2160">
        <v>1087</v>
      </c>
      <c r="I2160" s="1">
        <v>45658</v>
      </c>
      <c r="J2160">
        <v>84</v>
      </c>
      <c r="K2160" t="s">
        <v>23</v>
      </c>
    </row>
    <row r="2161" spans="1:11">
      <c r="A2161" s="1">
        <v>45687</v>
      </c>
      <c r="B2161" t="s">
        <v>21</v>
      </c>
      <c r="C2161" t="s">
        <v>52</v>
      </c>
      <c r="D2161">
        <v>1778</v>
      </c>
      <c r="E2161">
        <v>1196</v>
      </c>
      <c r="F2161">
        <v>544</v>
      </c>
      <c r="G2161">
        <v>2</v>
      </c>
      <c r="H2161">
        <v>3520</v>
      </c>
      <c r="I2161" s="1">
        <v>45658</v>
      </c>
      <c r="J2161">
        <v>546</v>
      </c>
      <c r="K2161" t="s">
        <v>23</v>
      </c>
    </row>
    <row r="2162" spans="1:11">
      <c r="A2162" s="1">
        <v>45687</v>
      </c>
      <c r="B2162" t="s">
        <v>21</v>
      </c>
      <c r="C2162" t="s">
        <v>32</v>
      </c>
      <c r="D2162">
        <v>322</v>
      </c>
      <c r="E2162">
        <v>52</v>
      </c>
      <c r="F2162">
        <v>9</v>
      </c>
      <c r="G2162">
        <v>2</v>
      </c>
      <c r="H2162">
        <v>383</v>
      </c>
      <c r="I2162" s="1">
        <v>45658</v>
      </c>
      <c r="J2162">
        <v>11</v>
      </c>
      <c r="K2162" t="s">
        <v>23</v>
      </c>
    </row>
    <row r="2163" spans="1:11">
      <c r="A2163" s="1">
        <v>45715</v>
      </c>
      <c r="B2163" t="s">
        <v>40</v>
      </c>
      <c r="C2163" t="s">
        <v>50</v>
      </c>
      <c r="D2163">
        <v>659</v>
      </c>
      <c r="E2163">
        <v>101</v>
      </c>
      <c r="F2163">
        <v>10</v>
      </c>
      <c r="G2163">
        <v>2</v>
      </c>
      <c r="H2163">
        <v>772</v>
      </c>
      <c r="I2163" s="1">
        <v>45689</v>
      </c>
      <c r="J2163">
        <v>12</v>
      </c>
      <c r="K2163" t="s">
        <v>23</v>
      </c>
    </row>
    <row r="2164" spans="1:11">
      <c r="A2164" s="1">
        <v>45715</v>
      </c>
      <c r="B2164" t="s">
        <v>40</v>
      </c>
      <c r="C2164" t="s">
        <v>24</v>
      </c>
      <c r="D2164">
        <v>310</v>
      </c>
      <c r="E2164">
        <v>167</v>
      </c>
      <c r="F2164">
        <v>7</v>
      </c>
      <c r="G2164">
        <v>2</v>
      </c>
      <c r="H2164">
        <v>486</v>
      </c>
      <c r="I2164" s="1">
        <v>45689</v>
      </c>
      <c r="J2164">
        <v>9</v>
      </c>
      <c r="K2164" t="s">
        <v>23</v>
      </c>
    </row>
    <row r="2165" spans="1:11">
      <c r="A2165" s="1">
        <v>45715</v>
      </c>
      <c r="B2165" t="s">
        <v>21</v>
      </c>
      <c r="C2165" t="s">
        <v>27</v>
      </c>
      <c r="D2165">
        <v>200</v>
      </c>
      <c r="E2165">
        <v>19</v>
      </c>
      <c r="F2165">
        <v>4</v>
      </c>
      <c r="G2165">
        <v>2</v>
      </c>
      <c r="H2165">
        <v>224</v>
      </c>
      <c r="I2165" s="1">
        <v>45689</v>
      </c>
      <c r="J2165">
        <v>6</v>
      </c>
      <c r="K2165" t="s">
        <v>23</v>
      </c>
    </row>
    <row r="2166" spans="1:11">
      <c r="A2166" s="1">
        <v>45715</v>
      </c>
      <c r="B2166" t="s">
        <v>21</v>
      </c>
      <c r="C2166" t="s">
        <v>31</v>
      </c>
      <c r="D2166">
        <v>113</v>
      </c>
      <c r="E2166">
        <v>84</v>
      </c>
      <c r="F2166">
        <v>13</v>
      </c>
      <c r="G2166">
        <v>2</v>
      </c>
      <c r="H2166">
        <v>211</v>
      </c>
      <c r="I2166" s="1">
        <v>45689</v>
      </c>
      <c r="J2166">
        <v>15</v>
      </c>
      <c r="K2166" t="s">
        <v>23</v>
      </c>
    </row>
    <row r="2167" spans="1:11">
      <c r="A2167" s="1">
        <v>45743</v>
      </c>
      <c r="B2167" t="s">
        <v>40</v>
      </c>
      <c r="C2167" t="s">
        <v>24</v>
      </c>
      <c r="D2167">
        <v>375</v>
      </c>
      <c r="E2167">
        <v>166</v>
      </c>
      <c r="F2167">
        <v>7</v>
      </c>
      <c r="G2167">
        <v>2</v>
      </c>
      <c r="H2167">
        <v>550</v>
      </c>
      <c r="I2167" s="1">
        <v>45717</v>
      </c>
      <c r="J2167">
        <v>9</v>
      </c>
      <c r="K2167" t="s">
        <v>23</v>
      </c>
    </row>
    <row r="2168" spans="1:11">
      <c r="A2168" s="1">
        <v>45743</v>
      </c>
      <c r="B2168" t="s">
        <v>21</v>
      </c>
      <c r="C2168" t="s">
        <v>27</v>
      </c>
      <c r="D2168">
        <v>193</v>
      </c>
      <c r="E2168">
        <v>16</v>
      </c>
      <c r="F2168">
        <v>4</v>
      </c>
      <c r="G2168">
        <v>2</v>
      </c>
      <c r="H2168">
        <v>216</v>
      </c>
      <c r="I2168" s="1">
        <v>45717</v>
      </c>
      <c r="J2168">
        <v>6</v>
      </c>
      <c r="K2168" t="s">
        <v>23</v>
      </c>
    </row>
    <row r="2169" spans="1:11">
      <c r="A2169" s="1">
        <v>45743</v>
      </c>
      <c r="B2169" t="s">
        <v>21</v>
      </c>
      <c r="C2169" t="s">
        <v>51</v>
      </c>
      <c r="D2169">
        <v>819</v>
      </c>
      <c r="E2169">
        <v>259</v>
      </c>
      <c r="F2169">
        <v>75</v>
      </c>
      <c r="G2169">
        <v>2</v>
      </c>
      <c r="H2169">
        <v>1155</v>
      </c>
      <c r="I2169" s="1">
        <v>45717</v>
      </c>
      <c r="J2169">
        <v>77</v>
      </c>
      <c r="K2169" t="s">
        <v>23</v>
      </c>
    </row>
    <row r="2170" spans="1:11">
      <c r="A2170" s="1">
        <v>45743</v>
      </c>
      <c r="B2170" t="s">
        <v>21</v>
      </c>
      <c r="C2170" t="s">
        <v>31</v>
      </c>
      <c r="D2170">
        <v>119</v>
      </c>
      <c r="E2170">
        <v>67</v>
      </c>
      <c r="F2170">
        <v>13</v>
      </c>
      <c r="G2170">
        <v>2</v>
      </c>
      <c r="H2170">
        <v>201</v>
      </c>
      <c r="I2170" s="1">
        <v>45717</v>
      </c>
      <c r="J2170">
        <v>15</v>
      </c>
      <c r="K2170" t="s">
        <v>23</v>
      </c>
    </row>
    <row r="2171" spans="1:11">
      <c r="A2171" s="1">
        <v>45743</v>
      </c>
      <c r="B2171" t="s">
        <v>21</v>
      </c>
      <c r="C2171" t="s">
        <v>32</v>
      </c>
      <c r="D2171">
        <v>338</v>
      </c>
      <c r="E2171">
        <v>38</v>
      </c>
      <c r="F2171">
        <v>21</v>
      </c>
      <c r="G2171">
        <v>2</v>
      </c>
      <c r="H2171">
        <v>399</v>
      </c>
      <c r="I2171" s="1">
        <v>45717</v>
      </c>
      <c r="J2171">
        <v>23</v>
      </c>
      <c r="K2171" t="s">
        <v>23</v>
      </c>
    </row>
    <row r="2172" spans="1:11">
      <c r="A2172" s="1">
        <v>45771</v>
      </c>
      <c r="B2172" t="s">
        <v>40</v>
      </c>
      <c r="C2172" t="s">
        <v>46</v>
      </c>
      <c r="D2172">
        <v>2233</v>
      </c>
      <c r="E2172">
        <v>484</v>
      </c>
      <c r="F2172">
        <v>13</v>
      </c>
      <c r="G2172">
        <v>2</v>
      </c>
      <c r="H2172">
        <v>2732</v>
      </c>
      <c r="I2172" s="1">
        <v>45748</v>
      </c>
      <c r="J2172">
        <v>15</v>
      </c>
      <c r="K2172" t="s">
        <v>23</v>
      </c>
    </row>
    <row r="2173" spans="1:11">
      <c r="A2173" s="1">
        <v>45771</v>
      </c>
      <c r="B2173" t="s">
        <v>21</v>
      </c>
      <c r="C2173" t="s">
        <v>27</v>
      </c>
      <c r="D2173">
        <v>190</v>
      </c>
      <c r="E2173">
        <v>22</v>
      </c>
      <c r="F2173">
        <v>2</v>
      </c>
      <c r="G2173">
        <v>2</v>
      </c>
      <c r="H2173">
        <v>217</v>
      </c>
      <c r="I2173" s="1">
        <v>45748</v>
      </c>
      <c r="J2173">
        <v>4</v>
      </c>
      <c r="K2173" t="s">
        <v>23</v>
      </c>
    </row>
    <row r="2174" spans="1:11">
      <c r="A2174" s="1">
        <v>45771</v>
      </c>
      <c r="B2174" t="s">
        <v>21</v>
      </c>
      <c r="C2174" t="s">
        <v>51</v>
      </c>
      <c r="D2174">
        <v>863</v>
      </c>
      <c r="E2174">
        <v>260</v>
      </c>
      <c r="F2174">
        <v>69</v>
      </c>
      <c r="G2174">
        <v>2</v>
      </c>
      <c r="H2174">
        <v>1193</v>
      </c>
      <c r="I2174" s="1">
        <v>45748</v>
      </c>
      <c r="J2174">
        <v>71</v>
      </c>
      <c r="K2174" t="s">
        <v>23</v>
      </c>
    </row>
    <row r="2175" spans="1:11">
      <c r="A2175" s="1">
        <v>45771</v>
      </c>
      <c r="B2175" t="s">
        <v>21</v>
      </c>
      <c r="C2175" t="s">
        <v>35</v>
      </c>
      <c r="D2175">
        <v>19</v>
      </c>
      <c r="E2175">
        <v>3</v>
      </c>
      <c r="F2175">
        <v>0</v>
      </c>
      <c r="G2175">
        <v>2</v>
      </c>
      <c r="H2175">
        <v>24</v>
      </c>
      <c r="I2175" s="1">
        <v>45748</v>
      </c>
      <c r="J2175">
        <v>2</v>
      </c>
      <c r="K2175" t="s">
        <v>23</v>
      </c>
    </row>
    <row r="2176" spans="1:11">
      <c r="A2176" s="1">
        <v>45771</v>
      </c>
      <c r="B2176" t="s">
        <v>21</v>
      </c>
      <c r="C2176" t="s">
        <v>44</v>
      </c>
      <c r="D2176">
        <v>684</v>
      </c>
      <c r="E2176">
        <v>416</v>
      </c>
      <c r="F2176">
        <v>106</v>
      </c>
      <c r="G2176">
        <v>2</v>
      </c>
      <c r="H2176">
        <v>1208</v>
      </c>
      <c r="I2176" s="1">
        <v>45748</v>
      </c>
      <c r="J2176">
        <v>108</v>
      </c>
      <c r="K2176" t="s">
        <v>23</v>
      </c>
    </row>
    <row r="2177" spans="1:11">
      <c r="A2177" s="1">
        <v>45806</v>
      </c>
      <c r="B2177" t="s">
        <v>40</v>
      </c>
      <c r="C2177" t="s">
        <v>55</v>
      </c>
      <c r="D2177">
        <v>6126</v>
      </c>
      <c r="E2177">
        <v>966</v>
      </c>
      <c r="F2177">
        <v>69</v>
      </c>
      <c r="G2177">
        <v>2</v>
      </c>
      <c r="H2177">
        <v>7162</v>
      </c>
      <c r="I2177" s="1">
        <v>45778</v>
      </c>
      <c r="J2177">
        <v>71</v>
      </c>
      <c r="K2177" t="s">
        <v>23</v>
      </c>
    </row>
    <row r="2178" spans="1:11">
      <c r="A2178" s="1">
        <v>45806</v>
      </c>
      <c r="B2178" t="s">
        <v>40</v>
      </c>
      <c r="C2178" t="s">
        <v>33</v>
      </c>
      <c r="D2178">
        <v>2144</v>
      </c>
      <c r="E2178">
        <v>742</v>
      </c>
      <c r="F2178">
        <v>176</v>
      </c>
      <c r="G2178">
        <v>2</v>
      </c>
      <c r="H2178">
        <v>3064</v>
      </c>
      <c r="I2178" s="1">
        <v>45778</v>
      </c>
      <c r="J2178">
        <v>178</v>
      </c>
      <c r="K2178" t="s">
        <v>23</v>
      </c>
    </row>
    <row r="2179" spans="1:11">
      <c r="A2179" s="1">
        <v>45806</v>
      </c>
      <c r="B2179" t="s">
        <v>40</v>
      </c>
      <c r="C2179" t="s">
        <v>46</v>
      </c>
      <c r="D2179">
        <v>2210</v>
      </c>
      <c r="E2179">
        <v>507</v>
      </c>
      <c r="F2179">
        <v>30</v>
      </c>
      <c r="G2179">
        <v>2</v>
      </c>
      <c r="H2179">
        <v>2749</v>
      </c>
      <c r="I2179" s="1">
        <v>45778</v>
      </c>
      <c r="J2179">
        <v>32</v>
      </c>
      <c r="K2179" t="s">
        <v>23</v>
      </c>
    </row>
    <row r="2180" spans="1:11">
      <c r="A2180" s="1">
        <v>45806</v>
      </c>
      <c r="B2180" t="s">
        <v>21</v>
      </c>
      <c r="C2180" t="s">
        <v>41</v>
      </c>
      <c r="D2180">
        <v>496</v>
      </c>
      <c r="E2180">
        <v>203</v>
      </c>
      <c r="F2180">
        <v>50</v>
      </c>
      <c r="G2180">
        <v>2</v>
      </c>
      <c r="H2180">
        <v>751</v>
      </c>
      <c r="I2180" s="1">
        <v>45778</v>
      </c>
      <c r="J2180">
        <v>52</v>
      </c>
      <c r="K2180" t="s">
        <v>23</v>
      </c>
    </row>
    <row r="2181" spans="1:11">
      <c r="A2181" s="1">
        <v>45806</v>
      </c>
      <c r="B2181" t="s">
        <v>21</v>
      </c>
      <c r="C2181" t="s">
        <v>27</v>
      </c>
      <c r="D2181">
        <v>190</v>
      </c>
      <c r="E2181">
        <v>20</v>
      </c>
      <c r="F2181">
        <v>2</v>
      </c>
      <c r="G2181">
        <v>2</v>
      </c>
      <c r="H2181">
        <v>213</v>
      </c>
      <c r="I2181" s="1">
        <v>45778</v>
      </c>
      <c r="J2181">
        <v>4</v>
      </c>
      <c r="K2181" t="s">
        <v>23</v>
      </c>
    </row>
    <row r="2182" spans="1:11">
      <c r="A2182" s="1">
        <v>45806</v>
      </c>
      <c r="B2182" t="s">
        <v>21</v>
      </c>
      <c r="C2182" t="s">
        <v>37</v>
      </c>
      <c r="D2182">
        <v>17</v>
      </c>
      <c r="E2182">
        <v>35</v>
      </c>
      <c r="F2182">
        <v>10</v>
      </c>
      <c r="G2182">
        <v>2</v>
      </c>
      <c r="H2182">
        <v>64</v>
      </c>
      <c r="I2182" s="1">
        <v>45778</v>
      </c>
      <c r="J2182">
        <v>12</v>
      </c>
      <c r="K2182" t="s">
        <v>23</v>
      </c>
    </row>
    <row r="2183" spans="1:11">
      <c r="A2183" s="1">
        <v>45806</v>
      </c>
      <c r="B2183" t="s">
        <v>21</v>
      </c>
      <c r="C2183" t="s">
        <v>51</v>
      </c>
      <c r="D2183">
        <v>889</v>
      </c>
      <c r="E2183">
        <v>225</v>
      </c>
      <c r="F2183">
        <v>61</v>
      </c>
      <c r="G2183">
        <v>2</v>
      </c>
      <c r="H2183">
        <v>1177</v>
      </c>
      <c r="I2183" s="1">
        <v>45778</v>
      </c>
      <c r="J2183">
        <v>63</v>
      </c>
      <c r="K2183" t="s">
        <v>23</v>
      </c>
    </row>
    <row r="2184" spans="1:11">
      <c r="A2184" s="1">
        <v>45806</v>
      </c>
      <c r="B2184" t="s">
        <v>21</v>
      </c>
      <c r="C2184" t="s">
        <v>44</v>
      </c>
      <c r="D2184">
        <v>723</v>
      </c>
      <c r="E2184">
        <v>347</v>
      </c>
      <c r="F2184">
        <v>129</v>
      </c>
      <c r="G2184">
        <v>2</v>
      </c>
      <c r="H2184">
        <v>1201</v>
      </c>
      <c r="I2184" s="1">
        <v>45778</v>
      </c>
      <c r="J2184">
        <v>131</v>
      </c>
      <c r="K2184" t="s">
        <v>23</v>
      </c>
    </row>
    <row r="2185" spans="1:11">
      <c r="A2185" s="1">
        <v>45834</v>
      </c>
      <c r="B2185" t="s">
        <v>21</v>
      </c>
      <c r="C2185" t="s">
        <v>27</v>
      </c>
      <c r="D2185">
        <v>207</v>
      </c>
      <c r="E2185">
        <v>10</v>
      </c>
      <c r="F2185">
        <v>0</v>
      </c>
      <c r="G2185">
        <v>2</v>
      </c>
      <c r="H2185">
        <v>219</v>
      </c>
      <c r="I2185" s="1">
        <v>45809</v>
      </c>
      <c r="J2185">
        <v>2</v>
      </c>
      <c r="K2185" t="s">
        <v>23</v>
      </c>
    </row>
    <row r="2186" spans="1:11">
      <c r="A2186" s="1">
        <v>45834</v>
      </c>
      <c r="B2186" t="s">
        <v>21</v>
      </c>
      <c r="C2186" t="s">
        <v>35</v>
      </c>
      <c r="D2186">
        <v>19</v>
      </c>
      <c r="E2186">
        <v>2</v>
      </c>
      <c r="F2186">
        <v>0</v>
      </c>
      <c r="G2186">
        <v>2</v>
      </c>
      <c r="H2186">
        <v>23</v>
      </c>
      <c r="I2186" s="1">
        <v>45809</v>
      </c>
      <c r="J2186">
        <v>2</v>
      </c>
      <c r="K2186" t="s">
        <v>23</v>
      </c>
    </row>
    <row r="2187" spans="1:11">
      <c r="A2187" s="1">
        <v>45834</v>
      </c>
      <c r="B2187" t="s">
        <v>21</v>
      </c>
      <c r="C2187" t="s">
        <v>44</v>
      </c>
      <c r="D2187">
        <v>714</v>
      </c>
      <c r="E2187">
        <v>332</v>
      </c>
      <c r="F2187">
        <v>129</v>
      </c>
      <c r="G2187">
        <v>2</v>
      </c>
      <c r="H2187">
        <v>1177</v>
      </c>
      <c r="I2187" s="1">
        <v>45809</v>
      </c>
      <c r="J2187">
        <v>131</v>
      </c>
      <c r="K2187" t="s">
        <v>23</v>
      </c>
    </row>
    <row r="2188" spans="1:11">
      <c r="A2188" s="1">
        <v>45869</v>
      </c>
      <c r="B2188" t="s">
        <v>40</v>
      </c>
      <c r="C2188" t="s">
        <v>42</v>
      </c>
      <c r="D2188">
        <v>1765</v>
      </c>
      <c r="E2188">
        <v>691</v>
      </c>
      <c r="F2188">
        <v>161</v>
      </c>
      <c r="G2188">
        <v>2</v>
      </c>
      <c r="H2188">
        <v>2618</v>
      </c>
      <c r="I2188" s="1">
        <v>45839</v>
      </c>
      <c r="J2188">
        <v>163</v>
      </c>
      <c r="K2188" t="s">
        <v>23</v>
      </c>
    </row>
    <row r="2189" spans="1:11">
      <c r="A2189" s="1">
        <v>45897</v>
      </c>
      <c r="B2189" t="s">
        <v>40</v>
      </c>
      <c r="C2189" t="s">
        <v>42</v>
      </c>
      <c r="D2189">
        <v>1849</v>
      </c>
      <c r="E2189">
        <v>709</v>
      </c>
      <c r="F2189">
        <v>179</v>
      </c>
      <c r="G2189">
        <v>2</v>
      </c>
      <c r="H2189">
        <v>2739</v>
      </c>
      <c r="I2189" s="1">
        <v>45870</v>
      </c>
      <c r="J2189">
        <v>181</v>
      </c>
      <c r="K2189" t="s">
        <v>23</v>
      </c>
    </row>
    <row r="2190" spans="1:11">
      <c r="A2190" s="1">
        <v>45897</v>
      </c>
      <c r="B2190" t="s">
        <v>40</v>
      </c>
      <c r="C2190" t="s">
        <v>24</v>
      </c>
      <c r="D2190">
        <v>323</v>
      </c>
      <c r="E2190">
        <v>182</v>
      </c>
      <c r="F2190">
        <v>7</v>
      </c>
      <c r="G2190">
        <v>2</v>
      </c>
      <c r="H2190">
        <v>514</v>
      </c>
      <c r="I2190" s="1">
        <v>45870</v>
      </c>
      <c r="J2190">
        <v>9</v>
      </c>
      <c r="K2190" t="s">
        <v>23</v>
      </c>
    </row>
    <row r="2191" spans="1:11">
      <c r="A2191" s="1">
        <v>45897</v>
      </c>
      <c r="B2191" t="s">
        <v>21</v>
      </c>
      <c r="C2191" t="s">
        <v>27</v>
      </c>
      <c r="D2191">
        <v>170</v>
      </c>
      <c r="E2191">
        <v>13</v>
      </c>
      <c r="F2191">
        <v>2</v>
      </c>
      <c r="G2191">
        <v>2</v>
      </c>
      <c r="H2191">
        <v>185</v>
      </c>
      <c r="I2191" s="1">
        <v>45870</v>
      </c>
      <c r="J2191">
        <v>4</v>
      </c>
      <c r="K2191" t="s">
        <v>23</v>
      </c>
    </row>
    <row r="2192" spans="1:11">
      <c r="A2192" s="1">
        <v>45897</v>
      </c>
      <c r="B2192" t="s">
        <v>21</v>
      </c>
      <c r="C2192" t="s">
        <v>37</v>
      </c>
      <c r="D2192">
        <v>14</v>
      </c>
      <c r="E2192">
        <v>33</v>
      </c>
      <c r="F2192">
        <v>10</v>
      </c>
      <c r="G2192">
        <v>2</v>
      </c>
      <c r="H2192">
        <v>59</v>
      </c>
      <c r="I2192" s="1">
        <v>45870</v>
      </c>
      <c r="J2192">
        <v>12</v>
      </c>
      <c r="K2192" t="s">
        <v>23</v>
      </c>
    </row>
    <row r="2193" spans="1:11">
      <c r="A2193" s="1">
        <v>45897</v>
      </c>
      <c r="B2193" t="s">
        <v>21</v>
      </c>
      <c r="C2193" t="s">
        <v>51</v>
      </c>
      <c r="D2193">
        <v>763</v>
      </c>
      <c r="E2193">
        <v>210</v>
      </c>
      <c r="F2193">
        <v>82</v>
      </c>
      <c r="G2193">
        <v>2</v>
      </c>
      <c r="H2193">
        <v>1057</v>
      </c>
      <c r="I2193" s="1">
        <v>45870</v>
      </c>
      <c r="J2193">
        <v>84</v>
      </c>
      <c r="K2193" t="s">
        <v>23</v>
      </c>
    </row>
    <row r="2194" spans="1:11">
      <c r="A2194" s="1">
        <v>45897</v>
      </c>
      <c r="B2194" t="s">
        <v>21</v>
      </c>
      <c r="C2194" t="s">
        <v>35</v>
      </c>
      <c r="D2194">
        <v>15</v>
      </c>
      <c r="E2194">
        <v>6</v>
      </c>
      <c r="F2194">
        <v>0</v>
      </c>
      <c r="G2194">
        <v>2</v>
      </c>
      <c r="H2194">
        <v>23</v>
      </c>
      <c r="I2194" s="1">
        <v>45870</v>
      </c>
      <c r="J2194">
        <v>2</v>
      </c>
      <c r="K2194" t="s">
        <v>23</v>
      </c>
    </row>
    <row r="2195" spans="1:11">
      <c r="A2195" s="1">
        <v>45925</v>
      </c>
      <c r="B2195" t="s">
        <v>40</v>
      </c>
      <c r="C2195" t="s">
        <v>50</v>
      </c>
      <c r="D2195">
        <v>774</v>
      </c>
      <c r="E2195">
        <v>152</v>
      </c>
      <c r="F2195">
        <v>0</v>
      </c>
      <c r="G2195">
        <v>2</v>
      </c>
      <c r="H2195">
        <v>928</v>
      </c>
      <c r="I2195" s="1">
        <v>45901</v>
      </c>
      <c r="J2195">
        <v>2</v>
      </c>
      <c r="K2195" t="s">
        <v>23</v>
      </c>
    </row>
    <row r="2196" spans="1:11">
      <c r="A2196" s="1">
        <v>45925</v>
      </c>
      <c r="B2196" t="s">
        <v>21</v>
      </c>
      <c r="C2196" t="s">
        <v>27</v>
      </c>
      <c r="D2196">
        <v>163</v>
      </c>
      <c r="E2196">
        <v>8</v>
      </c>
      <c r="F2196">
        <v>2</v>
      </c>
      <c r="G2196">
        <v>2</v>
      </c>
      <c r="H2196">
        <v>176</v>
      </c>
      <c r="I2196" s="1">
        <v>45901</v>
      </c>
      <c r="J2196">
        <v>4</v>
      </c>
      <c r="K2196" t="s">
        <v>23</v>
      </c>
    </row>
    <row r="2197" spans="1:11">
      <c r="A2197" s="1">
        <v>45960</v>
      </c>
      <c r="B2197" t="s">
        <v>40</v>
      </c>
      <c r="C2197" t="s">
        <v>41</v>
      </c>
      <c r="D2197">
        <v>4540</v>
      </c>
      <c r="E2197">
        <v>1098</v>
      </c>
      <c r="F2197">
        <v>131</v>
      </c>
      <c r="G2197">
        <v>2</v>
      </c>
      <c r="H2197">
        <v>5771</v>
      </c>
      <c r="I2197" s="1">
        <v>45931</v>
      </c>
      <c r="J2197">
        <v>133</v>
      </c>
      <c r="K2197" t="s">
        <v>23</v>
      </c>
    </row>
    <row r="2198" spans="1:11">
      <c r="A2198" s="1">
        <v>45960</v>
      </c>
      <c r="B2198" t="s">
        <v>40</v>
      </c>
      <c r="C2198" t="s">
        <v>30</v>
      </c>
      <c r="D2198">
        <v>2179</v>
      </c>
      <c r="E2198">
        <v>197</v>
      </c>
      <c r="F2198">
        <v>15</v>
      </c>
      <c r="G2198">
        <v>2</v>
      </c>
      <c r="H2198">
        <v>2392</v>
      </c>
      <c r="I2198" s="1">
        <v>45931</v>
      </c>
      <c r="J2198">
        <v>17</v>
      </c>
      <c r="K2198" t="s">
        <v>23</v>
      </c>
    </row>
    <row r="2199" spans="1:11">
      <c r="A2199" s="1">
        <v>45960</v>
      </c>
      <c r="B2199" t="s">
        <v>40</v>
      </c>
      <c r="C2199" t="s">
        <v>49</v>
      </c>
      <c r="D2199">
        <v>3972</v>
      </c>
      <c r="E2199">
        <v>868</v>
      </c>
      <c r="F2199">
        <v>55</v>
      </c>
      <c r="G2199">
        <v>2</v>
      </c>
      <c r="H2199">
        <v>4896</v>
      </c>
      <c r="I2199" s="1">
        <v>45931</v>
      </c>
      <c r="J2199">
        <v>57</v>
      </c>
      <c r="K2199" t="s">
        <v>23</v>
      </c>
    </row>
    <row r="2200" spans="1:11">
      <c r="A2200" s="1">
        <v>45960</v>
      </c>
      <c r="B2200" t="s">
        <v>21</v>
      </c>
      <c r="C2200" t="s">
        <v>27</v>
      </c>
      <c r="D2200">
        <v>148</v>
      </c>
      <c r="E2200">
        <v>8</v>
      </c>
      <c r="F2200">
        <v>2</v>
      </c>
      <c r="G2200">
        <v>2</v>
      </c>
      <c r="H2200">
        <v>161</v>
      </c>
      <c r="I2200" s="1">
        <v>45931</v>
      </c>
      <c r="J2200">
        <v>4</v>
      </c>
      <c r="K2200" t="s">
        <v>23</v>
      </c>
    </row>
    <row r="2201" spans="1:11">
      <c r="A2201" s="1">
        <v>45960</v>
      </c>
      <c r="B2201" t="s">
        <v>21</v>
      </c>
      <c r="C2201" t="s">
        <v>37</v>
      </c>
      <c r="D2201">
        <v>13</v>
      </c>
      <c r="E2201">
        <v>21</v>
      </c>
      <c r="F2201">
        <v>7</v>
      </c>
      <c r="G2201">
        <v>2</v>
      </c>
      <c r="H2201">
        <v>43</v>
      </c>
      <c r="I2201" s="1">
        <v>45931</v>
      </c>
      <c r="J2201">
        <v>9</v>
      </c>
      <c r="K2201" t="s">
        <v>23</v>
      </c>
    </row>
    <row r="2202" spans="1:11">
      <c r="A2202" s="1">
        <v>45960</v>
      </c>
      <c r="B2202" t="s">
        <v>21</v>
      </c>
      <c r="C2202" t="s">
        <v>31</v>
      </c>
      <c r="D2202">
        <v>118</v>
      </c>
      <c r="E2202">
        <v>84</v>
      </c>
      <c r="F2202">
        <v>21</v>
      </c>
      <c r="G2202">
        <v>2</v>
      </c>
      <c r="H2202">
        <v>224</v>
      </c>
      <c r="I2202" s="1">
        <v>45931</v>
      </c>
      <c r="J2202">
        <v>23</v>
      </c>
      <c r="K2202" t="s">
        <v>23</v>
      </c>
    </row>
    <row r="2203" spans="1:11">
      <c r="A2203" s="1">
        <v>45988</v>
      </c>
      <c r="B2203" t="s">
        <v>40</v>
      </c>
      <c r="C2203" t="s">
        <v>38</v>
      </c>
      <c r="D2203">
        <v>2371</v>
      </c>
      <c r="E2203">
        <v>869</v>
      </c>
      <c r="F2203">
        <v>108</v>
      </c>
      <c r="G2203">
        <v>2</v>
      </c>
      <c r="H2203">
        <v>3350</v>
      </c>
      <c r="I2203" s="1">
        <v>45962</v>
      </c>
      <c r="J2203">
        <v>110</v>
      </c>
      <c r="K2203" t="s">
        <v>23</v>
      </c>
    </row>
    <row r="2204" spans="1:11">
      <c r="A2204" s="1">
        <v>45988</v>
      </c>
      <c r="B2204" t="s">
        <v>40</v>
      </c>
      <c r="C2204" t="s">
        <v>46</v>
      </c>
      <c r="D2204">
        <v>2139</v>
      </c>
      <c r="E2204">
        <v>623</v>
      </c>
      <c r="F2204">
        <v>136</v>
      </c>
      <c r="G2204">
        <v>2</v>
      </c>
      <c r="H2204">
        <v>2901</v>
      </c>
      <c r="I2204" s="1">
        <v>45962</v>
      </c>
      <c r="J2204">
        <v>138</v>
      </c>
      <c r="K2204" t="s">
        <v>23</v>
      </c>
    </row>
    <row r="2205" spans="1:11">
      <c r="A2205" s="1">
        <v>45988</v>
      </c>
      <c r="B2205" t="s">
        <v>40</v>
      </c>
      <c r="C2205" t="s">
        <v>49</v>
      </c>
      <c r="D2205">
        <v>4000</v>
      </c>
      <c r="E2205">
        <v>777</v>
      </c>
      <c r="F2205">
        <v>119</v>
      </c>
      <c r="G2205">
        <v>2</v>
      </c>
      <c r="H2205">
        <v>4898</v>
      </c>
      <c r="I2205" s="1">
        <v>45962</v>
      </c>
      <c r="J2205">
        <v>121</v>
      </c>
      <c r="K2205" t="s">
        <v>23</v>
      </c>
    </row>
    <row r="2206" spans="1:11">
      <c r="A2206" s="1">
        <v>45988</v>
      </c>
      <c r="B2206" t="s">
        <v>21</v>
      </c>
      <c r="C2206" t="s">
        <v>37</v>
      </c>
      <c r="D2206">
        <v>17</v>
      </c>
      <c r="E2206">
        <v>14</v>
      </c>
      <c r="F2206">
        <v>12</v>
      </c>
      <c r="G2206">
        <v>2</v>
      </c>
      <c r="H2206">
        <v>44</v>
      </c>
      <c r="I2206" s="1">
        <v>45962</v>
      </c>
      <c r="J2206">
        <v>14</v>
      </c>
      <c r="K2206" t="s">
        <v>23</v>
      </c>
    </row>
    <row r="2207" spans="1:11">
      <c r="A2207" s="1">
        <v>45988</v>
      </c>
      <c r="B2207" t="s">
        <v>21</v>
      </c>
      <c r="C2207" t="s">
        <v>57</v>
      </c>
      <c r="D2207">
        <v>1001</v>
      </c>
      <c r="E2207">
        <v>312</v>
      </c>
      <c r="F2207">
        <v>133</v>
      </c>
      <c r="G2207">
        <v>2</v>
      </c>
      <c r="H2207">
        <v>1448</v>
      </c>
      <c r="I2207" s="1">
        <v>45962</v>
      </c>
      <c r="J2207">
        <v>135</v>
      </c>
      <c r="K2207" t="s">
        <v>23</v>
      </c>
    </row>
    <row r="2208" spans="1:11">
      <c r="A2208" s="1">
        <v>45988</v>
      </c>
      <c r="B2208" t="s">
        <v>21</v>
      </c>
      <c r="C2208" t="s">
        <v>35</v>
      </c>
      <c r="D2208">
        <v>15</v>
      </c>
      <c r="E2208">
        <v>5</v>
      </c>
      <c r="F2208">
        <v>0</v>
      </c>
      <c r="G2208">
        <v>2</v>
      </c>
      <c r="H2208">
        <v>22</v>
      </c>
      <c r="I2208" s="1">
        <v>45962</v>
      </c>
      <c r="J2208">
        <v>2</v>
      </c>
      <c r="K2208" t="s">
        <v>23</v>
      </c>
    </row>
    <row r="2209" spans="1:11">
      <c r="A2209" s="1">
        <v>46009</v>
      </c>
      <c r="B2209" t="s">
        <v>40</v>
      </c>
      <c r="C2209" t="s">
        <v>43</v>
      </c>
      <c r="D2209">
        <v>11311</v>
      </c>
      <c r="E2209">
        <v>4385</v>
      </c>
      <c r="F2209">
        <v>732</v>
      </c>
      <c r="G2209">
        <v>2</v>
      </c>
      <c r="H2209">
        <v>16430</v>
      </c>
      <c r="I2209" s="1">
        <v>45992</v>
      </c>
      <c r="J2209">
        <v>734</v>
      </c>
      <c r="K2209" t="s">
        <v>23</v>
      </c>
    </row>
    <row r="2210" spans="1:11">
      <c r="A2210" s="1">
        <v>46009</v>
      </c>
      <c r="B2210" t="s">
        <v>21</v>
      </c>
      <c r="C2210" t="s">
        <v>37</v>
      </c>
      <c r="D2210">
        <v>13</v>
      </c>
      <c r="E2210">
        <v>11</v>
      </c>
      <c r="F2210">
        <v>14</v>
      </c>
      <c r="G2210">
        <v>2</v>
      </c>
      <c r="H2210">
        <v>41</v>
      </c>
      <c r="I2210" s="1">
        <v>45992</v>
      </c>
      <c r="J2210">
        <v>16</v>
      </c>
      <c r="K2210" t="s">
        <v>23</v>
      </c>
    </row>
    <row r="2211" spans="1:11">
      <c r="A2211" s="1">
        <v>46009</v>
      </c>
      <c r="B2211" t="s">
        <v>21</v>
      </c>
      <c r="C2211" t="s">
        <v>35</v>
      </c>
      <c r="D2211">
        <v>16</v>
      </c>
      <c r="E2211">
        <v>3</v>
      </c>
      <c r="F2211">
        <v>0</v>
      </c>
      <c r="G2211">
        <v>2</v>
      </c>
      <c r="H2211">
        <v>21</v>
      </c>
      <c r="I2211" s="1">
        <v>45992</v>
      </c>
      <c r="J2211">
        <v>2</v>
      </c>
      <c r="K2211" t="s">
        <v>23</v>
      </c>
    </row>
    <row r="2212" spans="1:11">
      <c r="A2212" s="1">
        <v>46051</v>
      </c>
      <c r="B2212" t="s">
        <v>40</v>
      </c>
      <c r="C2212" t="s">
        <v>34</v>
      </c>
      <c r="D2212">
        <v>4342</v>
      </c>
      <c r="E2212">
        <v>1516</v>
      </c>
      <c r="F2212">
        <v>115</v>
      </c>
      <c r="G2212">
        <v>2</v>
      </c>
      <c r="H2212">
        <v>5974</v>
      </c>
      <c r="I2212" s="1">
        <v>46023</v>
      </c>
      <c r="J2212">
        <v>117</v>
      </c>
      <c r="K2212" t="s">
        <v>23</v>
      </c>
    </row>
    <row r="2213" spans="1:11">
      <c r="A2213" s="1">
        <v>46079</v>
      </c>
      <c r="B2213" t="s">
        <v>40</v>
      </c>
      <c r="C2213" t="s">
        <v>34</v>
      </c>
      <c r="D2213">
        <v>4355</v>
      </c>
      <c r="E2213">
        <v>1593</v>
      </c>
      <c r="F2213">
        <v>93</v>
      </c>
      <c r="G2213">
        <v>2</v>
      </c>
      <c r="H2213">
        <v>6042</v>
      </c>
      <c r="I2213" s="1">
        <v>46054</v>
      </c>
      <c r="J2213">
        <v>95</v>
      </c>
      <c r="K2213" t="s">
        <v>23</v>
      </c>
    </row>
    <row r="2214" spans="1:11">
      <c r="A2214" s="1">
        <v>46079</v>
      </c>
      <c r="B2214" t="s">
        <v>21</v>
      </c>
      <c r="C2214" t="s">
        <v>37</v>
      </c>
      <c r="D2214">
        <v>5</v>
      </c>
      <c r="E2214">
        <v>7</v>
      </c>
      <c r="F2214">
        <v>13</v>
      </c>
      <c r="G2214">
        <v>2</v>
      </c>
      <c r="H2214">
        <v>27</v>
      </c>
      <c r="I2214" s="1">
        <v>46054</v>
      </c>
      <c r="J2214">
        <v>15</v>
      </c>
      <c r="K2214" t="s">
        <v>23</v>
      </c>
    </row>
    <row r="2215" spans="1:11">
      <c r="A2215" s="1">
        <v>46079</v>
      </c>
      <c r="B2215" t="s">
        <v>21</v>
      </c>
      <c r="C2215" t="s">
        <v>57</v>
      </c>
      <c r="D2215">
        <v>1060</v>
      </c>
      <c r="E2215">
        <v>255</v>
      </c>
      <c r="F2215">
        <v>13</v>
      </c>
      <c r="G2215">
        <v>2</v>
      </c>
      <c r="H2215">
        <v>1329</v>
      </c>
      <c r="I2215" s="1">
        <v>46054</v>
      </c>
      <c r="J2215">
        <v>15</v>
      </c>
      <c r="K2215" t="s">
        <v>23</v>
      </c>
    </row>
    <row r="2216" spans="1:11">
      <c r="A2216" s="1">
        <v>46107</v>
      </c>
      <c r="B2216" t="s">
        <v>40</v>
      </c>
      <c r="C2216" t="s">
        <v>38</v>
      </c>
      <c r="D2216">
        <v>2367</v>
      </c>
      <c r="E2216">
        <v>945</v>
      </c>
      <c r="F2216">
        <v>266</v>
      </c>
      <c r="G2216">
        <v>2</v>
      </c>
      <c r="H2216">
        <v>3580</v>
      </c>
      <c r="I2216" s="1">
        <v>46082</v>
      </c>
      <c r="J2216">
        <v>268</v>
      </c>
      <c r="K2216" t="s">
        <v>23</v>
      </c>
    </row>
    <row r="2217" spans="1:11">
      <c r="A2217" s="1">
        <v>46107</v>
      </c>
      <c r="B2217" t="s">
        <v>21</v>
      </c>
      <c r="C2217" t="s">
        <v>37</v>
      </c>
      <c r="D2217">
        <v>5</v>
      </c>
      <c r="E2217">
        <v>2</v>
      </c>
      <c r="F2217">
        <v>4</v>
      </c>
      <c r="G2217">
        <v>2</v>
      </c>
      <c r="H2217">
        <v>13</v>
      </c>
      <c r="I2217" s="1">
        <v>46082</v>
      </c>
      <c r="J2217">
        <v>6</v>
      </c>
      <c r="K2217" t="s">
        <v>23</v>
      </c>
    </row>
    <row r="2218" spans="1:11">
      <c r="A2218" s="1">
        <v>46107</v>
      </c>
      <c r="B2218" t="s">
        <v>21</v>
      </c>
      <c r="C2218" t="s">
        <v>57</v>
      </c>
      <c r="D2218">
        <v>1183</v>
      </c>
      <c r="E2218">
        <v>130</v>
      </c>
      <c r="F2218">
        <v>5</v>
      </c>
      <c r="G2218">
        <v>2</v>
      </c>
      <c r="H2218">
        <v>1320</v>
      </c>
      <c r="I2218" s="1">
        <v>46082</v>
      </c>
      <c r="J2218">
        <v>7</v>
      </c>
      <c r="K2218" t="s">
        <v>23</v>
      </c>
    </row>
    <row r="2219" spans="1:11">
      <c r="A2219" s="1">
        <v>46107</v>
      </c>
      <c r="B2219" t="s">
        <v>21</v>
      </c>
      <c r="C2219" t="s">
        <v>36</v>
      </c>
      <c r="D2219">
        <v>5</v>
      </c>
      <c r="E2219">
        <v>3</v>
      </c>
      <c r="F2219">
        <v>0</v>
      </c>
      <c r="G2219">
        <v>2</v>
      </c>
      <c r="H2219">
        <v>9</v>
      </c>
      <c r="I2219" s="1">
        <v>46082</v>
      </c>
      <c r="J2219">
        <v>2</v>
      </c>
      <c r="K2219" t="s">
        <v>23</v>
      </c>
    </row>
    <row r="2220" spans="1:11">
      <c r="A2220" s="1">
        <v>46142</v>
      </c>
      <c r="B2220" t="s">
        <v>40</v>
      </c>
      <c r="C2220" t="s">
        <v>42</v>
      </c>
      <c r="D2220">
        <v>1757</v>
      </c>
      <c r="E2220">
        <v>656</v>
      </c>
      <c r="F2220">
        <v>183</v>
      </c>
      <c r="G2220">
        <v>2</v>
      </c>
      <c r="H2220">
        <v>2598</v>
      </c>
      <c r="I2220" s="1">
        <v>46113</v>
      </c>
      <c r="J2220">
        <v>185</v>
      </c>
      <c r="K2220" t="s">
        <v>23</v>
      </c>
    </row>
    <row r="2221" spans="1:11">
      <c r="A2221" s="1">
        <v>46142</v>
      </c>
      <c r="B2221" t="s">
        <v>40</v>
      </c>
      <c r="C2221" t="s">
        <v>38</v>
      </c>
      <c r="D2221">
        <v>2306</v>
      </c>
      <c r="E2221">
        <v>931</v>
      </c>
      <c r="F2221">
        <v>307</v>
      </c>
      <c r="G2221">
        <v>2</v>
      </c>
      <c r="H2221">
        <v>3546</v>
      </c>
      <c r="I2221" s="1">
        <v>46113</v>
      </c>
      <c r="J2221">
        <v>309</v>
      </c>
      <c r="K2221" t="s">
        <v>23</v>
      </c>
    </row>
    <row r="2222" spans="1:11">
      <c r="A2222" s="1">
        <v>46142</v>
      </c>
      <c r="B2222" t="s">
        <v>21</v>
      </c>
      <c r="C2222" t="s">
        <v>48</v>
      </c>
      <c r="D2222">
        <v>46</v>
      </c>
      <c r="E2222">
        <v>12</v>
      </c>
      <c r="F2222">
        <v>2</v>
      </c>
      <c r="G2222">
        <v>2</v>
      </c>
      <c r="H2222">
        <v>61</v>
      </c>
      <c r="I2222" s="1">
        <v>46113</v>
      </c>
      <c r="J2222">
        <v>4</v>
      </c>
      <c r="K2222" t="s">
        <v>23</v>
      </c>
    </row>
    <row r="2223" spans="1:11">
      <c r="A2223" s="1">
        <v>46142</v>
      </c>
      <c r="B2223" t="s">
        <v>21</v>
      </c>
      <c r="C2223" t="s">
        <v>57</v>
      </c>
      <c r="D2223">
        <v>1282</v>
      </c>
      <c r="E2223">
        <v>59</v>
      </c>
      <c r="F2223">
        <v>7</v>
      </c>
      <c r="G2223">
        <v>2</v>
      </c>
      <c r="H2223">
        <v>1350</v>
      </c>
      <c r="I2223" s="1">
        <v>46113</v>
      </c>
      <c r="J2223">
        <v>9</v>
      </c>
      <c r="K2223" t="s">
        <v>23</v>
      </c>
    </row>
    <row r="2224" spans="1:11">
      <c r="A2224" s="1">
        <v>46142</v>
      </c>
      <c r="B2224" t="s">
        <v>21</v>
      </c>
      <c r="C2224" t="s">
        <v>46</v>
      </c>
      <c r="D2224">
        <v>447</v>
      </c>
      <c r="E2224">
        <v>62</v>
      </c>
      <c r="F2224">
        <v>7</v>
      </c>
      <c r="G2224">
        <v>2</v>
      </c>
      <c r="H2224">
        <v>518</v>
      </c>
      <c r="I2224" s="1">
        <v>46113</v>
      </c>
      <c r="J2224">
        <v>9</v>
      </c>
      <c r="K2224" t="s">
        <v>23</v>
      </c>
    </row>
    <row r="2225" spans="1:11">
      <c r="A2225" s="1">
        <v>46142</v>
      </c>
      <c r="B2225" t="s">
        <v>21</v>
      </c>
      <c r="C2225" t="s">
        <v>29</v>
      </c>
      <c r="D2225">
        <v>435</v>
      </c>
      <c r="E2225">
        <v>18</v>
      </c>
      <c r="F2225">
        <v>4</v>
      </c>
      <c r="G2225">
        <v>2</v>
      </c>
      <c r="H2225">
        <v>458</v>
      </c>
      <c r="I2225" s="1">
        <v>46113</v>
      </c>
      <c r="J2225">
        <v>6</v>
      </c>
      <c r="K2225" t="s">
        <v>23</v>
      </c>
    </row>
    <row r="2226" spans="1:11">
      <c r="A2226" s="1">
        <v>46170</v>
      </c>
      <c r="B2226" t="s">
        <v>40</v>
      </c>
      <c r="C2226" t="s">
        <v>33</v>
      </c>
      <c r="D2226">
        <v>2403</v>
      </c>
      <c r="E2226">
        <v>1109</v>
      </c>
      <c r="F2226">
        <v>89</v>
      </c>
      <c r="G2226">
        <v>2</v>
      </c>
      <c r="H2226">
        <v>3602</v>
      </c>
      <c r="I2226" s="1">
        <v>46143</v>
      </c>
      <c r="J2226">
        <v>91</v>
      </c>
      <c r="K2226" t="s">
        <v>23</v>
      </c>
    </row>
    <row r="2227" spans="1:11">
      <c r="A2227" s="1">
        <v>46170</v>
      </c>
      <c r="B2227" t="s">
        <v>40</v>
      </c>
      <c r="C2227" t="s">
        <v>31</v>
      </c>
      <c r="D2227">
        <v>3287</v>
      </c>
      <c r="E2227">
        <v>1168</v>
      </c>
      <c r="F2227">
        <v>27</v>
      </c>
      <c r="G2227">
        <v>2</v>
      </c>
      <c r="H2227">
        <v>4484</v>
      </c>
      <c r="I2227" s="1">
        <v>46143</v>
      </c>
      <c r="J2227">
        <v>29</v>
      </c>
      <c r="K2227" t="s">
        <v>23</v>
      </c>
    </row>
    <row r="2228" spans="1:11">
      <c r="A2228" s="1">
        <v>46170</v>
      </c>
      <c r="B2228" t="s">
        <v>21</v>
      </c>
      <c r="C2228" t="s">
        <v>28</v>
      </c>
      <c r="D2228">
        <v>158</v>
      </c>
      <c r="E2228">
        <v>38</v>
      </c>
      <c r="F2228">
        <v>10</v>
      </c>
      <c r="G2228">
        <v>2</v>
      </c>
      <c r="H2228">
        <v>207</v>
      </c>
      <c r="I2228" s="1">
        <v>46143</v>
      </c>
      <c r="J2228">
        <v>12</v>
      </c>
      <c r="K2228" t="s">
        <v>23</v>
      </c>
    </row>
    <row r="2229" spans="1:11">
      <c r="A2229" s="1">
        <v>46170</v>
      </c>
      <c r="B2229" t="s">
        <v>21</v>
      </c>
      <c r="C2229" t="s">
        <v>46</v>
      </c>
      <c r="D2229">
        <v>496</v>
      </c>
      <c r="E2229">
        <v>53</v>
      </c>
      <c r="F2229">
        <v>7</v>
      </c>
      <c r="G2229">
        <v>2</v>
      </c>
      <c r="H2229">
        <v>558</v>
      </c>
      <c r="I2229" s="1">
        <v>46143</v>
      </c>
      <c r="J2229">
        <v>9</v>
      </c>
      <c r="K2229" t="s">
        <v>23</v>
      </c>
    </row>
    <row r="2230" spans="1:11">
      <c r="A2230" s="1">
        <v>46170</v>
      </c>
      <c r="B2230" t="s">
        <v>21</v>
      </c>
      <c r="C2230" t="s">
        <v>29</v>
      </c>
      <c r="D2230">
        <v>467</v>
      </c>
      <c r="E2230">
        <v>19</v>
      </c>
      <c r="F2230">
        <v>4</v>
      </c>
      <c r="G2230">
        <v>2</v>
      </c>
      <c r="H2230">
        <v>492</v>
      </c>
      <c r="I2230" s="1">
        <v>46143</v>
      </c>
      <c r="J2230">
        <v>6</v>
      </c>
      <c r="K2230" t="s">
        <v>23</v>
      </c>
    </row>
    <row r="2231" spans="1:11">
      <c r="A2231" s="1">
        <v>46170</v>
      </c>
      <c r="B2231" t="s">
        <v>21</v>
      </c>
      <c r="C2231" t="s">
        <v>32</v>
      </c>
      <c r="D2231">
        <v>411</v>
      </c>
      <c r="E2231">
        <v>101</v>
      </c>
      <c r="F2231">
        <v>11</v>
      </c>
      <c r="G2231">
        <v>2</v>
      </c>
      <c r="H2231">
        <v>523</v>
      </c>
      <c r="I2231" s="1">
        <v>46143</v>
      </c>
      <c r="J2231">
        <v>13</v>
      </c>
      <c r="K2231" t="s">
        <v>23</v>
      </c>
    </row>
    <row r="2232" spans="1:11">
      <c r="A2232" s="1">
        <v>46198</v>
      </c>
      <c r="B2232" t="s">
        <v>40</v>
      </c>
      <c r="C2232" t="s">
        <v>42</v>
      </c>
      <c r="D2232">
        <v>1795</v>
      </c>
      <c r="E2232">
        <v>752</v>
      </c>
      <c r="F2232">
        <v>180</v>
      </c>
      <c r="G2232">
        <v>2</v>
      </c>
      <c r="H2232">
        <v>2730</v>
      </c>
      <c r="I2232" s="1">
        <v>46174</v>
      </c>
      <c r="J2232">
        <v>182</v>
      </c>
      <c r="K2232" t="s">
        <v>23</v>
      </c>
    </row>
    <row r="2233" spans="1:11">
      <c r="A2233" s="1">
        <v>46198</v>
      </c>
      <c r="B2233" t="s">
        <v>40</v>
      </c>
      <c r="C2233" t="s">
        <v>31</v>
      </c>
      <c r="D2233">
        <v>3612</v>
      </c>
      <c r="E2233">
        <v>1075</v>
      </c>
      <c r="F2233">
        <v>52</v>
      </c>
      <c r="G2233">
        <v>2</v>
      </c>
      <c r="H2233">
        <v>4742</v>
      </c>
      <c r="I2233" s="1">
        <v>46174</v>
      </c>
      <c r="J2233">
        <v>54</v>
      </c>
      <c r="K2233" t="s">
        <v>23</v>
      </c>
    </row>
    <row r="2234" spans="1:11">
      <c r="A2234" s="1">
        <v>46198</v>
      </c>
      <c r="B2234" t="s">
        <v>21</v>
      </c>
      <c r="C2234" t="s">
        <v>28</v>
      </c>
      <c r="D2234">
        <v>156</v>
      </c>
      <c r="E2234">
        <v>34</v>
      </c>
      <c r="F2234">
        <v>6</v>
      </c>
      <c r="G2234">
        <v>2</v>
      </c>
      <c r="H2234">
        <v>197</v>
      </c>
      <c r="I2234" s="1">
        <v>46174</v>
      </c>
      <c r="J2234">
        <v>8</v>
      </c>
      <c r="K2234" t="s">
        <v>23</v>
      </c>
    </row>
    <row r="2235" spans="1:11">
      <c r="A2235" s="1">
        <v>46198</v>
      </c>
      <c r="B2235" t="s">
        <v>21</v>
      </c>
      <c r="C2235" t="s">
        <v>54</v>
      </c>
      <c r="D2235">
        <v>132</v>
      </c>
      <c r="E2235">
        <v>35</v>
      </c>
      <c r="F2235">
        <v>4</v>
      </c>
      <c r="G2235">
        <v>2</v>
      </c>
      <c r="H2235">
        <v>173</v>
      </c>
      <c r="I2235" s="1">
        <v>46174</v>
      </c>
      <c r="J2235">
        <v>6</v>
      </c>
      <c r="K2235" t="s">
        <v>23</v>
      </c>
    </row>
    <row r="2236" spans="1:11">
      <c r="A2236" s="1">
        <v>46198</v>
      </c>
      <c r="B2236" t="s">
        <v>21</v>
      </c>
      <c r="C2236" t="s">
        <v>31</v>
      </c>
      <c r="D2236">
        <v>126</v>
      </c>
      <c r="E2236">
        <v>42</v>
      </c>
      <c r="F2236">
        <v>4</v>
      </c>
      <c r="G2236">
        <v>2</v>
      </c>
      <c r="H2236">
        <v>173</v>
      </c>
      <c r="I2236" s="1">
        <v>46174</v>
      </c>
      <c r="J2236">
        <v>6</v>
      </c>
      <c r="K2236" t="s">
        <v>23</v>
      </c>
    </row>
    <row r="2237" spans="1:11">
      <c r="A2237" s="1">
        <v>46198</v>
      </c>
      <c r="B2237" t="s">
        <v>21</v>
      </c>
      <c r="C2237" t="s">
        <v>29</v>
      </c>
      <c r="D2237">
        <v>436</v>
      </c>
      <c r="E2237">
        <v>21</v>
      </c>
      <c r="F2237">
        <v>4</v>
      </c>
      <c r="G2237">
        <v>2</v>
      </c>
      <c r="H2237">
        <v>463</v>
      </c>
      <c r="I2237" s="1">
        <v>46174</v>
      </c>
      <c r="J2237">
        <v>6</v>
      </c>
      <c r="K2237" t="s">
        <v>23</v>
      </c>
    </row>
    <row r="2238" spans="1:11">
      <c r="A2238" s="1">
        <v>46233</v>
      </c>
      <c r="B2238" t="s">
        <v>40</v>
      </c>
      <c r="C2238" t="s">
        <v>50</v>
      </c>
      <c r="D2238">
        <v>908</v>
      </c>
      <c r="E2238">
        <v>186</v>
      </c>
      <c r="F2238">
        <v>42</v>
      </c>
      <c r="G2238">
        <v>2</v>
      </c>
      <c r="H2238">
        <v>1139</v>
      </c>
      <c r="I2238" s="1">
        <v>46204</v>
      </c>
      <c r="J2238">
        <v>44</v>
      </c>
      <c r="K2238" t="s">
        <v>23</v>
      </c>
    </row>
    <row r="2239" spans="1:11">
      <c r="A2239" s="1">
        <v>46233</v>
      </c>
      <c r="B2239" t="s">
        <v>40</v>
      </c>
      <c r="C2239" t="s">
        <v>33</v>
      </c>
      <c r="D2239">
        <v>2604</v>
      </c>
      <c r="E2239">
        <v>1061</v>
      </c>
      <c r="F2239">
        <v>103</v>
      </c>
      <c r="G2239">
        <v>2</v>
      </c>
      <c r="H2239">
        <v>3770</v>
      </c>
      <c r="I2239" s="1">
        <v>46204</v>
      </c>
      <c r="J2239">
        <v>105</v>
      </c>
      <c r="K2239" t="s">
        <v>23</v>
      </c>
    </row>
    <row r="2240" spans="1:11">
      <c r="A2240" s="1">
        <v>46233</v>
      </c>
      <c r="B2240" t="s">
        <v>40</v>
      </c>
      <c r="C2240" t="s">
        <v>42</v>
      </c>
      <c r="D2240">
        <v>1801</v>
      </c>
      <c r="E2240">
        <v>739</v>
      </c>
      <c r="F2240">
        <v>197</v>
      </c>
      <c r="G2240">
        <v>2</v>
      </c>
      <c r="H2240">
        <v>2739</v>
      </c>
      <c r="I2240" s="1">
        <v>46204</v>
      </c>
      <c r="J2240">
        <v>199</v>
      </c>
      <c r="K2240" t="s">
        <v>23</v>
      </c>
    </row>
    <row r="2241" spans="1:11">
      <c r="A2241" s="1">
        <v>46233</v>
      </c>
      <c r="B2241" t="s">
        <v>21</v>
      </c>
      <c r="C2241" t="s">
        <v>41</v>
      </c>
      <c r="D2241">
        <v>525</v>
      </c>
      <c r="E2241">
        <v>164</v>
      </c>
      <c r="F2241">
        <v>4</v>
      </c>
      <c r="G2241">
        <v>2</v>
      </c>
      <c r="H2241">
        <v>694</v>
      </c>
      <c r="I2241" s="1">
        <v>46204</v>
      </c>
      <c r="J2241">
        <v>6</v>
      </c>
      <c r="K2241" t="s">
        <v>23</v>
      </c>
    </row>
    <row r="2242" spans="1:11">
      <c r="A2242" s="1">
        <v>46233</v>
      </c>
      <c r="B2242" t="s">
        <v>21</v>
      </c>
      <c r="C2242" t="s">
        <v>37</v>
      </c>
      <c r="D2242">
        <v>11</v>
      </c>
      <c r="E2242">
        <v>0</v>
      </c>
      <c r="F2242">
        <v>0</v>
      </c>
      <c r="G2242">
        <v>2</v>
      </c>
      <c r="H2242">
        <v>13</v>
      </c>
      <c r="I2242" s="1">
        <v>46204</v>
      </c>
      <c r="J2242">
        <v>2</v>
      </c>
      <c r="K2242" t="s">
        <v>23</v>
      </c>
    </row>
    <row r="2243" spans="1:11">
      <c r="A2243" s="1">
        <v>46233</v>
      </c>
      <c r="B2243" t="s">
        <v>21</v>
      </c>
      <c r="C2243" t="s">
        <v>28</v>
      </c>
      <c r="D2243">
        <v>151</v>
      </c>
      <c r="E2243">
        <v>34</v>
      </c>
      <c r="F2243">
        <v>5</v>
      </c>
      <c r="G2243">
        <v>2</v>
      </c>
      <c r="H2243">
        <v>192</v>
      </c>
      <c r="I2243" s="1">
        <v>46204</v>
      </c>
      <c r="J2243">
        <v>7</v>
      </c>
      <c r="K2243" t="s">
        <v>23</v>
      </c>
    </row>
    <row r="2244" spans="1:11">
      <c r="A2244" s="1">
        <v>46233</v>
      </c>
      <c r="B2244" t="s">
        <v>21</v>
      </c>
      <c r="C2244" t="s">
        <v>54</v>
      </c>
      <c r="D2244">
        <v>127</v>
      </c>
      <c r="E2244">
        <v>33</v>
      </c>
      <c r="F2244">
        <v>3</v>
      </c>
      <c r="G2244">
        <v>2</v>
      </c>
      <c r="H2244">
        <v>165</v>
      </c>
      <c r="I2244" s="1">
        <v>46204</v>
      </c>
      <c r="J2244">
        <v>5</v>
      </c>
      <c r="K2244" t="s">
        <v>23</v>
      </c>
    </row>
    <row r="2245" spans="1:11">
      <c r="A2245" s="1">
        <v>46233</v>
      </c>
      <c r="B2245" t="s">
        <v>21</v>
      </c>
      <c r="C2245" t="s">
        <v>29</v>
      </c>
      <c r="D2245">
        <v>415</v>
      </c>
      <c r="E2245">
        <v>18</v>
      </c>
      <c r="F2245">
        <v>6</v>
      </c>
      <c r="G2245">
        <v>2</v>
      </c>
      <c r="H2245">
        <v>442</v>
      </c>
      <c r="I2245" s="1">
        <v>46204</v>
      </c>
      <c r="J2245">
        <v>8</v>
      </c>
      <c r="K2245" t="s">
        <v>23</v>
      </c>
    </row>
    <row r="2246" spans="1:11">
      <c r="A2246" s="1">
        <v>46261</v>
      </c>
      <c r="B2246" t="s">
        <v>21</v>
      </c>
      <c r="C2246" t="s">
        <v>48</v>
      </c>
      <c r="D2246">
        <v>47</v>
      </c>
      <c r="E2246">
        <v>13</v>
      </c>
      <c r="F2246">
        <v>4</v>
      </c>
      <c r="G2246">
        <v>2</v>
      </c>
      <c r="H2246">
        <v>65</v>
      </c>
      <c r="I2246" s="1">
        <v>46235</v>
      </c>
      <c r="J2246">
        <v>6</v>
      </c>
      <c r="K2246" t="s">
        <v>23</v>
      </c>
    </row>
    <row r="2247" spans="1:11">
      <c r="A2247" s="1">
        <v>46261</v>
      </c>
      <c r="B2247" t="s">
        <v>21</v>
      </c>
      <c r="C2247" t="s">
        <v>54</v>
      </c>
      <c r="D2247">
        <v>166</v>
      </c>
      <c r="E2247">
        <v>32</v>
      </c>
      <c r="F2247">
        <v>5</v>
      </c>
      <c r="G2247">
        <v>2</v>
      </c>
      <c r="H2247">
        <v>205</v>
      </c>
      <c r="I2247" s="1">
        <v>46235</v>
      </c>
      <c r="J2247">
        <v>7</v>
      </c>
      <c r="K2247" t="s">
        <v>23</v>
      </c>
    </row>
    <row r="2248" spans="1:11">
      <c r="A2248" s="1">
        <v>46261</v>
      </c>
      <c r="B2248" t="s">
        <v>21</v>
      </c>
      <c r="C2248" t="s">
        <v>29</v>
      </c>
      <c r="D2248">
        <v>401</v>
      </c>
      <c r="E2248">
        <v>17</v>
      </c>
      <c r="F2248">
        <v>6</v>
      </c>
      <c r="G2248">
        <v>2</v>
      </c>
      <c r="H2248">
        <v>425</v>
      </c>
      <c r="I2248" s="1">
        <v>46235</v>
      </c>
      <c r="J2248">
        <v>8</v>
      </c>
      <c r="K2248" t="s">
        <v>23</v>
      </c>
    </row>
    <row r="2249" spans="1:11">
      <c r="A2249" s="1">
        <v>44952</v>
      </c>
      <c r="B2249" t="s">
        <v>40</v>
      </c>
      <c r="C2249" t="s">
        <v>33</v>
      </c>
      <c r="D2249">
        <v>138</v>
      </c>
      <c r="E2249">
        <v>41</v>
      </c>
      <c r="F2249">
        <v>8</v>
      </c>
      <c r="G2249">
        <v>2</v>
      </c>
      <c r="H2249">
        <v>189</v>
      </c>
      <c r="I2249" s="1">
        <v>44927</v>
      </c>
      <c r="J2249">
        <v>10</v>
      </c>
      <c r="K2249" t="s">
        <v>26</v>
      </c>
    </row>
    <row r="2250" spans="1:11">
      <c r="A2250" s="1">
        <v>44952</v>
      </c>
      <c r="B2250" t="s">
        <v>40</v>
      </c>
      <c r="C2250" t="s">
        <v>37</v>
      </c>
      <c r="D2250">
        <v>318</v>
      </c>
      <c r="E2250">
        <v>30</v>
      </c>
      <c r="F2250">
        <v>4</v>
      </c>
      <c r="G2250">
        <v>2</v>
      </c>
      <c r="H2250">
        <v>354</v>
      </c>
      <c r="I2250" s="1">
        <v>44927</v>
      </c>
      <c r="J2250">
        <v>6</v>
      </c>
      <c r="K2250" t="s">
        <v>26</v>
      </c>
    </row>
    <row r="2251" spans="1:11">
      <c r="A2251" s="1">
        <v>44952</v>
      </c>
      <c r="B2251" t="s">
        <v>40</v>
      </c>
      <c r="C2251" t="s">
        <v>39</v>
      </c>
      <c r="D2251">
        <v>160</v>
      </c>
      <c r="E2251">
        <v>75</v>
      </c>
      <c r="F2251">
        <v>2</v>
      </c>
      <c r="G2251">
        <v>2</v>
      </c>
      <c r="H2251">
        <v>239</v>
      </c>
      <c r="I2251" s="1">
        <v>44927</v>
      </c>
      <c r="J2251">
        <v>4</v>
      </c>
      <c r="K2251" t="s">
        <v>26</v>
      </c>
    </row>
    <row r="2252" spans="1:11">
      <c r="A2252" s="1">
        <v>44952</v>
      </c>
      <c r="B2252" t="s">
        <v>40</v>
      </c>
      <c r="C2252" t="s">
        <v>59</v>
      </c>
      <c r="D2252">
        <v>1801</v>
      </c>
      <c r="E2252">
        <v>757</v>
      </c>
      <c r="F2252">
        <v>23</v>
      </c>
      <c r="G2252">
        <v>2</v>
      </c>
      <c r="H2252">
        <v>2584</v>
      </c>
      <c r="I2252" s="1">
        <v>44927</v>
      </c>
      <c r="J2252">
        <v>25</v>
      </c>
      <c r="K2252" t="s">
        <v>26</v>
      </c>
    </row>
    <row r="2253" spans="1:11">
      <c r="A2253" s="1">
        <v>44952</v>
      </c>
      <c r="B2253" t="s">
        <v>21</v>
      </c>
      <c r="C2253" t="s">
        <v>63</v>
      </c>
      <c r="D2253">
        <v>91</v>
      </c>
      <c r="E2253">
        <v>17</v>
      </c>
      <c r="F2253">
        <v>2</v>
      </c>
      <c r="G2253">
        <v>2</v>
      </c>
      <c r="H2253">
        <v>112</v>
      </c>
      <c r="I2253" s="1">
        <v>44927</v>
      </c>
      <c r="J2253">
        <v>4</v>
      </c>
      <c r="K2253" t="s">
        <v>26</v>
      </c>
    </row>
    <row r="2254" spans="1:11">
      <c r="A2254" s="1">
        <v>44952</v>
      </c>
      <c r="B2254" t="s">
        <v>21</v>
      </c>
      <c r="C2254" t="s">
        <v>53</v>
      </c>
      <c r="D2254">
        <v>50</v>
      </c>
      <c r="E2254">
        <v>13</v>
      </c>
      <c r="F2254">
        <v>2</v>
      </c>
      <c r="G2254">
        <v>2</v>
      </c>
      <c r="H2254">
        <v>67</v>
      </c>
      <c r="I2254" s="1">
        <v>44927</v>
      </c>
      <c r="J2254">
        <v>4</v>
      </c>
      <c r="K2254" t="s">
        <v>26</v>
      </c>
    </row>
    <row r="2255" spans="1:11">
      <c r="A2255" s="1">
        <v>44952</v>
      </c>
      <c r="B2255" t="s">
        <v>21</v>
      </c>
      <c r="C2255" t="s">
        <v>61</v>
      </c>
      <c r="D2255">
        <v>144</v>
      </c>
      <c r="E2255">
        <v>30</v>
      </c>
      <c r="F2255">
        <v>4</v>
      </c>
      <c r="G2255">
        <v>2</v>
      </c>
      <c r="H2255">
        <v>180</v>
      </c>
      <c r="I2255" s="1">
        <v>44927</v>
      </c>
      <c r="J2255">
        <v>6</v>
      </c>
      <c r="K2255" t="s">
        <v>26</v>
      </c>
    </row>
    <row r="2256" spans="1:11">
      <c r="A2256" s="1">
        <v>44980</v>
      </c>
      <c r="B2256" t="s">
        <v>40</v>
      </c>
      <c r="C2256" t="s">
        <v>28</v>
      </c>
      <c r="D2256">
        <v>234</v>
      </c>
      <c r="E2256">
        <v>25</v>
      </c>
      <c r="F2256">
        <v>8</v>
      </c>
      <c r="G2256">
        <v>2</v>
      </c>
      <c r="H2256">
        <v>270</v>
      </c>
      <c r="I2256" s="1">
        <v>44958</v>
      </c>
      <c r="J2256">
        <v>10</v>
      </c>
      <c r="K2256" t="s">
        <v>26</v>
      </c>
    </row>
    <row r="2257" spans="1:11">
      <c r="A2257" s="1">
        <v>44980</v>
      </c>
      <c r="B2257" t="s">
        <v>40</v>
      </c>
      <c r="C2257" t="s">
        <v>39</v>
      </c>
      <c r="D2257">
        <v>137</v>
      </c>
      <c r="E2257">
        <v>57</v>
      </c>
      <c r="F2257">
        <v>2</v>
      </c>
      <c r="G2257">
        <v>2</v>
      </c>
      <c r="H2257">
        <v>198</v>
      </c>
      <c r="I2257" s="1">
        <v>44958</v>
      </c>
      <c r="J2257">
        <v>4</v>
      </c>
      <c r="K2257" t="s">
        <v>26</v>
      </c>
    </row>
    <row r="2258" spans="1:11">
      <c r="A2258" s="1">
        <v>44980</v>
      </c>
      <c r="B2258" t="s">
        <v>40</v>
      </c>
      <c r="C2258" t="s">
        <v>46</v>
      </c>
      <c r="D2258">
        <v>447</v>
      </c>
      <c r="E2258">
        <v>126</v>
      </c>
      <c r="F2258">
        <v>53</v>
      </c>
      <c r="G2258">
        <v>2</v>
      </c>
      <c r="H2258">
        <v>629</v>
      </c>
      <c r="I2258" s="1">
        <v>44958</v>
      </c>
      <c r="J2258">
        <v>55</v>
      </c>
      <c r="K2258" t="s">
        <v>26</v>
      </c>
    </row>
    <row r="2259" spans="1:11">
      <c r="A2259" s="1">
        <v>44980</v>
      </c>
      <c r="B2259" t="s">
        <v>21</v>
      </c>
      <c r="C2259" t="s">
        <v>63</v>
      </c>
      <c r="D2259">
        <v>83</v>
      </c>
      <c r="E2259">
        <v>11</v>
      </c>
      <c r="F2259">
        <v>4</v>
      </c>
      <c r="G2259">
        <v>2</v>
      </c>
      <c r="H2259">
        <v>100</v>
      </c>
      <c r="I2259" s="1">
        <v>44958</v>
      </c>
      <c r="J2259">
        <v>6</v>
      </c>
      <c r="K2259" t="s">
        <v>26</v>
      </c>
    </row>
    <row r="2260" spans="1:11">
      <c r="A2260" s="1">
        <v>44980</v>
      </c>
      <c r="B2260" t="s">
        <v>21</v>
      </c>
      <c r="C2260" t="s">
        <v>53</v>
      </c>
      <c r="D2260">
        <v>58</v>
      </c>
      <c r="E2260">
        <v>15</v>
      </c>
      <c r="F2260">
        <v>2</v>
      </c>
      <c r="G2260">
        <v>2</v>
      </c>
      <c r="H2260">
        <v>77</v>
      </c>
      <c r="I2260" s="1">
        <v>44958</v>
      </c>
      <c r="J2260">
        <v>4</v>
      </c>
      <c r="K2260" t="s">
        <v>26</v>
      </c>
    </row>
    <row r="2261" spans="1:11">
      <c r="A2261" s="1">
        <v>44980</v>
      </c>
      <c r="B2261" t="s">
        <v>21</v>
      </c>
      <c r="C2261" t="s">
        <v>61</v>
      </c>
      <c r="D2261">
        <v>166</v>
      </c>
      <c r="E2261">
        <v>27</v>
      </c>
      <c r="F2261">
        <v>6</v>
      </c>
      <c r="G2261">
        <v>2</v>
      </c>
      <c r="H2261">
        <v>202</v>
      </c>
      <c r="I2261" s="1">
        <v>44958</v>
      </c>
      <c r="J2261">
        <v>8</v>
      </c>
      <c r="K2261" t="s">
        <v>26</v>
      </c>
    </row>
    <row r="2262" spans="1:11">
      <c r="A2262" s="1">
        <v>44980</v>
      </c>
      <c r="B2262" t="s">
        <v>21</v>
      </c>
      <c r="C2262" t="s">
        <v>59</v>
      </c>
      <c r="D2262">
        <v>246</v>
      </c>
      <c r="E2262">
        <v>46</v>
      </c>
      <c r="F2262">
        <v>4</v>
      </c>
      <c r="G2262">
        <v>2</v>
      </c>
      <c r="H2262">
        <v>299</v>
      </c>
      <c r="I2262" s="1">
        <v>44958</v>
      </c>
      <c r="J2262">
        <v>6</v>
      </c>
      <c r="K2262" t="s">
        <v>26</v>
      </c>
    </row>
    <row r="2263" spans="1:11">
      <c r="A2263" s="1">
        <v>45015</v>
      </c>
      <c r="B2263" t="s">
        <v>40</v>
      </c>
      <c r="C2263" t="s">
        <v>33</v>
      </c>
      <c r="D2263">
        <v>111</v>
      </c>
      <c r="E2263">
        <v>14</v>
      </c>
      <c r="F2263">
        <v>6</v>
      </c>
      <c r="G2263">
        <v>2</v>
      </c>
      <c r="H2263">
        <v>133</v>
      </c>
      <c r="I2263" s="1">
        <v>44986</v>
      </c>
      <c r="J2263">
        <v>8</v>
      </c>
      <c r="K2263" t="s">
        <v>26</v>
      </c>
    </row>
    <row r="2264" spans="1:11">
      <c r="A2264" s="1">
        <v>45015</v>
      </c>
      <c r="B2264" t="s">
        <v>40</v>
      </c>
      <c r="C2264" t="s">
        <v>39</v>
      </c>
      <c r="D2264">
        <v>119</v>
      </c>
      <c r="E2264">
        <v>69</v>
      </c>
      <c r="F2264">
        <v>8</v>
      </c>
      <c r="G2264">
        <v>2</v>
      </c>
      <c r="H2264">
        <v>198</v>
      </c>
      <c r="I2264" s="1">
        <v>44986</v>
      </c>
      <c r="J2264">
        <v>10</v>
      </c>
      <c r="K2264" t="s">
        <v>26</v>
      </c>
    </row>
    <row r="2265" spans="1:11">
      <c r="A2265" s="1">
        <v>45015</v>
      </c>
      <c r="B2265" t="s">
        <v>40</v>
      </c>
      <c r="C2265" t="s">
        <v>22</v>
      </c>
      <c r="D2265">
        <v>750</v>
      </c>
      <c r="E2265">
        <v>67</v>
      </c>
      <c r="F2265">
        <v>6</v>
      </c>
      <c r="G2265">
        <v>2</v>
      </c>
      <c r="H2265">
        <v>825</v>
      </c>
      <c r="I2265" s="1">
        <v>44986</v>
      </c>
      <c r="J2265">
        <v>8</v>
      </c>
      <c r="K2265" t="s">
        <v>26</v>
      </c>
    </row>
    <row r="2266" spans="1:11">
      <c r="A2266" s="1">
        <v>45015</v>
      </c>
      <c r="B2266" t="s">
        <v>40</v>
      </c>
      <c r="C2266" t="s">
        <v>59</v>
      </c>
      <c r="D2266">
        <v>1641</v>
      </c>
      <c r="E2266">
        <v>752</v>
      </c>
      <c r="F2266">
        <v>66</v>
      </c>
      <c r="G2266">
        <v>2</v>
      </c>
      <c r="H2266">
        <v>2461</v>
      </c>
      <c r="I2266" s="1">
        <v>44986</v>
      </c>
      <c r="J2266">
        <v>68</v>
      </c>
      <c r="K2266" t="s">
        <v>26</v>
      </c>
    </row>
    <row r="2267" spans="1:11">
      <c r="A2267" s="1">
        <v>45015</v>
      </c>
      <c r="B2267" t="s">
        <v>21</v>
      </c>
      <c r="C2267" t="s">
        <v>63</v>
      </c>
      <c r="D2267">
        <v>77</v>
      </c>
      <c r="E2267">
        <v>15</v>
      </c>
      <c r="F2267">
        <v>4</v>
      </c>
      <c r="G2267">
        <v>2</v>
      </c>
      <c r="H2267">
        <v>99</v>
      </c>
      <c r="I2267" s="1">
        <v>44986</v>
      </c>
      <c r="J2267">
        <v>6</v>
      </c>
      <c r="K2267" t="s">
        <v>26</v>
      </c>
    </row>
    <row r="2268" spans="1:11">
      <c r="A2268" s="1">
        <v>45015</v>
      </c>
      <c r="B2268" t="s">
        <v>21</v>
      </c>
      <c r="C2268" t="s">
        <v>53</v>
      </c>
      <c r="D2268">
        <v>67</v>
      </c>
      <c r="E2268">
        <v>8</v>
      </c>
      <c r="F2268">
        <v>4</v>
      </c>
      <c r="G2268">
        <v>2</v>
      </c>
      <c r="H2268">
        <v>81</v>
      </c>
      <c r="I2268" s="1">
        <v>44986</v>
      </c>
      <c r="J2268">
        <v>6</v>
      </c>
      <c r="K2268" t="s">
        <v>26</v>
      </c>
    </row>
    <row r="2269" spans="1:11">
      <c r="A2269" s="1">
        <v>45015</v>
      </c>
      <c r="B2269" t="s">
        <v>21</v>
      </c>
      <c r="C2269" t="s">
        <v>61</v>
      </c>
      <c r="D2269">
        <v>178</v>
      </c>
      <c r="E2269">
        <v>39</v>
      </c>
      <c r="F2269">
        <v>6</v>
      </c>
      <c r="G2269">
        <v>2</v>
      </c>
      <c r="H2269">
        <v>225</v>
      </c>
      <c r="I2269" s="1">
        <v>44986</v>
      </c>
      <c r="J2269">
        <v>8</v>
      </c>
      <c r="K2269" t="s">
        <v>26</v>
      </c>
    </row>
    <row r="2270" spans="1:11">
      <c r="A2270" s="1">
        <v>45015</v>
      </c>
      <c r="B2270" t="s">
        <v>21</v>
      </c>
      <c r="C2270" t="s">
        <v>59</v>
      </c>
      <c r="D2270">
        <v>355</v>
      </c>
      <c r="E2270">
        <v>45</v>
      </c>
      <c r="F2270">
        <v>4</v>
      </c>
      <c r="G2270">
        <v>2</v>
      </c>
      <c r="H2270">
        <v>406</v>
      </c>
      <c r="I2270" s="1">
        <v>44986</v>
      </c>
      <c r="J2270">
        <v>6</v>
      </c>
      <c r="K2270" t="s">
        <v>26</v>
      </c>
    </row>
    <row r="2271" spans="1:11">
      <c r="A2271" s="1">
        <v>45043</v>
      </c>
      <c r="B2271" t="s">
        <v>40</v>
      </c>
      <c r="C2271" t="s">
        <v>41</v>
      </c>
      <c r="D2271">
        <v>328</v>
      </c>
      <c r="E2271">
        <v>2</v>
      </c>
      <c r="F2271">
        <v>0</v>
      </c>
      <c r="G2271">
        <v>2</v>
      </c>
      <c r="H2271">
        <v>332</v>
      </c>
      <c r="I2271" s="1">
        <v>45017</v>
      </c>
      <c r="J2271">
        <v>2</v>
      </c>
      <c r="K2271" t="s">
        <v>26</v>
      </c>
    </row>
    <row r="2272" spans="1:11">
      <c r="A2272" s="1">
        <v>45043</v>
      </c>
      <c r="B2272" t="s">
        <v>40</v>
      </c>
      <c r="C2272" t="s">
        <v>22</v>
      </c>
      <c r="D2272">
        <v>652</v>
      </c>
      <c r="E2272">
        <v>104</v>
      </c>
      <c r="F2272">
        <v>8</v>
      </c>
      <c r="G2272">
        <v>2</v>
      </c>
      <c r="H2272">
        <v>767</v>
      </c>
      <c r="I2272" s="1">
        <v>45017</v>
      </c>
      <c r="J2272">
        <v>10</v>
      </c>
      <c r="K2272" t="s">
        <v>26</v>
      </c>
    </row>
    <row r="2273" spans="1:11">
      <c r="A2273" s="1">
        <v>45043</v>
      </c>
      <c r="B2273" t="s">
        <v>40</v>
      </c>
      <c r="C2273" t="s">
        <v>59</v>
      </c>
      <c r="D2273">
        <v>1656</v>
      </c>
      <c r="E2273">
        <v>803</v>
      </c>
      <c r="F2273">
        <v>93</v>
      </c>
      <c r="G2273">
        <v>2</v>
      </c>
      <c r="H2273">
        <v>2554</v>
      </c>
      <c r="I2273" s="1">
        <v>45017</v>
      </c>
      <c r="J2273">
        <v>95</v>
      </c>
      <c r="K2273" t="s">
        <v>26</v>
      </c>
    </row>
    <row r="2274" spans="1:11">
      <c r="A2274" s="1">
        <v>45043</v>
      </c>
      <c r="B2274" t="s">
        <v>21</v>
      </c>
      <c r="C2274" t="s">
        <v>63</v>
      </c>
      <c r="D2274">
        <v>96</v>
      </c>
      <c r="E2274">
        <v>18</v>
      </c>
      <c r="F2274">
        <v>4</v>
      </c>
      <c r="G2274">
        <v>2</v>
      </c>
      <c r="H2274">
        <v>120</v>
      </c>
      <c r="I2274" s="1">
        <v>45017</v>
      </c>
      <c r="J2274">
        <v>6</v>
      </c>
      <c r="K2274" t="s">
        <v>26</v>
      </c>
    </row>
    <row r="2275" spans="1:11">
      <c r="A2275" s="1">
        <v>45043</v>
      </c>
      <c r="B2275" t="s">
        <v>21</v>
      </c>
      <c r="C2275" t="s">
        <v>53</v>
      </c>
      <c r="D2275">
        <v>66</v>
      </c>
      <c r="E2275">
        <v>10</v>
      </c>
      <c r="F2275">
        <v>10</v>
      </c>
      <c r="G2275">
        <v>2</v>
      </c>
      <c r="H2275">
        <v>89</v>
      </c>
      <c r="I2275" s="1">
        <v>45017</v>
      </c>
      <c r="J2275">
        <v>12</v>
      </c>
      <c r="K2275" t="s">
        <v>26</v>
      </c>
    </row>
    <row r="2276" spans="1:11">
      <c r="A2276" s="1">
        <v>45043</v>
      </c>
      <c r="B2276" t="s">
        <v>21</v>
      </c>
      <c r="C2276" t="s">
        <v>61</v>
      </c>
      <c r="D2276">
        <v>196</v>
      </c>
      <c r="E2276">
        <v>27</v>
      </c>
      <c r="F2276">
        <v>6</v>
      </c>
      <c r="G2276">
        <v>2</v>
      </c>
      <c r="H2276">
        <v>232</v>
      </c>
      <c r="I2276" s="1">
        <v>45017</v>
      </c>
      <c r="J2276">
        <v>8</v>
      </c>
      <c r="K2276" t="s">
        <v>26</v>
      </c>
    </row>
    <row r="2277" spans="1:11">
      <c r="A2277" s="1">
        <v>45071</v>
      </c>
      <c r="B2277" t="s">
        <v>40</v>
      </c>
      <c r="C2277" t="s">
        <v>41</v>
      </c>
      <c r="D2277">
        <v>272</v>
      </c>
      <c r="E2277">
        <v>4</v>
      </c>
      <c r="F2277">
        <v>0</v>
      </c>
      <c r="G2277">
        <v>2</v>
      </c>
      <c r="H2277">
        <v>278</v>
      </c>
      <c r="I2277" s="1">
        <v>45047</v>
      </c>
      <c r="J2277">
        <v>2</v>
      </c>
      <c r="K2277" t="s">
        <v>26</v>
      </c>
    </row>
    <row r="2278" spans="1:11">
      <c r="A2278" s="1">
        <v>45071</v>
      </c>
      <c r="B2278" t="s">
        <v>40</v>
      </c>
      <c r="C2278" t="s">
        <v>22</v>
      </c>
      <c r="D2278">
        <v>629</v>
      </c>
      <c r="E2278">
        <v>100</v>
      </c>
      <c r="F2278">
        <v>10</v>
      </c>
      <c r="G2278">
        <v>2</v>
      </c>
      <c r="H2278">
        <v>741</v>
      </c>
      <c r="I2278" s="1">
        <v>45047</v>
      </c>
      <c r="J2278">
        <v>12</v>
      </c>
      <c r="K2278" t="s">
        <v>26</v>
      </c>
    </row>
    <row r="2279" spans="1:11">
      <c r="A2279" s="1">
        <v>45071</v>
      </c>
      <c r="B2279" t="s">
        <v>40</v>
      </c>
      <c r="C2279" t="s">
        <v>46</v>
      </c>
      <c r="D2279">
        <v>432</v>
      </c>
      <c r="E2279">
        <v>130</v>
      </c>
      <c r="F2279">
        <v>29</v>
      </c>
      <c r="G2279">
        <v>2</v>
      </c>
      <c r="H2279">
        <v>593</v>
      </c>
      <c r="I2279" s="1">
        <v>45047</v>
      </c>
      <c r="J2279">
        <v>31</v>
      </c>
      <c r="K2279" t="s">
        <v>26</v>
      </c>
    </row>
    <row r="2280" spans="1:11">
      <c r="A2280" s="1">
        <v>45071</v>
      </c>
      <c r="B2280" t="s">
        <v>21</v>
      </c>
      <c r="C2280" t="s">
        <v>46</v>
      </c>
      <c r="D2280">
        <v>25</v>
      </c>
      <c r="E2280">
        <v>6</v>
      </c>
      <c r="F2280">
        <v>2</v>
      </c>
      <c r="G2280">
        <v>2</v>
      </c>
      <c r="H2280">
        <v>35</v>
      </c>
      <c r="I2280" s="1">
        <v>45047</v>
      </c>
      <c r="J2280">
        <v>4</v>
      </c>
      <c r="K2280" t="s">
        <v>26</v>
      </c>
    </row>
    <row r="2281" spans="1:11">
      <c r="A2281" s="1">
        <v>45071</v>
      </c>
      <c r="B2281" t="s">
        <v>21</v>
      </c>
      <c r="C2281" t="s">
        <v>63</v>
      </c>
      <c r="D2281">
        <v>103</v>
      </c>
      <c r="E2281">
        <v>14</v>
      </c>
      <c r="F2281">
        <v>6</v>
      </c>
      <c r="G2281">
        <v>2</v>
      </c>
      <c r="H2281">
        <v>125</v>
      </c>
      <c r="I2281" s="1">
        <v>45047</v>
      </c>
      <c r="J2281">
        <v>8</v>
      </c>
      <c r="K2281" t="s">
        <v>26</v>
      </c>
    </row>
    <row r="2282" spans="1:11">
      <c r="A2282" s="1">
        <v>45071</v>
      </c>
      <c r="B2282" t="s">
        <v>21</v>
      </c>
      <c r="C2282" t="s">
        <v>59</v>
      </c>
      <c r="D2282">
        <v>330</v>
      </c>
      <c r="E2282">
        <v>115</v>
      </c>
      <c r="F2282">
        <v>6</v>
      </c>
      <c r="G2282">
        <v>2</v>
      </c>
      <c r="H2282">
        <v>454</v>
      </c>
      <c r="I2282" s="1">
        <v>45047</v>
      </c>
      <c r="J2282">
        <v>8</v>
      </c>
      <c r="K2282" t="s">
        <v>26</v>
      </c>
    </row>
    <row r="2283" spans="1:11">
      <c r="A2283" s="1">
        <v>45106</v>
      </c>
      <c r="B2283" t="s">
        <v>40</v>
      </c>
      <c r="C2283" t="s">
        <v>27</v>
      </c>
      <c r="D2283">
        <v>275</v>
      </c>
      <c r="E2283">
        <v>2</v>
      </c>
      <c r="F2283">
        <v>0</v>
      </c>
      <c r="G2283">
        <v>2</v>
      </c>
      <c r="H2283">
        <v>279</v>
      </c>
      <c r="I2283" s="1">
        <v>45078</v>
      </c>
      <c r="J2283">
        <v>2</v>
      </c>
      <c r="K2283" t="s">
        <v>26</v>
      </c>
    </row>
    <row r="2284" spans="1:11">
      <c r="A2284" s="1">
        <v>45106</v>
      </c>
      <c r="B2284" t="s">
        <v>21</v>
      </c>
      <c r="C2284" t="s">
        <v>63</v>
      </c>
      <c r="D2284">
        <v>113</v>
      </c>
      <c r="E2284">
        <v>16</v>
      </c>
      <c r="F2284">
        <v>8</v>
      </c>
      <c r="G2284">
        <v>2</v>
      </c>
      <c r="H2284">
        <v>138</v>
      </c>
      <c r="I2284" s="1">
        <v>45078</v>
      </c>
      <c r="J2284">
        <v>10</v>
      </c>
      <c r="K2284" t="s">
        <v>26</v>
      </c>
    </row>
    <row r="2285" spans="1:11">
      <c r="A2285" s="1">
        <v>45106</v>
      </c>
      <c r="B2285" t="s">
        <v>21</v>
      </c>
      <c r="C2285" t="s">
        <v>61</v>
      </c>
      <c r="D2285">
        <v>161</v>
      </c>
      <c r="E2285">
        <v>29</v>
      </c>
      <c r="F2285">
        <v>16</v>
      </c>
      <c r="G2285">
        <v>2</v>
      </c>
      <c r="H2285">
        <v>209</v>
      </c>
      <c r="I2285" s="1">
        <v>45078</v>
      </c>
      <c r="J2285">
        <v>18</v>
      </c>
      <c r="K2285" t="s">
        <v>26</v>
      </c>
    </row>
    <row r="2286" spans="1:11">
      <c r="A2286" s="1">
        <v>45134</v>
      </c>
      <c r="B2286" t="s">
        <v>40</v>
      </c>
      <c r="C2286" t="s">
        <v>39</v>
      </c>
      <c r="D2286">
        <v>101</v>
      </c>
      <c r="E2286">
        <v>18</v>
      </c>
      <c r="F2286">
        <v>2</v>
      </c>
      <c r="G2286">
        <v>2</v>
      </c>
      <c r="H2286">
        <v>123</v>
      </c>
      <c r="I2286" s="1">
        <v>45108</v>
      </c>
      <c r="J2286">
        <v>4</v>
      </c>
      <c r="K2286" t="s">
        <v>26</v>
      </c>
    </row>
    <row r="2287" spans="1:11">
      <c r="A2287" s="1">
        <v>45134</v>
      </c>
      <c r="B2287" t="s">
        <v>40</v>
      </c>
      <c r="C2287" t="s">
        <v>59</v>
      </c>
      <c r="D2287">
        <v>1934</v>
      </c>
      <c r="E2287">
        <v>857</v>
      </c>
      <c r="F2287">
        <v>148</v>
      </c>
      <c r="G2287">
        <v>2</v>
      </c>
      <c r="H2287">
        <v>2940</v>
      </c>
      <c r="I2287" s="1">
        <v>45108</v>
      </c>
      <c r="J2287">
        <v>150</v>
      </c>
      <c r="K2287" t="s">
        <v>26</v>
      </c>
    </row>
    <row r="2288" spans="1:11">
      <c r="A2288" s="1">
        <v>45134</v>
      </c>
      <c r="B2288" t="s">
        <v>21</v>
      </c>
      <c r="C2288" t="s">
        <v>48</v>
      </c>
      <c r="D2288">
        <v>30</v>
      </c>
      <c r="E2288">
        <v>4</v>
      </c>
      <c r="F2288">
        <v>4</v>
      </c>
      <c r="G2288">
        <v>2</v>
      </c>
      <c r="H2288">
        <v>40</v>
      </c>
      <c r="I2288" s="1">
        <v>45108</v>
      </c>
      <c r="J2288">
        <v>6</v>
      </c>
      <c r="K2288" t="s">
        <v>26</v>
      </c>
    </row>
    <row r="2289" spans="1:11">
      <c r="A2289" s="1">
        <v>45134</v>
      </c>
      <c r="B2289" t="s">
        <v>21</v>
      </c>
      <c r="C2289" t="s">
        <v>63</v>
      </c>
      <c r="D2289">
        <v>115</v>
      </c>
      <c r="E2289">
        <v>12</v>
      </c>
      <c r="F2289">
        <v>8</v>
      </c>
      <c r="G2289">
        <v>2</v>
      </c>
      <c r="H2289">
        <v>136</v>
      </c>
      <c r="I2289" s="1">
        <v>45108</v>
      </c>
      <c r="J2289">
        <v>10</v>
      </c>
      <c r="K2289" t="s">
        <v>26</v>
      </c>
    </row>
    <row r="2290" spans="1:11">
      <c r="A2290" s="1">
        <v>45169</v>
      </c>
      <c r="B2290" t="s">
        <v>40</v>
      </c>
      <c r="C2290" t="s">
        <v>56</v>
      </c>
      <c r="D2290">
        <v>589</v>
      </c>
      <c r="E2290">
        <v>85</v>
      </c>
      <c r="F2290">
        <v>9</v>
      </c>
      <c r="G2290">
        <v>2</v>
      </c>
      <c r="H2290">
        <v>685</v>
      </c>
      <c r="I2290" s="1">
        <v>45139</v>
      </c>
      <c r="J2290">
        <v>11</v>
      </c>
      <c r="K2290" t="s">
        <v>26</v>
      </c>
    </row>
    <row r="2291" spans="1:11">
      <c r="A2291" s="1">
        <v>45169</v>
      </c>
      <c r="B2291" t="s">
        <v>40</v>
      </c>
      <c r="C2291" t="s">
        <v>43</v>
      </c>
      <c r="D2291">
        <v>602</v>
      </c>
      <c r="E2291">
        <v>119</v>
      </c>
      <c r="F2291">
        <v>7</v>
      </c>
      <c r="G2291">
        <v>2</v>
      </c>
      <c r="H2291">
        <v>729</v>
      </c>
      <c r="I2291" s="1">
        <v>45139</v>
      </c>
      <c r="J2291">
        <v>9</v>
      </c>
      <c r="K2291" t="s">
        <v>26</v>
      </c>
    </row>
    <row r="2292" spans="1:11">
      <c r="A2292" s="1">
        <v>45169</v>
      </c>
      <c r="B2292" t="s">
        <v>40</v>
      </c>
      <c r="C2292" t="s">
        <v>59</v>
      </c>
      <c r="D2292">
        <v>1763</v>
      </c>
      <c r="E2292">
        <v>777</v>
      </c>
      <c r="F2292">
        <v>139</v>
      </c>
      <c r="G2292">
        <v>2</v>
      </c>
      <c r="H2292">
        <v>2681</v>
      </c>
      <c r="I2292" s="1">
        <v>45139</v>
      </c>
      <c r="J2292">
        <v>141</v>
      </c>
      <c r="K2292" t="s">
        <v>26</v>
      </c>
    </row>
    <row r="2293" spans="1:11">
      <c r="A2293" s="1">
        <v>45197</v>
      </c>
      <c r="B2293" t="s">
        <v>40</v>
      </c>
      <c r="C2293" t="s">
        <v>33</v>
      </c>
      <c r="D2293">
        <v>71</v>
      </c>
      <c r="E2293">
        <v>68</v>
      </c>
      <c r="F2293">
        <v>8</v>
      </c>
      <c r="G2293">
        <v>2</v>
      </c>
      <c r="H2293">
        <v>149</v>
      </c>
      <c r="I2293" s="1">
        <v>45170</v>
      </c>
      <c r="J2293">
        <v>10</v>
      </c>
      <c r="K2293" t="s">
        <v>26</v>
      </c>
    </row>
    <row r="2294" spans="1:11">
      <c r="A2294" s="1">
        <v>45197</v>
      </c>
      <c r="B2294" t="s">
        <v>40</v>
      </c>
      <c r="C2294" t="s">
        <v>43</v>
      </c>
      <c r="D2294">
        <v>619</v>
      </c>
      <c r="E2294">
        <v>126</v>
      </c>
      <c r="F2294">
        <v>6</v>
      </c>
      <c r="G2294">
        <v>2</v>
      </c>
      <c r="H2294">
        <v>753</v>
      </c>
      <c r="I2294" s="1">
        <v>45170</v>
      </c>
      <c r="J2294">
        <v>8</v>
      </c>
      <c r="K2294" t="s">
        <v>26</v>
      </c>
    </row>
    <row r="2295" spans="1:11">
      <c r="A2295" s="1">
        <v>45197</v>
      </c>
      <c r="B2295" t="s">
        <v>40</v>
      </c>
      <c r="C2295" t="s">
        <v>24</v>
      </c>
      <c r="D2295">
        <v>602</v>
      </c>
      <c r="E2295">
        <v>123</v>
      </c>
      <c r="F2295">
        <v>11</v>
      </c>
      <c r="G2295">
        <v>2</v>
      </c>
      <c r="H2295">
        <v>739</v>
      </c>
      <c r="I2295" s="1">
        <v>45170</v>
      </c>
      <c r="J2295">
        <v>13</v>
      </c>
      <c r="K2295" t="s">
        <v>26</v>
      </c>
    </row>
    <row r="2296" spans="1:11">
      <c r="A2296" s="1">
        <v>45225</v>
      </c>
      <c r="B2296" t="s">
        <v>21</v>
      </c>
      <c r="C2296" t="s">
        <v>61</v>
      </c>
      <c r="D2296">
        <v>182</v>
      </c>
      <c r="E2296">
        <v>20</v>
      </c>
      <c r="F2296">
        <v>13</v>
      </c>
      <c r="G2296">
        <v>2</v>
      </c>
      <c r="H2296">
        <v>217</v>
      </c>
      <c r="I2296" s="1">
        <v>45200</v>
      </c>
      <c r="J2296">
        <v>15</v>
      </c>
      <c r="K2296" t="s">
        <v>26</v>
      </c>
    </row>
    <row r="2297" spans="1:11">
      <c r="A2297" s="1">
        <v>45260</v>
      </c>
      <c r="B2297" t="s">
        <v>40</v>
      </c>
      <c r="C2297" t="s">
        <v>24</v>
      </c>
      <c r="D2297">
        <v>699</v>
      </c>
      <c r="E2297">
        <v>129</v>
      </c>
      <c r="F2297">
        <v>4</v>
      </c>
      <c r="G2297">
        <v>2</v>
      </c>
      <c r="H2297">
        <v>834</v>
      </c>
      <c r="I2297" s="1">
        <v>45231</v>
      </c>
      <c r="J2297">
        <v>6</v>
      </c>
      <c r="K2297" t="s">
        <v>26</v>
      </c>
    </row>
    <row r="2298" spans="1:11">
      <c r="A2298" s="1">
        <v>45260</v>
      </c>
      <c r="B2298" t="s">
        <v>21</v>
      </c>
      <c r="C2298" t="s">
        <v>61</v>
      </c>
      <c r="D2298">
        <v>216</v>
      </c>
      <c r="E2298">
        <v>26</v>
      </c>
      <c r="F2298">
        <v>8</v>
      </c>
      <c r="G2298">
        <v>2</v>
      </c>
      <c r="H2298">
        <v>252</v>
      </c>
      <c r="I2298" s="1">
        <v>45231</v>
      </c>
      <c r="J2298">
        <v>10</v>
      </c>
      <c r="K2298" t="s">
        <v>26</v>
      </c>
    </row>
    <row r="2299" spans="1:11">
      <c r="A2299" s="1">
        <v>45260</v>
      </c>
      <c r="B2299" t="s">
        <v>21</v>
      </c>
      <c r="C2299" t="s">
        <v>59</v>
      </c>
      <c r="D2299">
        <v>167</v>
      </c>
      <c r="E2299">
        <v>209</v>
      </c>
      <c r="F2299">
        <v>28</v>
      </c>
      <c r="G2299">
        <v>2</v>
      </c>
      <c r="H2299">
        <v>406</v>
      </c>
      <c r="I2299" s="1">
        <v>45231</v>
      </c>
      <c r="J2299">
        <v>30</v>
      </c>
      <c r="K2299" t="s">
        <v>26</v>
      </c>
    </row>
    <row r="2300" spans="1:11">
      <c r="A2300" s="1">
        <v>45288</v>
      </c>
      <c r="B2300" t="s">
        <v>40</v>
      </c>
      <c r="C2300" t="s">
        <v>47</v>
      </c>
      <c r="D2300">
        <v>588</v>
      </c>
      <c r="E2300">
        <v>114</v>
      </c>
      <c r="F2300">
        <v>2</v>
      </c>
      <c r="G2300">
        <v>2</v>
      </c>
      <c r="H2300">
        <v>706</v>
      </c>
      <c r="I2300" s="1">
        <v>45261</v>
      </c>
      <c r="J2300">
        <v>4</v>
      </c>
      <c r="K2300" t="s">
        <v>26</v>
      </c>
    </row>
    <row r="2301" spans="1:11">
      <c r="A2301" s="1">
        <v>45288</v>
      </c>
      <c r="B2301" t="s">
        <v>40</v>
      </c>
      <c r="C2301" t="s">
        <v>22</v>
      </c>
      <c r="D2301">
        <v>656</v>
      </c>
      <c r="E2301">
        <v>75</v>
      </c>
      <c r="F2301">
        <v>8</v>
      </c>
      <c r="G2301">
        <v>2</v>
      </c>
      <c r="H2301">
        <v>741</v>
      </c>
      <c r="I2301" s="1">
        <v>45261</v>
      </c>
      <c r="J2301">
        <v>10</v>
      </c>
      <c r="K2301" t="s">
        <v>26</v>
      </c>
    </row>
    <row r="2302" spans="1:11">
      <c r="A2302" s="1">
        <v>45288</v>
      </c>
      <c r="B2302" t="s">
        <v>21</v>
      </c>
      <c r="C2302" t="s">
        <v>60</v>
      </c>
      <c r="D2302">
        <v>267</v>
      </c>
      <c r="E2302">
        <v>63</v>
      </c>
      <c r="F2302">
        <v>2</v>
      </c>
      <c r="G2302">
        <v>2</v>
      </c>
      <c r="H2302">
        <v>334</v>
      </c>
      <c r="I2302" s="1">
        <v>45261</v>
      </c>
      <c r="J2302">
        <v>4</v>
      </c>
      <c r="K2302" t="s">
        <v>26</v>
      </c>
    </row>
    <row r="2303" spans="1:11">
      <c r="A2303" s="1">
        <v>45288</v>
      </c>
      <c r="B2303" t="s">
        <v>21</v>
      </c>
      <c r="C2303" t="s">
        <v>61</v>
      </c>
      <c r="D2303">
        <v>220</v>
      </c>
      <c r="E2303">
        <v>12</v>
      </c>
      <c r="F2303">
        <v>6</v>
      </c>
      <c r="G2303">
        <v>2</v>
      </c>
      <c r="H2303">
        <v>240</v>
      </c>
      <c r="I2303" s="1">
        <v>45261</v>
      </c>
      <c r="J2303">
        <v>8</v>
      </c>
      <c r="K2303" t="s">
        <v>26</v>
      </c>
    </row>
    <row r="2304" spans="1:11">
      <c r="A2304" s="1">
        <v>45316</v>
      </c>
      <c r="B2304" t="s">
        <v>21</v>
      </c>
      <c r="C2304" t="s">
        <v>63</v>
      </c>
      <c r="D2304">
        <v>65</v>
      </c>
      <c r="E2304">
        <v>51</v>
      </c>
      <c r="F2304">
        <v>7</v>
      </c>
      <c r="G2304">
        <v>2</v>
      </c>
      <c r="H2304">
        <v>125</v>
      </c>
      <c r="I2304" s="1">
        <v>45292</v>
      </c>
      <c r="J2304">
        <v>9</v>
      </c>
      <c r="K2304" t="s">
        <v>26</v>
      </c>
    </row>
    <row r="2305" spans="1:11">
      <c r="A2305" s="1">
        <v>45316</v>
      </c>
      <c r="B2305" t="s">
        <v>21</v>
      </c>
      <c r="C2305" t="s">
        <v>60</v>
      </c>
      <c r="D2305">
        <v>231</v>
      </c>
      <c r="E2305">
        <v>54</v>
      </c>
      <c r="F2305">
        <v>2</v>
      </c>
      <c r="G2305">
        <v>2</v>
      </c>
      <c r="H2305">
        <v>288</v>
      </c>
      <c r="I2305" s="1">
        <v>45292</v>
      </c>
      <c r="J2305">
        <v>4</v>
      </c>
      <c r="K2305" t="s">
        <v>26</v>
      </c>
    </row>
    <row r="2306" spans="1:11">
      <c r="A2306" s="1">
        <v>45316</v>
      </c>
      <c r="B2306" t="s">
        <v>21</v>
      </c>
      <c r="C2306" t="s">
        <v>61</v>
      </c>
      <c r="D2306">
        <v>226</v>
      </c>
      <c r="E2306">
        <v>17</v>
      </c>
      <c r="F2306">
        <v>6</v>
      </c>
      <c r="G2306">
        <v>2</v>
      </c>
      <c r="H2306">
        <v>251</v>
      </c>
      <c r="I2306" s="1">
        <v>45292</v>
      </c>
      <c r="J2306">
        <v>8</v>
      </c>
      <c r="K2306" t="s">
        <v>26</v>
      </c>
    </row>
    <row r="2307" spans="1:11">
      <c r="A2307" s="1">
        <v>45351</v>
      </c>
      <c r="B2307" t="s">
        <v>40</v>
      </c>
      <c r="C2307" t="s">
        <v>43</v>
      </c>
      <c r="D2307">
        <v>1076</v>
      </c>
      <c r="E2307">
        <v>240</v>
      </c>
      <c r="F2307">
        <v>29</v>
      </c>
      <c r="G2307">
        <v>2</v>
      </c>
      <c r="H2307">
        <v>1348</v>
      </c>
      <c r="I2307" s="1">
        <v>45323</v>
      </c>
      <c r="J2307">
        <v>31</v>
      </c>
      <c r="K2307" t="s">
        <v>26</v>
      </c>
    </row>
    <row r="2308" spans="1:11">
      <c r="A2308" s="1">
        <v>45351</v>
      </c>
      <c r="B2308" t="s">
        <v>40</v>
      </c>
      <c r="C2308" t="s">
        <v>54</v>
      </c>
      <c r="D2308">
        <v>1363</v>
      </c>
      <c r="E2308">
        <v>301</v>
      </c>
      <c r="F2308">
        <v>30</v>
      </c>
      <c r="G2308">
        <v>2</v>
      </c>
      <c r="H2308">
        <v>1695</v>
      </c>
      <c r="I2308" s="1">
        <v>45323</v>
      </c>
      <c r="J2308">
        <v>32</v>
      </c>
      <c r="K2308" t="s">
        <v>26</v>
      </c>
    </row>
    <row r="2309" spans="1:11">
      <c r="A2309" s="1">
        <v>45351</v>
      </c>
      <c r="B2309" t="s">
        <v>40</v>
      </c>
      <c r="C2309" t="s">
        <v>22</v>
      </c>
      <c r="D2309">
        <v>543</v>
      </c>
      <c r="E2309">
        <v>54</v>
      </c>
      <c r="F2309">
        <v>4</v>
      </c>
      <c r="G2309">
        <v>2</v>
      </c>
      <c r="H2309">
        <v>603</v>
      </c>
      <c r="I2309" s="1">
        <v>45323</v>
      </c>
      <c r="J2309">
        <v>6</v>
      </c>
      <c r="K2309" t="s">
        <v>26</v>
      </c>
    </row>
    <row r="2310" spans="1:11">
      <c r="A2310" s="1">
        <v>45351</v>
      </c>
      <c r="B2310" t="s">
        <v>40</v>
      </c>
      <c r="C2310" t="s">
        <v>59</v>
      </c>
      <c r="D2310">
        <v>1956</v>
      </c>
      <c r="E2310">
        <v>864</v>
      </c>
      <c r="F2310">
        <v>170</v>
      </c>
      <c r="G2310">
        <v>2</v>
      </c>
      <c r="H2310">
        <v>2993</v>
      </c>
      <c r="I2310" s="1">
        <v>45323</v>
      </c>
      <c r="J2310">
        <v>172</v>
      </c>
      <c r="K2310" t="s">
        <v>26</v>
      </c>
    </row>
    <row r="2311" spans="1:11">
      <c r="A2311" s="1">
        <v>45351</v>
      </c>
      <c r="B2311" t="s">
        <v>21</v>
      </c>
      <c r="C2311" t="s">
        <v>63</v>
      </c>
      <c r="D2311">
        <v>60</v>
      </c>
      <c r="E2311">
        <v>52</v>
      </c>
      <c r="F2311">
        <v>9</v>
      </c>
      <c r="G2311">
        <v>2</v>
      </c>
      <c r="H2311">
        <v>123</v>
      </c>
      <c r="I2311" s="1">
        <v>45323</v>
      </c>
      <c r="J2311">
        <v>11</v>
      </c>
      <c r="K2311" t="s">
        <v>26</v>
      </c>
    </row>
    <row r="2312" spans="1:11">
      <c r="A2312" s="1">
        <v>45351</v>
      </c>
      <c r="B2312" t="s">
        <v>21</v>
      </c>
      <c r="C2312" t="s">
        <v>60</v>
      </c>
      <c r="D2312">
        <v>154</v>
      </c>
      <c r="E2312">
        <v>41</v>
      </c>
      <c r="F2312">
        <v>2</v>
      </c>
      <c r="G2312">
        <v>2</v>
      </c>
      <c r="H2312">
        <v>198</v>
      </c>
      <c r="I2312" s="1">
        <v>45323</v>
      </c>
      <c r="J2312">
        <v>4</v>
      </c>
      <c r="K2312" t="s">
        <v>26</v>
      </c>
    </row>
    <row r="2313" spans="1:11">
      <c r="A2313" s="1">
        <v>45379</v>
      </c>
      <c r="B2313" t="s">
        <v>40</v>
      </c>
      <c r="C2313" t="s">
        <v>33</v>
      </c>
      <c r="D2313">
        <v>93</v>
      </c>
      <c r="E2313">
        <v>30</v>
      </c>
      <c r="F2313">
        <v>16</v>
      </c>
      <c r="G2313">
        <v>2</v>
      </c>
      <c r="H2313">
        <v>140</v>
      </c>
      <c r="I2313" s="1">
        <v>45352</v>
      </c>
      <c r="J2313">
        <v>18</v>
      </c>
      <c r="K2313" t="s">
        <v>26</v>
      </c>
    </row>
    <row r="2314" spans="1:11">
      <c r="A2314" s="1">
        <v>45379</v>
      </c>
      <c r="B2314" t="s">
        <v>40</v>
      </c>
      <c r="C2314" t="s">
        <v>43</v>
      </c>
      <c r="D2314">
        <v>1062</v>
      </c>
      <c r="E2314">
        <v>256</v>
      </c>
      <c r="F2314">
        <v>43</v>
      </c>
      <c r="G2314">
        <v>2</v>
      </c>
      <c r="H2314">
        <v>1363</v>
      </c>
      <c r="I2314" s="1">
        <v>45352</v>
      </c>
      <c r="J2314">
        <v>45</v>
      </c>
      <c r="K2314" t="s">
        <v>26</v>
      </c>
    </row>
    <row r="2315" spans="1:11">
      <c r="A2315" s="1">
        <v>45379</v>
      </c>
      <c r="B2315" t="s">
        <v>40</v>
      </c>
      <c r="C2315" t="s">
        <v>54</v>
      </c>
      <c r="D2315">
        <v>1500</v>
      </c>
      <c r="E2315">
        <v>282</v>
      </c>
      <c r="F2315">
        <v>32</v>
      </c>
      <c r="G2315">
        <v>2</v>
      </c>
      <c r="H2315">
        <v>1816</v>
      </c>
      <c r="I2315" s="1">
        <v>45352</v>
      </c>
      <c r="J2315">
        <v>34</v>
      </c>
      <c r="K2315" t="s">
        <v>26</v>
      </c>
    </row>
    <row r="2316" spans="1:11">
      <c r="A2316" s="1">
        <v>45379</v>
      </c>
      <c r="B2316" t="s">
        <v>40</v>
      </c>
      <c r="C2316" t="s">
        <v>35</v>
      </c>
      <c r="D2316">
        <v>590</v>
      </c>
      <c r="E2316">
        <v>142</v>
      </c>
      <c r="F2316">
        <v>0</v>
      </c>
      <c r="G2316">
        <v>2</v>
      </c>
      <c r="H2316">
        <v>733</v>
      </c>
      <c r="I2316" s="1">
        <v>45352</v>
      </c>
      <c r="J2316">
        <v>2</v>
      </c>
      <c r="K2316" t="s">
        <v>26</v>
      </c>
    </row>
    <row r="2317" spans="1:11">
      <c r="A2317" s="1">
        <v>45379</v>
      </c>
      <c r="B2317" t="s">
        <v>21</v>
      </c>
      <c r="C2317" t="s">
        <v>57</v>
      </c>
      <c r="D2317">
        <v>15</v>
      </c>
      <c r="E2317">
        <v>2</v>
      </c>
      <c r="F2317">
        <v>2</v>
      </c>
      <c r="G2317">
        <v>2</v>
      </c>
      <c r="H2317">
        <v>21</v>
      </c>
      <c r="I2317" s="1">
        <v>45352</v>
      </c>
      <c r="J2317">
        <v>4</v>
      </c>
      <c r="K2317" t="s">
        <v>26</v>
      </c>
    </row>
    <row r="2318" spans="1:11">
      <c r="A2318" s="1">
        <v>45379</v>
      </c>
      <c r="B2318" t="s">
        <v>21</v>
      </c>
      <c r="C2318" t="s">
        <v>61</v>
      </c>
      <c r="D2318">
        <v>265</v>
      </c>
      <c r="E2318">
        <v>37</v>
      </c>
      <c r="F2318">
        <v>5</v>
      </c>
      <c r="G2318">
        <v>2</v>
      </c>
      <c r="H2318">
        <v>310</v>
      </c>
      <c r="I2318" s="1">
        <v>45352</v>
      </c>
      <c r="J2318">
        <v>7</v>
      </c>
      <c r="K2318" t="s">
        <v>26</v>
      </c>
    </row>
    <row r="2319" spans="1:11">
      <c r="A2319" s="1">
        <v>45407</v>
      </c>
      <c r="B2319" t="s">
        <v>40</v>
      </c>
      <c r="C2319" t="s">
        <v>33</v>
      </c>
      <c r="D2319">
        <v>149</v>
      </c>
      <c r="E2319">
        <v>41</v>
      </c>
      <c r="F2319">
        <v>7</v>
      </c>
      <c r="G2319">
        <v>2</v>
      </c>
      <c r="H2319">
        <v>199</v>
      </c>
      <c r="I2319" s="1">
        <v>45383</v>
      </c>
      <c r="J2319">
        <v>9</v>
      </c>
      <c r="K2319" t="s">
        <v>26</v>
      </c>
    </row>
    <row r="2320" spans="1:11">
      <c r="A2320" s="1">
        <v>45407</v>
      </c>
      <c r="B2320" t="s">
        <v>40</v>
      </c>
      <c r="C2320" t="s">
        <v>43</v>
      </c>
      <c r="D2320">
        <v>980</v>
      </c>
      <c r="E2320">
        <v>278</v>
      </c>
      <c r="F2320">
        <v>32</v>
      </c>
      <c r="G2320">
        <v>2</v>
      </c>
      <c r="H2320">
        <v>1293</v>
      </c>
      <c r="I2320" s="1">
        <v>45383</v>
      </c>
      <c r="J2320">
        <v>34</v>
      </c>
      <c r="K2320" t="s">
        <v>26</v>
      </c>
    </row>
    <row r="2321" spans="1:11">
      <c r="A2321" s="1">
        <v>45407</v>
      </c>
      <c r="B2321" t="s">
        <v>40</v>
      </c>
      <c r="C2321" t="s">
        <v>59</v>
      </c>
      <c r="D2321">
        <v>1830</v>
      </c>
      <c r="E2321">
        <v>958</v>
      </c>
      <c r="F2321">
        <v>219</v>
      </c>
      <c r="G2321">
        <v>2</v>
      </c>
      <c r="H2321">
        <v>3008</v>
      </c>
      <c r="I2321" s="1">
        <v>45383</v>
      </c>
      <c r="J2321">
        <v>221</v>
      </c>
      <c r="K2321" t="s">
        <v>26</v>
      </c>
    </row>
    <row r="2322" spans="1:11">
      <c r="A2322" s="1">
        <v>45407</v>
      </c>
      <c r="B2322" t="s">
        <v>21</v>
      </c>
      <c r="C2322" t="s">
        <v>54</v>
      </c>
      <c r="D2322">
        <v>70</v>
      </c>
      <c r="E2322">
        <v>41</v>
      </c>
      <c r="F2322">
        <v>11</v>
      </c>
      <c r="G2322">
        <v>2</v>
      </c>
      <c r="H2322">
        <v>124</v>
      </c>
      <c r="I2322" s="1">
        <v>45383</v>
      </c>
      <c r="J2322">
        <v>13</v>
      </c>
      <c r="K2322" t="s">
        <v>26</v>
      </c>
    </row>
    <row r="2323" spans="1:11">
      <c r="A2323" s="1">
        <v>45407</v>
      </c>
      <c r="B2323" t="s">
        <v>21</v>
      </c>
      <c r="C2323" t="s">
        <v>61</v>
      </c>
      <c r="D2323">
        <v>287</v>
      </c>
      <c r="E2323">
        <v>42</v>
      </c>
      <c r="F2323">
        <v>6</v>
      </c>
      <c r="G2323">
        <v>2</v>
      </c>
      <c r="H2323">
        <v>337</v>
      </c>
      <c r="I2323" s="1">
        <v>45383</v>
      </c>
      <c r="J2323">
        <v>8</v>
      </c>
      <c r="K2323" t="s">
        <v>26</v>
      </c>
    </row>
    <row r="2324" spans="1:11">
      <c r="A2324" s="1">
        <v>45442</v>
      </c>
      <c r="B2324" t="s">
        <v>40</v>
      </c>
      <c r="C2324" t="s">
        <v>59</v>
      </c>
      <c r="D2324">
        <v>1887</v>
      </c>
      <c r="E2324">
        <v>947</v>
      </c>
      <c r="F2324">
        <v>247</v>
      </c>
      <c r="G2324">
        <v>2</v>
      </c>
      <c r="H2324">
        <v>3083</v>
      </c>
      <c r="I2324" s="1">
        <v>45413</v>
      </c>
      <c r="J2324">
        <v>249</v>
      </c>
      <c r="K2324" t="s">
        <v>26</v>
      </c>
    </row>
    <row r="2325" spans="1:11">
      <c r="A2325" s="1">
        <v>45442</v>
      </c>
      <c r="B2325" t="s">
        <v>21</v>
      </c>
      <c r="C2325" t="s">
        <v>59</v>
      </c>
      <c r="D2325">
        <v>207</v>
      </c>
      <c r="E2325">
        <v>204</v>
      </c>
      <c r="F2325">
        <v>90</v>
      </c>
      <c r="G2325">
        <v>2</v>
      </c>
      <c r="H2325">
        <v>502</v>
      </c>
      <c r="I2325" s="1">
        <v>45413</v>
      </c>
      <c r="J2325">
        <v>92</v>
      </c>
      <c r="K2325" t="s">
        <v>26</v>
      </c>
    </row>
    <row r="2326" spans="1:11">
      <c r="A2326" s="1">
        <v>45470</v>
      </c>
      <c r="B2326" t="s">
        <v>40</v>
      </c>
      <c r="C2326" t="s">
        <v>30</v>
      </c>
      <c r="D2326">
        <v>474</v>
      </c>
      <c r="E2326">
        <v>83</v>
      </c>
      <c r="F2326">
        <v>13</v>
      </c>
      <c r="G2326">
        <v>2</v>
      </c>
      <c r="H2326">
        <v>572</v>
      </c>
      <c r="I2326" s="1">
        <v>45444</v>
      </c>
      <c r="J2326">
        <v>15</v>
      </c>
      <c r="K2326" t="s">
        <v>26</v>
      </c>
    </row>
    <row r="2327" spans="1:11">
      <c r="A2327" s="1">
        <v>45470</v>
      </c>
      <c r="B2327" t="s">
        <v>21</v>
      </c>
      <c r="C2327" t="s">
        <v>41</v>
      </c>
      <c r="D2327">
        <v>9</v>
      </c>
      <c r="E2327">
        <v>0</v>
      </c>
      <c r="F2327">
        <v>0</v>
      </c>
      <c r="G2327">
        <v>2</v>
      </c>
      <c r="H2327">
        <v>10</v>
      </c>
      <c r="I2327" s="1">
        <v>45444</v>
      </c>
      <c r="J2327">
        <v>2</v>
      </c>
      <c r="K2327" t="s">
        <v>26</v>
      </c>
    </row>
    <row r="2328" spans="1:11">
      <c r="A2328" s="1">
        <v>45470</v>
      </c>
      <c r="B2328" t="s">
        <v>21</v>
      </c>
      <c r="C2328" t="s">
        <v>57</v>
      </c>
      <c r="D2328">
        <v>28</v>
      </c>
      <c r="E2328">
        <v>2</v>
      </c>
      <c r="F2328">
        <v>0</v>
      </c>
      <c r="G2328">
        <v>2</v>
      </c>
      <c r="H2328">
        <v>31</v>
      </c>
      <c r="I2328" s="1">
        <v>45444</v>
      </c>
      <c r="J2328">
        <v>2</v>
      </c>
      <c r="K2328" t="s">
        <v>26</v>
      </c>
    </row>
    <row r="2329" spans="1:11">
      <c r="A2329" s="1">
        <v>45470</v>
      </c>
      <c r="B2329" t="s">
        <v>21</v>
      </c>
      <c r="C2329" t="s">
        <v>63</v>
      </c>
      <c r="D2329">
        <v>41</v>
      </c>
      <c r="E2329">
        <v>22</v>
      </c>
      <c r="F2329">
        <v>13</v>
      </c>
      <c r="G2329">
        <v>2</v>
      </c>
      <c r="H2329">
        <v>77</v>
      </c>
      <c r="I2329" s="1">
        <v>45444</v>
      </c>
      <c r="J2329">
        <v>15</v>
      </c>
      <c r="K2329" t="s">
        <v>26</v>
      </c>
    </row>
    <row r="2330" spans="1:11">
      <c r="A2330" s="1">
        <v>45470</v>
      </c>
      <c r="B2330" t="s">
        <v>21</v>
      </c>
      <c r="C2330" t="s">
        <v>60</v>
      </c>
      <c r="D2330">
        <v>138</v>
      </c>
      <c r="E2330">
        <v>20</v>
      </c>
      <c r="F2330">
        <v>3</v>
      </c>
      <c r="G2330">
        <v>2</v>
      </c>
      <c r="H2330">
        <v>163</v>
      </c>
      <c r="I2330" s="1">
        <v>45444</v>
      </c>
      <c r="J2330">
        <v>5</v>
      </c>
      <c r="K2330" t="s">
        <v>26</v>
      </c>
    </row>
    <row r="2331" spans="1:11">
      <c r="A2331" s="1">
        <v>45498</v>
      </c>
      <c r="B2331" t="s">
        <v>40</v>
      </c>
      <c r="C2331" t="s">
        <v>54</v>
      </c>
      <c r="D2331">
        <v>1455</v>
      </c>
      <c r="E2331">
        <v>236</v>
      </c>
      <c r="F2331">
        <v>33</v>
      </c>
      <c r="G2331">
        <v>2</v>
      </c>
      <c r="H2331">
        <v>1726</v>
      </c>
      <c r="I2331" s="1">
        <v>45474</v>
      </c>
      <c r="J2331">
        <v>35</v>
      </c>
      <c r="K2331" t="s">
        <v>26</v>
      </c>
    </row>
    <row r="2332" spans="1:11">
      <c r="A2332" s="1">
        <v>45498</v>
      </c>
      <c r="B2332" t="s">
        <v>40</v>
      </c>
      <c r="C2332" t="s">
        <v>35</v>
      </c>
      <c r="D2332">
        <v>677</v>
      </c>
      <c r="E2332">
        <v>206</v>
      </c>
      <c r="F2332">
        <v>2</v>
      </c>
      <c r="G2332">
        <v>2</v>
      </c>
      <c r="H2332">
        <v>886</v>
      </c>
      <c r="I2332" s="1">
        <v>45474</v>
      </c>
      <c r="J2332">
        <v>4</v>
      </c>
      <c r="K2332" t="s">
        <v>26</v>
      </c>
    </row>
    <row r="2333" spans="1:11">
      <c r="A2333" s="1">
        <v>45498</v>
      </c>
      <c r="B2333" t="s">
        <v>21</v>
      </c>
      <c r="C2333" t="s">
        <v>57</v>
      </c>
      <c r="D2333">
        <v>23</v>
      </c>
      <c r="E2333">
        <v>2</v>
      </c>
      <c r="F2333">
        <v>2</v>
      </c>
      <c r="G2333">
        <v>2</v>
      </c>
      <c r="H2333">
        <v>28</v>
      </c>
      <c r="I2333" s="1">
        <v>45474</v>
      </c>
      <c r="J2333">
        <v>4</v>
      </c>
      <c r="K2333" t="s">
        <v>26</v>
      </c>
    </row>
    <row r="2334" spans="1:11">
      <c r="A2334" s="1">
        <v>45533</v>
      </c>
      <c r="B2334" t="s">
        <v>40</v>
      </c>
      <c r="C2334" t="s">
        <v>41</v>
      </c>
      <c r="D2334">
        <v>277</v>
      </c>
      <c r="E2334">
        <v>2</v>
      </c>
      <c r="F2334">
        <v>2</v>
      </c>
      <c r="G2334">
        <v>2</v>
      </c>
      <c r="H2334">
        <v>283</v>
      </c>
      <c r="I2334" s="1">
        <v>45505</v>
      </c>
      <c r="J2334">
        <v>4</v>
      </c>
      <c r="K2334" t="s">
        <v>26</v>
      </c>
    </row>
    <row r="2335" spans="1:11">
      <c r="A2335" s="1">
        <v>45533</v>
      </c>
      <c r="B2335" t="s">
        <v>40</v>
      </c>
      <c r="C2335" t="s">
        <v>47</v>
      </c>
      <c r="D2335">
        <v>581</v>
      </c>
      <c r="E2335">
        <v>97</v>
      </c>
      <c r="F2335">
        <v>19</v>
      </c>
      <c r="G2335">
        <v>2</v>
      </c>
      <c r="H2335">
        <v>698</v>
      </c>
      <c r="I2335" s="1">
        <v>45505</v>
      </c>
      <c r="J2335">
        <v>21</v>
      </c>
      <c r="K2335" t="s">
        <v>26</v>
      </c>
    </row>
    <row r="2336" spans="1:11">
      <c r="A2336" s="1">
        <v>45533</v>
      </c>
      <c r="B2336" t="s">
        <v>40</v>
      </c>
      <c r="C2336" t="s">
        <v>22</v>
      </c>
      <c r="D2336">
        <v>690</v>
      </c>
      <c r="E2336">
        <v>21</v>
      </c>
      <c r="F2336">
        <v>3</v>
      </c>
      <c r="G2336">
        <v>2</v>
      </c>
      <c r="H2336">
        <v>716</v>
      </c>
      <c r="I2336" s="1">
        <v>45505</v>
      </c>
      <c r="J2336">
        <v>5</v>
      </c>
      <c r="K2336" t="s">
        <v>26</v>
      </c>
    </row>
    <row r="2337" spans="1:11">
      <c r="A2337" s="1">
        <v>45561</v>
      </c>
      <c r="B2337" t="s">
        <v>40</v>
      </c>
      <c r="C2337" t="s">
        <v>41</v>
      </c>
      <c r="D2337">
        <v>254</v>
      </c>
      <c r="E2337">
        <v>13</v>
      </c>
      <c r="F2337">
        <v>0</v>
      </c>
      <c r="G2337">
        <v>2</v>
      </c>
      <c r="H2337">
        <v>270</v>
      </c>
      <c r="I2337" s="1">
        <v>45536</v>
      </c>
      <c r="J2337">
        <v>2</v>
      </c>
      <c r="K2337" t="s">
        <v>26</v>
      </c>
    </row>
    <row r="2338" spans="1:11">
      <c r="A2338" s="1">
        <v>45561</v>
      </c>
      <c r="B2338" t="s">
        <v>40</v>
      </c>
      <c r="C2338" t="s">
        <v>37</v>
      </c>
      <c r="D2338">
        <v>573</v>
      </c>
      <c r="E2338">
        <v>134</v>
      </c>
      <c r="F2338">
        <v>8</v>
      </c>
      <c r="G2338">
        <v>2</v>
      </c>
      <c r="H2338">
        <v>718</v>
      </c>
      <c r="I2338" s="1">
        <v>45536</v>
      </c>
      <c r="J2338">
        <v>10</v>
      </c>
      <c r="K2338" t="s">
        <v>26</v>
      </c>
    </row>
    <row r="2339" spans="1:11">
      <c r="A2339" s="1">
        <v>45561</v>
      </c>
      <c r="B2339" t="s">
        <v>40</v>
      </c>
      <c r="C2339" t="s">
        <v>22</v>
      </c>
      <c r="D2339">
        <v>782</v>
      </c>
      <c r="E2339">
        <v>35</v>
      </c>
      <c r="F2339">
        <v>5</v>
      </c>
      <c r="G2339">
        <v>2</v>
      </c>
      <c r="H2339">
        <v>823</v>
      </c>
      <c r="I2339" s="1">
        <v>45536</v>
      </c>
      <c r="J2339">
        <v>7</v>
      </c>
      <c r="K2339" t="s">
        <v>26</v>
      </c>
    </row>
    <row r="2340" spans="1:11">
      <c r="A2340" s="1">
        <v>45561</v>
      </c>
      <c r="B2340" t="s">
        <v>40</v>
      </c>
      <c r="C2340" t="s">
        <v>62</v>
      </c>
      <c r="D2340">
        <v>260</v>
      </c>
      <c r="E2340">
        <v>81</v>
      </c>
      <c r="F2340">
        <v>34</v>
      </c>
      <c r="G2340">
        <v>2</v>
      </c>
      <c r="H2340">
        <v>378</v>
      </c>
      <c r="I2340" s="1">
        <v>45536</v>
      </c>
      <c r="J2340">
        <v>36</v>
      </c>
      <c r="K2340" t="s">
        <v>26</v>
      </c>
    </row>
    <row r="2341" spans="1:11">
      <c r="A2341" s="1">
        <v>45561</v>
      </c>
      <c r="B2341" t="s">
        <v>21</v>
      </c>
      <c r="C2341" t="s">
        <v>57</v>
      </c>
      <c r="D2341">
        <v>36</v>
      </c>
      <c r="E2341">
        <v>2</v>
      </c>
      <c r="F2341">
        <v>4</v>
      </c>
      <c r="G2341">
        <v>2</v>
      </c>
      <c r="H2341">
        <v>43</v>
      </c>
      <c r="I2341" s="1">
        <v>45536</v>
      </c>
      <c r="J2341">
        <v>6</v>
      </c>
      <c r="K2341" t="s">
        <v>26</v>
      </c>
    </row>
    <row r="2342" spans="1:11">
      <c r="A2342" s="1">
        <v>45561</v>
      </c>
      <c r="B2342" t="s">
        <v>21</v>
      </c>
      <c r="C2342" t="s">
        <v>63</v>
      </c>
      <c r="D2342">
        <v>63</v>
      </c>
      <c r="E2342">
        <v>22</v>
      </c>
      <c r="F2342">
        <v>9</v>
      </c>
      <c r="G2342">
        <v>2</v>
      </c>
      <c r="H2342">
        <v>95</v>
      </c>
      <c r="I2342" s="1">
        <v>45536</v>
      </c>
      <c r="J2342">
        <v>11</v>
      </c>
      <c r="K2342" t="s">
        <v>26</v>
      </c>
    </row>
    <row r="2343" spans="1:11">
      <c r="A2343" s="1">
        <v>45596</v>
      </c>
      <c r="B2343" t="s">
        <v>40</v>
      </c>
      <c r="C2343" t="s">
        <v>51</v>
      </c>
      <c r="D2343">
        <v>514</v>
      </c>
      <c r="E2343">
        <v>112</v>
      </c>
      <c r="F2343">
        <v>49</v>
      </c>
      <c r="G2343">
        <v>2</v>
      </c>
      <c r="H2343">
        <v>677</v>
      </c>
      <c r="I2343" s="1">
        <v>45566</v>
      </c>
      <c r="J2343">
        <v>51</v>
      </c>
      <c r="K2343" t="s">
        <v>26</v>
      </c>
    </row>
    <row r="2344" spans="1:11">
      <c r="A2344" s="1">
        <v>45596</v>
      </c>
      <c r="B2344" t="s">
        <v>40</v>
      </c>
      <c r="C2344" t="s">
        <v>52</v>
      </c>
      <c r="D2344">
        <v>569</v>
      </c>
      <c r="E2344">
        <v>202</v>
      </c>
      <c r="F2344">
        <v>45</v>
      </c>
      <c r="G2344">
        <v>2</v>
      </c>
      <c r="H2344">
        <v>818</v>
      </c>
      <c r="I2344" s="1">
        <v>45566</v>
      </c>
      <c r="J2344">
        <v>47</v>
      </c>
      <c r="K2344" t="s">
        <v>26</v>
      </c>
    </row>
    <row r="2345" spans="1:11">
      <c r="A2345" s="1">
        <v>45596</v>
      </c>
      <c r="B2345" t="s">
        <v>40</v>
      </c>
      <c r="C2345" t="s">
        <v>46</v>
      </c>
      <c r="D2345">
        <v>414</v>
      </c>
      <c r="E2345">
        <v>120</v>
      </c>
      <c r="F2345">
        <v>65</v>
      </c>
      <c r="G2345">
        <v>2</v>
      </c>
      <c r="H2345">
        <v>601</v>
      </c>
      <c r="I2345" s="1">
        <v>45566</v>
      </c>
      <c r="J2345">
        <v>67</v>
      </c>
      <c r="K2345" t="s">
        <v>26</v>
      </c>
    </row>
    <row r="2346" spans="1:11">
      <c r="A2346" s="1">
        <v>45596</v>
      </c>
      <c r="B2346" t="s">
        <v>40</v>
      </c>
      <c r="C2346" t="s">
        <v>62</v>
      </c>
      <c r="D2346">
        <v>222</v>
      </c>
      <c r="E2346">
        <v>57</v>
      </c>
      <c r="F2346">
        <v>34</v>
      </c>
      <c r="G2346">
        <v>2</v>
      </c>
      <c r="H2346">
        <v>314</v>
      </c>
      <c r="I2346" s="1">
        <v>45566</v>
      </c>
      <c r="J2346">
        <v>36</v>
      </c>
      <c r="K2346" t="s">
        <v>26</v>
      </c>
    </row>
    <row r="2347" spans="1:11">
      <c r="A2347" s="1">
        <v>45596</v>
      </c>
      <c r="B2347" t="s">
        <v>21</v>
      </c>
      <c r="C2347" t="s">
        <v>57</v>
      </c>
      <c r="D2347">
        <v>41</v>
      </c>
      <c r="E2347">
        <v>2</v>
      </c>
      <c r="F2347">
        <v>3</v>
      </c>
      <c r="G2347">
        <v>2</v>
      </c>
      <c r="H2347">
        <v>48</v>
      </c>
      <c r="I2347" s="1">
        <v>45566</v>
      </c>
      <c r="J2347">
        <v>5</v>
      </c>
      <c r="K2347" t="s">
        <v>26</v>
      </c>
    </row>
    <row r="2348" spans="1:11">
      <c r="A2348" s="1">
        <v>45596</v>
      </c>
      <c r="B2348" t="s">
        <v>21</v>
      </c>
      <c r="C2348" t="s">
        <v>35</v>
      </c>
      <c r="D2348">
        <v>3</v>
      </c>
      <c r="E2348">
        <v>3</v>
      </c>
      <c r="F2348">
        <v>0</v>
      </c>
      <c r="G2348">
        <v>2</v>
      </c>
      <c r="H2348">
        <v>8</v>
      </c>
      <c r="I2348" s="1">
        <v>45566</v>
      </c>
      <c r="J2348">
        <v>2</v>
      </c>
      <c r="K2348" t="s">
        <v>26</v>
      </c>
    </row>
    <row r="2349" spans="1:11">
      <c r="A2349" s="1">
        <v>45596</v>
      </c>
      <c r="B2349" t="s">
        <v>21</v>
      </c>
      <c r="C2349" t="s">
        <v>52</v>
      </c>
      <c r="D2349">
        <v>44</v>
      </c>
      <c r="E2349">
        <v>40</v>
      </c>
      <c r="F2349">
        <v>7</v>
      </c>
      <c r="G2349">
        <v>2</v>
      </c>
      <c r="H2349">
        <v>94</v>
      </c>
      <c r="I2349" s="1">
        <v>45566</v>
      </c>
      <c r="J2349">
        <v>9</v>
      </c>
      <c r="K2349" t="s">
        <v>26</v>
      </c>
    </row>
    <row r="2350" spans="1:11">
      <c r="A2350" s="1">
        <v>45596</v>
      </c>
      <c r="B2350" t="s">
        <v>21</v>
      </c>
      <c r="C2350" t="s">
        <v>63</v>
      </c>
      <c r="D2350">
        <v>62</v>
      </c>
      <c r="E2350">
        <v>24</v>
      </c>
      <c r="F2350">
        <v>8</v>
      </c>
      <c r="G2350">
        <v>2</v>
      </c>
      <c r="H2350">
        <v>96</v>
      </c>
      <c r="I2350" s="1">
        <v>45566</v>
      </c>
      <c r="J2350">
        <v>10</v>
      </c>
      <c r="K2350" t="s">
        <v>26</v>
      </c>
    </row>
    <row r="2351" spans="1:11">
      <c r="A2351" s="1">
        <v>45624</v>
      </c>
      <c r="B2351" t="s">
        <v>40</v>
      </c>
      <c r="C2351" t="s">
        <v>41</v>
      </c>
      <c r="D2351">
        <v>308</v>
      </c>
      <c r="E2351">
        <v>7</v>
      </c>
      <c r="F2351">
        <v>10</v>
      </c>
      <c r="G2351">
        <v>2</v>
      </c>
      <c r="H2351">
        <v>327</v>
      </c>
      <c r="I2351" s="1">
        <v>45597</v>
      </c>
      <c r="J2351">
        <v>12</v>
      </c>
      <c r="K2351" t="s">
        <v>26</v>
      </c>
    </row>
    <row r="2352" spans="1:11">
      <c r="A2352" s="1">
        <v>45624</v>
      </c>
      <c r="B2352" t="s">
        <v>40</v>
      </c>
      <c r="C2352" t="s">
        <v>56</v>
      </c>
      <c r="D2352">
        <v>641</v>
      </c>
      <c r="E2352">
        <v>121</v>
      </c>
      <c r="F2352">
        <v>0</v>
      </c>
      <c r="G2352">
        <v>2</v>
      </c>
      <c r="H2352">
        <v>764</v>
      </c>
      <c r="I2352" s="1">
        <v>45597</v>
      </c>
      <c r="J2352">
        <v>2</v>
      </c>
      <c r="K2352" t="s">
        <v>26</v>
      </c>
    </row>
    <row r="2353" spans="1:11">
      <c r="A2353" s="1">
        <v>45624</v>
      </c>
      <c r="B2353" t="s">
        <v>40</v>
      </c>
      <c r="C2353" t="s">
        <v>51</v>
      </c>
      <c r="D2353">
        <v>499</v>
      </c>
      <c r="E2353">
        <v>107</v>
      </c>
      <c r="F2353">
        <v>57</v>
      </c>
      <c r="G2353">
        <v>2</v>
      </c>
      <c r="H2353">
        <v>665</v>
      </c>
      <c r="I2353" s="1">
        <v>45597</v>
      </c>
      <c r="J2353">
        <v>59</v>
      </c>
      <c r="K2353" t="s">
        <v>26</v>
      </c>
    </row>
    <row r="2354" spans="1:11">
      <c r="A2354" s="1">
        <v>45624</v>
      </c>
      <c r="B2354" t="s">
        <v>40</v>
      </c>
      <c r="C2354" t="s">
        <v>52</v>
      </c>
      <c r="D2354">
        <v>547</v>
      </c>
      <c r="E2354">
        <v>229</v>
      </c>
      <c r="F2354">
        <v>49</v>
      </c>
      <c r="G2354">
        <v>2</v>
      </c>
      <c r="H2354">
        <v>827</v>
      </c>
      <c r="I2354" s="1">
        <v>45597</v>
      </c>
      <c r="J2354">
        <v>51</v>
      </c>
      <c r="K2354" t="s">
        <v>26</v>
      </c>
    </row>
    <row r="2355" spans="1:11">
      <c r="A2355" s="1">
        <v>45624</v>
      </c>
      <c r="B2355" t="s">
        <v>40</v>
      </c>
      <c r="C2355" t="s">
        <v>22</v>
      </c>
      <c r="D2355">
        <v>743</v>
      </c>
      <c r="E2355">
        <v>43</v>
      </c>
      <c r="F2355">
        <v>2</v>
      </c>
      <c r="G2355">
        <v>2</v>
      </c>
      <c r="H2355">
        <v>789</v>
      </c>
      <c r="I2355" s="1">
        <v>45597</v>
      </c>
      <c r="J2355">
        <v>4</v>
      </c>
      <c r="K2355" t="s">
        <v>26</v>
      </c>
    </row>
    <row r="2356" spans="1:11">
      <c r="A2356" s="1">
        <v>45624</v>
      </c>
      <c r="B2356" t="s">
        <v>40</v>
      </c>
      <c r="C2356" t="s">
        <v>46</v>
      </c>
      <c r="D2356">
        <v>500</v>
      </c>
      <c r="E2356">
        <v>127</v>
      </c>
      <c r="F2356">
        <v>68</v>
      </c>
      <c r="G2356">
        <v>2</v>
      </c>
      <c r="H2356">
        <v>697</v>
      </c>
      <c r="I2356" s="1">
        <v>45597</v>
      </c>
      <c r="J2356">
        <v>70</v>
      </c>
      <c r="K2356" t="s">
        <v>26</v>
      </c>
    </row>
    <row r="2357" spans="1:11">
      <c r="A2357" s="1">
        <v>45624</v>
      </c>
      <c r="B2357" t="s">
        <v>40</v>
      </c>
      <c r="C2357" t="s">
        <v>62</v>
      </c>
      <c r="D2357">
        <v>223</v>
      </c>
      <c r="E2357">
        <v>54</v>
      </c>
      <c r="F2357">
        <v>36</v>
      </c>
      <c r="G2357">
        <v>2</v>
      </c>
      <c r="H2357">
        <v>315</v>
      </c>
      <c r="I2357" s="1">
        <v>45597</v>
      </c>
      <c r="J2357">
        <v>38</v>
      </c>
      <c r="K2357" t="s">
        <v>26</v>
      </c>
    </row>
    <row r="2358" spans="1:11">
      <c r="A2358" s="1">
        <v>45624</v>
      </c>
      <c r="B2358" t="s">
        <v>21</v>
      </c>
      <c r="C2358" t="s">
        <v>63</v>
      </c>
      <c r="D2358">
        <v>57</v>
      </c>
      <c r="E2358">
        <v>24</v>
      </c>
      <c r="F2358">
        <v>11</v>
      </c>
      <c r="G2358">
        <v>2</v>
      </c>
      <c r="H2358">
        <v>93</v>
      </c>
      <c r="I2358" s="1">
        <v>45597</v>
      </c>
      <c r="J2358">
        <v>13</v>
      </c>
      <c r="K2358" t="s">
        <v>26</v>
      </c>
    </row>
    <row r="2359" spans="1:11">
      <c r="A2359" s="1">
        <v>45624</v>
      </c>
      <c r="B2359" t="s">
        <v>21</v>
      </c>
      <c r="C2359" t="s">
        <v>60</v>
      </c>
      <c r="D2359">
        <v>110</v>
      </c>
      <c r="E2359">
        <v>14</v>
      </c>
      <c r="F2359">
        <v>2</v>
      </c>
      <c r="G2359">
        <v>2</v>
      </c>
      <c r="H2359">
        <v>129</v>
      </c>
      <c r="I2359" s="1">
        <v>45597</v>
      </c>
      <c r="J2359">
        <v>4</v>
      </c>
      <c r="K2359" t="s">
        <v>26</v>
      </c>
    </row>
    <row r="2360" spans="1:11">
      <c r="A2360" s="1">
        <v>45645</v>
      </c>
      <c r="B2360" t="s">
        <v>40</v>
      </c>
      <c r="C2360" t="s">
        <v>41</v>
      </c>
      <c r="D2360">
        <v>370</v>
      </c>
      <c r="E2360">
        <v>5</v>
      </c>
      <c r="F2360">
        <v>12</v>
      </c>
      <c r="G2360">
        <v>2</v>
      </c>
      <c r="H2360">
        <v>389</v>
      </c>
      <c r="I2360" s="1">
        <v>45627</v>
      </c>
      <c r="J2360">
        <v>14</v>
      </c>
      <c r="K2360" t="s">
        <v>26</v>
      </c>
    </row>
    <row r="2361" spans="1:11">
      <c r="A2361" s="1">
        <v>45645</v>
      </c>
      <c r="B2361" t="s">
        <v>40</v>
      </c>
      <c r="C2361" t="s">
        <v>33</v>
      </c>
      <c r="D2361">
        <v>114</v>
      </c>
      <c r="E2361">
        <v>17</v>
      </c>
      <c r="F2361">
        <v>8</v>
      </c>
      <c r="G2361">
        <v>2</v>
      </c>
      <c r="H2361">
        <v>141</v>
      </c>
      <c r="I2361" s="1">
        <v>45627</v>
      </c>
      <c r="J2361">
        <v>10</v>
      </c>
      <c r="K2361" t="s">
        <v>26</v>
      </c>
    </row>
    <row r="2362" spans="1:11">
      <c r="A2362" s="1">
        <v>45645</v>
      </c>
      <c r="B2362" t="s">
        <v>40</v>
      </c>
      <c r="C2362" t="s">
        <v>56</v>
      </c>
      <c r="D2362">
        <v>617</v>
      </c>
      <c r="E2362">
        <v>127</v>
      </c>
      <c r="F2362">
        <v>4</v>
      </c>
      <c r="G2362">
        <v>2</v>
      </c>
      <c r="H2362">
        <v>750</v>
      </c>
      <c r="I2362" s="1">
        <v>45627</v>
      </c>
      <c r="J2362">
        <v>6</v>
      </c>
      <c r="K2362" t="s">
        <v>26</v>
      </c>
    </row>
    <row r="2363" spans="1:11">
      <c r="A2363" s="1">
        <v>45645</v>
      </c>
      <c r="B2363" t="s">
        <v>40</v>
      </c>
      <c r="C2363" t="s">
        <v>47</v>
      </c>
      <c r="D2363">
        <v>735</v>
      </c>
      <c r="E2363">
        <v>66</v>
      </c>
      <c r="F2363">
        <v>22</v>
      </c>
      <c r="G2363">
        <v>2</v>
      </c>
      <c r="H2363">
        <v>824</v>
      </c>
      <c r="I2363" s="1">
        <v>45627</v>
      </c>
      <c r="J2363">
        <v>24</v>
      </c>
      <c r="K2363" t="s">
        <v>26</v>
      </c>
    </row>
    <row r="2364" spans="1:11">
      <c r="A2364" s="1">
        <v>45645</v>
      </c>
      <c r="B2364" t="s">
        <v>40</v>
      </c>
      <c r="C2364" t="s">
        <v>54</v>
      </c>
      <c r="D2364">
        <v>1797</v>
      </c>
      <c r="E2364">
        <v>324</v>
      </c>
      <c r="F2364">
        <v>30</v>
      </c>
      <c r="G2364">
        <v>2</v>
      </c>
      <c r="H2364">
        <v>2153</v>
      </c>
      <c r="I2364" s="1">
        <v>45627</v>
      </c>
      <c r="J2364">
        <v>32</v>
      </c>
      <c r="K2364" t="s">
        <v>26</v>
      </c>
    </row>
    <row r="2365" spans="1:11">
      <c r="A2365" s="1">
        <v>45645</v>
      </c>
      <c r="B2365" t="s">
        <v>40</v>
      </c>
      <c r="C2365" t="s">
        <v>46</v>
      </c>
      <c r="D2365">
        <v>518</v>
      </c>
      <c r="E2365">
        <v>125</v>
      </c>
      <c r="F2365">
        <v>66</v>
      </c>
      <c r="G2365">
        <v>2</v>
      </c>
      <c r="H2365">
        <v>711</v>
      </c>
      <c r="I2365" s="1">
        <v>45627</v>
      </c>
      <c r="J2365">
        <v>68</v>
      </c>
      <c r="K2365" t="s">
        <v>26</v>
      </c>
    </row>
    <row r="2366" spans="1:11">
      <c r="A2366" s="1">
        <v>45645</v>
      </c>
      <c r="B2366" t="s">
        <v>40</v>
      </c>
      <c r="C2366" t="s">
        <v>62</v>
      </c>
      <c r="D2366">
        <v>222</v>
      </c>
      <c r="E2366">
        <v>39</v>
      </c>
      <c r="F2366">
        <v>39</v>
      </c>
      <c r="G2366">
        <v>2</v>
      </c>
      <c r="H2366">
        <v>303</v>
      </c>
      <c r="I2366" s="1">
        <v>45627</v>
      </c>
      <c r="J2366">
        <v>41</v>
      </c>
      <c r="K2366" t="s">
        <v>26</v>
      </c>
    </row>
    <row r="2367" spans="1:11">
      <c r="A2367" s="1">
        <v>45645</v>
      </c>
      <c r="B2367" t="s">
        <v>21</v>
      </c>
      <c r="C2367" t="s">
        <v>60</v>
      </c>
      <c r="D2367">
        <v>148</v>
      </c>
      <c r="E2367">
        <v>10</v>
      </c>
      <c r="F2367">
        <v>5</v>
      </c>
      <c r="G2367">
        <v>2</v>
      </c>
      <c r="H2367">
        <v>164</v>
      </c>
      <c r="I2367" s="1">
        <v>45627</v>
      </c>
      <c r="J2367">
        <v>7</v>
      </c>
      <c r="K2367" t="s">
        <v>26</v>
      </c>
    </row>
    <row r="2368" spans="1:11">
      <c r="A2368" s="1">
        <v>45645</v>
      </c>
      <c r="B2368" t="s">
        <v>21</v>
      </c>
      <c r="C2368" t="s">
        <v>59</v>
      </c>
      <c r="D2368">
        <v>205</v>
      </c>
      <c r="E2368">
        <v>59</v>
      </c>
      <c r="F2368">
        <v>66</v>
      </c>
      <c r="G2368">
        <v>2</v>
      </c>
      <c r="H2368">
        <v>331</v>
      </c>
      <c r="I2368" s="1">
        <v>45627</v>
      </c>
      <c r="J2368">
        <v>68</v>
      </c>
      <c r="K2368" t="s">
        <v>26</v>
      </c>
    </row>
    <row r="2369" spans="1:11">
      <c r="A2369" s="1">
        <v>45687</v>
      </c>
      <c r="B2369" t="s">
        <v>40</v>
      </c>
      <c r="C2369" t="s">
        <v>41</v>
      </c>
      <c r="D2369">
        <v>368</v>
      </c>
      <c r="E2369">
        <v>19</v>
      </c>
      <c r="F2369">
        <v>11</v>
      </c>
      <c r="G2369">
        <v>2</v>
      </c>
      <c r="H2369">
        <v>401</v>
      </c>
      <c r="I2369" s="1">
        <v>45658</v>
      </c>
      <c r="J2369">
        <v>13</v>
      </c>
      <c r="K2369" t="s">
        <v>26</v>
      </c>
    </row>
    <row r="2370" spans="1:11">
      <c r="A2370" s="1">
        <v>45687</v>
      </c>
      <c r="B2370" t="s">
        <v>40</v>
      </c>
      <c r="C2370" t="s">
        <v>33</v>
      </c>
      <c r="D2370">
        <v>133</v>
      </c>
      <c r="E2370">
        <v>29</v>
      </c>
      <c r="F2370">
        <v>5</v>
      </c>
      <c r="G2370">
        <v>2</v>
      </c>
      <c r="H2370">
        <v>170</v>
      </c>
      <c r="I2370" s="1">
        <v>45658</v>
      </c>
      <c r="J2370">
        <v>7</v>
      </c>
      <c r="K2370" t="s">
        <v>26</v>
      </c>
    </row>
    <row r="2371" spans="1:11">
      <c r="A2371" s="1">
        <v>45687</v>
      </c>
      <c r="B2371" t="s">
        <v>40</v>
      </c>
      <c r="C2371" t="s">
        <v>51</v>
      </c>
      <c r="D2371">
        <v>589</v>
      </c>
      <c r="E2371">
        <v>109</v>
      </c>
      <c r="F2371">
        <v>58</v>
      </c>
      <c r="G2371">
        <v>2</v>
      </c>
      <c r="H2371">
        <v>757</v>
      </c>
      <c r="I2371" s="1">
        <v>45658</v>
      </c>
      <c r="J2371">
        <v>60</v>
      </c>
      <c r="K2371" t="s">
        <v>26</v>
      </c>
    </row>
    <row r="2372" spans="1:11">
      <c r="A2372" s="1">
        <v>45687</v>
      </c>
      <c r="B2372" t="s">
        <v>40</v>
      </c>
      <c r="C2372" t="s">
        <v>54</v>
      </c>
      <c r="D2372">
        <v>1637</v>
      </c>
      <c r="E2372">
        <v>366</v>
      </c>
      <c r="F2372">
        <v>23</v>
      </c>
      <c r="G2372">
        <v>2</v>
      </c>
      <c r="H2372">
        <v>2029</v>
      </c>
      <c r="I2372" s="1">
        <v>45658</v>
      </c>
      <c r="J2372">
        <v>25</v>
      </c>
      <c r="K2372" t="s">
        <v>26</v>
      </c>
    </row>
    <row r="2373" spans="1:11">
      <c r="A2373" s="1">
        <v>45687</v>
      </c>
      <c r="B2373" t="s">
        <v>40</v>
      </c>
      <c r="C2373" t="s">
        <v>52</v>
      </c>
      <c r="D2373">
        <v>640</v>
      </c>
      <c r="E2373">
        <v>246</v>
      </c>
      <c r="F2373">
        <v>90</v>
      </c>
      <c r="G2373">
        <v>2</v>
      </c>
      <c r="H2373">
        <v>978</v>
      </c>
      <c r="I2373" s="1">
        <v>45658</v>
      </c>
      <c r="J2373">
        <v>92</v>
      </c>
      <c r="K2373" t="s">
        <v>26</v>
      </c>
    </row>
    <row r="2374" spans="1:11">
      <c r="A2374" s="1">
        <v>45687</v>
      </c>
      <c r="B2374" t="s">
        <v>40</v>
      </c>
      <c r="C2374" t="s">
        <v>22</v>
      </c>
      <c r="D2374">
        <v>885</v>
      </c>
      <c r="E2374">
        <v>102</v>
      </c>
      <c r="F2374">
        <v>2</v>
      </c>
      <c r="G2374">
        <v>2</v>
      </c>
      <c r="H2374">
        <v>991</v>
      </c>
      <c r="I2374" s="1">
        <v>45658</v>
      </c>
      <c r="J2374">
        <v>4</v>
      </c>
      <c r="K2374" t="s">
        <v>26</v>
      </c>
    </row>
    <row r="2375" spans="1:11">
      <c r="A2375" s="1">
        <v>45687</v>
      </c>
      <c r="B2375" t="s">
        <v>40</v>
      </c>
      <c r="C2375" t="s">
        <v>62</v>
      </c>
      <c r="D2375">
        <v>266</v>
      </c>
      <c r="E2375">
        <v>49</v>
      </c>
      <c r="F2375">
        <v>41</v>
      </c>
      <c r="G2375">
        <v>2</v>
      </c>
      <c r="H2375">
        <v>358</v>
      </c>
      <c r="I2375" s="1">
        <v>45658</v>
      </c>
      <c r="J2375">
        <v>43</v>
      </c>
      <c r="K2375" t="s">
        <v>26</v>
      </c>
    </row>
    <row r="2376" spans="1:11">
      <c r="A2376" s="1">
        <v>45687</v>
      </c>
      <c r="B2376" t="s">
        <v>21</v>
      </c>
      <c r="C2376" t="s">
        <v>57</v>
      </c>
      <c r="D2376">
        <v>33</v>
      </c>
      <c r="E2376">
        <v>16</v>
      </c>
      <c r="F2376">
        <v>0</v>
      </c>
      <c r="G2376">
        <v>2</v>
      </c>
      <c r="H2376">
        <v>51</v>
      </c>
      <c r="I2376" s="1">
        <v>45658</v>
      </c>
      <c r="J2376">
        <v>2</v>
      </c>
      <c r="K2376" t="s">
        <v>26</v>
      </c>
    </row>
    <row r="2377" spans="1:11">
      <c r="A2377" s="1">
        <v>45687</v>
      </c>
      <c r="B2377" t="s">
        <v>21</v>
      </c>
      <c r="C2377" t="s">
        <v>52</v>
      </c>
      <c r="D2377">
        <v>33</v>
      </c>
      <c r="E2377">
        <v>23</v>
      </c>
      <c r="F2377">
        <v>32</v>
      </c>
      <c r="G2377">
        <v>2</v>
      </c>
      <c r="H2377">
        <v>91</v>
      </c>
      <c r="I2377" s="1">
        <v>45658</v>
      </c>
      <c r="J2377">
        <v>34</v>
      </c>
      <c r="K2377" t="s">
        <v>26</v>
      </c>
    </row>
    <row r="2378" spans="1:11">
      <c r="A2378" s="1">
        <v>45687</v>
      </c>
      <c r="B2378" t="s">
        <v>21</v>
      </c>
      <c r="C2378" t="s">
        <v>60</v>
      </c>
      <c r="D2378">
        <v>126</v>
      </c>
      <c r="E2378">
        <v>12</v>
      </c>
      <c r="F2378">
        <v>8</v>
      </c>
      <c r="G2378">
        <v>2</v>
      </c>
      <c r="H2378">
        <v>147</v>
      </c>
      <c r="I2378" s="1">
        <v>45658</v>
      </c>
      <c r="J2378">
        <v>10</v>
      </c>
      <c r="K2378" t="s">
        <v>26</v>
      </c>
    </row>
    <row r="2379" spans="1:11">
      <c r="A2379" s="1">
        <v>45715</v>
      </c>
      <c r="B2379" t="s">
        <v>40</v>
      </c>
      <c r="C2379" t="s">
        <v>41</v>
      </c>
      <c r="D2379">
        <v>485</v>
      </c>
      <c r="E2379">
        <v>31</v>
      </c>
      <c r="F2379">
        <v>9</v>
      </c>
      <c r="G2379">
        <v>2</v>
      </c>
      <c r="H2379">
        <v>527</v>
      </c>
      <c r="I2379" s="1">
        <v>45689</v>
      </c>
      <c r="J2379">
        <v>11</v>
      </c>
      <c r="K2379" t="s">
        <v>26</v>
      </c>
    </row>
    <row r="2380" spans="1:11">
      <c r="A2380" s="1">
        <v>45715</v>
      </c>
      <c r="B2380" t="s">
        <v>40</v>
      </c>
      <c r="C2380" t="s">
        <v>33</v>
      </c>
      <c r="D2380">
        <v>143</v>
      </c>
      <c r="E2380">
        <v>39</v>
      </c>
      <c r="F2380">
        <v>4</v>
      </c>
      <c r="G2380">
        <v>2</v>
      </c>
      <c r="H2380">
        <v>188</v>
      </c>
      <c r="I2380" s="1">
        <v>45689</v>
      </c>
      <c r="J2380">
        <v>6</v>
      </c>
      <c r="K2380" t="s">
        <v>26</v>
      </c>
    </row>
    <row r="2381" spans="1:11">
      <c r="A2381" s="1">
        <v>45715</v>
      </c>
      <c r="B2381" t="s">
        <v>40</v>
      </c>
      <c r="C2381" t="s">
        <v>43</v>
      </c>
      <c r="D2381">
        <v>1293</v>
      </c>
      <c r="E2381">
        <v>425</v>
      </c>
      <c r="F2381">
        <v>31</v>
      </c>
      <c r="G2381">
        <v>2</v>
      </c>
      <c r="H2381">
        <v>1750</v>
      </c>
      <c r="I2381" s="1">
        <v>45689</v>
      </c>
      <c r="J2381">
        <v>33</v>
      </c>
      <c r="K2381" t="s">
        <v>26</v>
      </c>
    </row>
    <row r="2382" spans="1:11">
      <c r="A2382" s="1">
        <v>45715</v>
      </c>
      <c r="B2382" t="s">
        <v>40</v>
      </c>
      <c r="C2382" t="s">
        <v>39</v>
      </c>
      <c r="D2382">
        <v>230</v>
      </c>
      <c r="E2382">
        <v>62</v>
      </c>
      <c r="F2382">
        <v>4</v>
      </c>
      <c r="G2382">
        <v>2</v>
      </c>
      <c r="H2382">
        <v>297</v>
      </c>
      <c r="I2382" s="1">
        <v>45689</v>
      </c>
      <c r="J2382">
        <v>6</v>
      </c>
      <c r="K2382" t="s">
        <v>26</v>
      </c>
    </row>
    <row r="2383" spans="1:11">
      <c r="A2383" s="1">
        <v>45715</v>
      </c>
      <c r="B2383" t="s">
        <v>40</v>
      </c>
      <c r="C2383" t="s">
        <v>52</v>
      </c>
      <c r="D2383">
        <v>682</v>
      </c>
      <c r="E2383">
        <v>250</v>
      </c>
      <c r="F2383">
        <v>104</v>
      </c>
      <c r="G2383">
        <v>2</v>
      </c>
      <c r="H2383">
        <v>1038</v>
      </c>
      <c r="I2383" s="1">
        <v>45689</v>
      </c>
      <c r="J2383">
        <v>106</v>
      </c>
      <c r="K2383" t="s">
        <v>26</v>
      </c>
    </row>
    <row r="2384" spans="1:11">
      <c r="A2384" s="1">
        <v>45715</v>
      </c>
      <c r="B2384" t="s">
        <v>40</v>
      </c>
      <c r="C2384" t="s">
        <v>22</v>
      </c>
      <c r="D2384">
        <v>831</v>
      </c>
      <c r="E2384">
        <v>99</v>
      </c>
      <c r="F2384">
        <v>9</v>
      </c>
      <c r="G2384">
        <v>2</v>
      </c>
      <c r="H2384">
        <v>940</v>
      </c>
      <c r="I2384" s="1">
        <v>45689</v>
      </c>
      <c r="J2384">
        <v>11</v>
      </c>
      <c r="K2384" t="s">
        <v>26</v>
      </c>
    </row>
    <row r="2385" spans="1:11">
      <c r="A2385" s="1">
        <v>45715</v>
      </c>
      <c r="B2385" t="s">
        <v>40</v>
      </c>
      <c r="C2385" t="s">
        <v>24</v>
      </c>
      <c r="D2385">
        <v>581</v>
      </c>
      <c r="E2385">
        <v>126</v>
      </c>
      <c r="F2385">
        <v>6</v>
      </c>
      <c r="G2385">
        <v>2</v>
      </c>
      <c r="H2385">
        <v>716</v>
      </c>
      <c r="I2385" s="1">
        <v>45689</v>
      </c>
      <c r="J2385">
        <v>8</v>
      </c>
      <c r="K2385" t="s">
        <v>26</v>
      </c>
    </row>
    <row r="2386" spans="1:11">
      <c r="A2386" s="1">
        <v>45715</v>
      </c>
      <c r="B2386" t="s">
        <v>21</v>
      </c>
      <c r="C2386" t="s">
        <v>57</v>
      </c>
      <c r="D2386">
        <v>37</v>
      </c>
      <c r="E2386">
        <v>15</v>
      </c>
      <c r="F2386">
        <v>2</v>
      </c>
      <c r="G2386">
        <v>2</v>
      </c>
      <c r="H2386">
        <v>56</v>
      </c>
      <c r="I2386" s="1">
        <v>45689</v>
      </c>
      <c r="J2386">
        <v>4</v>
      </c>
      <c r="K2386" t="s">
        <v>26</v>
      </c>
    </row>
    <row r="2387" spans="1:11">
      <c r="A2387" s="1">
        <v>45715</v>
      </c>
      <c r="B2387" t="s">
        <v>21</v>
      </c>
      <c r="C2387" t="s">
        <v>52</v>
      </c>
      <c r="D2387">
        <v>33</v>
      </c>
      <c r="E2387">
        <v>28</v>
      </c>
      <c r="F2387">
        <v>35</v>
      </c>
      <c r="G2387">
        <v>2</v>
      </c>
      <c r="H2387">
        <v>97</v>
      </c>
      <c r="I2387" s="1">
        <v>45689</v>
      </c>
      <c r="J2387">
        <v>37</v>
      </c>
      <c r="K2387" t="s">
        <v>26</v>
      </c>
    </row>
    <row r="2388" spans="1:11">
      <c r="A2388" s="1">
        <v>45715</v>
      </c>
      <c r="B2388" t="s">
        <v>21</v>
      </c>
      <c r="C2388" t="s">
        <v>60</v>
      </c>
      <c r="D2388">
        <v>128</v>
      </c>
      <c r="E2388">
        <v>25</v>
      </c>
      <c r="F2388">
        <v>7</v>
      </c>
      <c r="G2388">
        <v>2</v>
      </c>
      <c r="H2388">
        <v>162</v>
      </c>
      <c r="I2388" s="1">
        <v>45689</v>
      </c>
      <c r="J2388">
        <v>9</v>
      </c>
      <c r="K2388" t="s">
        <v>26</v>
      </c>
    </row>
    <row r="2389" spans="1:11">
      <c r="A2389" s="1">
        <v>45743</v>
      </c>
      <c r="B2389" t="s">
        <v>40</v>
      </c>
      <c r="C2389" t="s">
        <v>50</v>
      </c>
      <c r="D2389">
        <v>196</v>
      </c>
      <c r="E2389">
        <v>12</v>
      </c>
      <c r="F2389">
        <v>4</v>
      </c>
      <c r="G2389">
        <v>2</v>
      </c>
      <c r="H2389">
        <v>215</v>
      </c>
      <c r="I2389" s="1">
        <v>45717</v>
      </c>
      <c r="J2389">
        <v>6</v>
      </c>
      <c r="K2389" t="s">
        <v>26</v>
      </c>
    </row>
    <row r="2390" spans="1:11">
      <c r="A2390" s="1">
        <v>45743</v>
      </c>
      <c r="B2390" t="s">
        <v>40</v>
      </c>
      <c r="C2390" t="s">
        <v>56</v>
      </c>
      <c r="D2390">
        <v>588</v>
      </c>
      <c r="E2390">
        <v>156</v>
      </c>
      <c r="F2390">
        <v>2</v>
      </c>
      <c r="G2390">
        <v>2</v>
      </c>
      <c r="H2390">
        <v>747</v>
      </c>
      <c r="I2390" s="1">
        <v>45717</v>
      </c>
      <c r="J2390">
        <v>4</v>
      </c>
      <c r="K2390" t="s">
        <v>26</v>
      </c>
    </row>
    <row r="2391" spans="1:11">
      <c r="A2391" s="1">
        <v>45743</v>
      </c>
      <c r="B2391" t="s">
        <v>40</v>
      </c>
      <c r="C2391" t="s">
        <v>51</v>
      </c>
      <c r="D2391">
        <v>552</v>
      </c>
      <c r="E2391">
        <v>85</v>
      </c>
      <c r="F2391">
        <v>34</v>
      </c>
      <c r="G2391">
        <v>2</v>
      </c>
      <c r="H2391">
        <v>673</v>
      </c>
      <c r="I2391" s="1">
        <v>45717</v>
      </c>
      <c r="J2391">
        <v>36</v>
      </c>
      <c r="K2391" t="s">
        <v>26</v>
      </c>
    </row>
    <row r="2392" spans="1:11">
      <c r="A2392" s="1">
        <v>45743</v>
      </c>
      <c r="B2392" t="s">
        <v>40</v>
      </c>
      <c r="C2392" t="s">
        <v>43</v>
      </c>
      <c r="D2392">
        <v>1250</v>
      </c>
      <c r="E2392">
        <v>481</v>
      </c>
      <c r="F2392">
        <v>47</v>
      </c>
      <c r="G2392">
        <v>2</v>
      </c>
      <c r="H2392">
        <v>1780</v>
      </c>
      <c r="I2392" s="1">
        <v>45717</v>
      </c>
      <c r="J2392">
        <v>49</v>
      </c>
      <c r="K2392" t="s">
        <v>26</v>
      </c>
    </row>
    <row r="2393" spans="1:11">
      <c r="A2393" s="1">
        <v>45743</v>
      </c>
      <c r="B2393" t="s">
        <v>40</v>
      </c>
      <c r="C2393" t="s">
        <v>39</v>
      </c>
      <c r="D2393">
        <v>217</v>
      </c>
      <c r="E2393">
        <v>74</v>
      </c>
      <c r="F2393">
        <v>7</v>
      </c>
      <c r="G2393">
        <v>2</v>
      </c>
      <c r="H2393">
        <v>300</v>
      </c>
      <c r="I2393" s="1">
        <v>45717</v>
      </c>
      <c r="J2393">
        <v>9</v>
      </c>
      <c r="K2393" t="s">
        <v>26</v>
      </c>
    </row>
    <row r="2394" spans="1:11">
      <c r="A2394" s="1">
        <v>45743</v>
      </c>
      <c r="B2394" t="s">
        <v>40</v>
      </c>
      <c r="C2394" t="s">
        <v>22</v>
      </c>
      <c r="D2394">
        <v>891</v>
      </c>
      <c r="E2394">
        <v>106</v>
      </c>
      <c r="F2394">
        <v>0</v>
      </c>
      <c r="G2394">
        <v>2</v>
      </c>
      <c r="H2394">
        <v>999</v>
      </c>
      <c r="I2394" s="1">
        <v>45717</v>
      </c>
      <c r="J2394">
        <v>2</v>
      </c>
      <c r="K2394" t="s">
        <v>26</v>
      </c>
    </row>
    <row r="2395" spans="1:11">
      <c r="A2395" s="1">
        <v>45771</v>
      </c>
      <c r="B2395" t="s">
        <v>40</v>
      </c>
      <c r="C2395" t="s">
        <v>50</v>
      </c>
      <c r="D2395">
        <v>145</v>
      </c>
      <c r="E2395">
        <v>19</v>
      </c>
      <c r="F2395">
        <v>0</v>
      </c>
      <c r="G2395">
        <v>2</v>
      </c>
      <c r="H2395">
        <v>165</v>
      </c>
      <c r="I2395" s="1">
        <v>45748</v>
      </c>
      <c r="J2395">
        <v>2</v>
      </c>
      <c r="K2395" t="s">
        <v>26</v>
      </c>
    </row>
    <row r="2396" spans="1:11">
      <c r="A2396" s="1">
        <v>45771</v>
      </c>
      <c r="B2396" t="s">
        <v>40</v>
      </c>
      <c r="C2396" t="s">
        <v>41</v>
      </c>
      <c r="D2396">
        <v>351</v>
      </c>
      <c r="E2396">
        <v>22</v>
      </c>
      <c r="F2396">
        <v>2</v>
      </c>
      <c r="G2396">
        <v>2</v>
      </c>
      <c r="H2396">
        <v>377</v>
      </c>
      <c r="I2396" s="1">
        <v>45748</v>
      </c>
      <c r="J2396">
        <v>4</v>
      </c>
      <c r="K2396" t="s">
        <v>26</v>
      </c>
    </row>
    <row r="2397" spans="1:11">
      <c r="A2397" s="1">
        <v>45771</v>
      </c>
      <c r="B2397" t="s">
        <v>40</v>
      </c>
      <c r="C2397" t="s">
        <v>55</v>
      </c>
      <c r="D2397">
        <v>1229</v>
      </c>
      <c r="E2397">
        <v>204</v>
      </c>
      <c r="F2397">
        <v>7</v>
      </c>
      <c r="G2397">
        <v>2</v>
      </c>
      <c r="H2397">
        <v>1442</v>
      </c>
      <c r="I2397" s="1">
        <v>45748</v>
      </c>
      <c r="J2397">
        <v>9</v>
      </c>
      <c r="K2397" t="s">
        <v>26</v>
      </c>
    </row>
    <row r="2398" spans="1:11">
      <c r="A2398" s="1">
        <v>45771</v>
      </c>
      <c r="B2398" t="s">
        <v>40</v>
      </c>
      <c r="C2398" t="s">
        <v>43</v>
      </c>
      <c r="D2398">
        <v>1169</v>
      </c>
      <c r="E2398">
        <v>545</v>
      </c>
      <c r="F2398">
        <v>72</v>
      </c>
      <c r="G2398">
        <v>2</v>
      </c>
      <c r="H2398">
        <v>1788</v>
      </c>
      <c r="I2398" s="1">
        <v>45748</v>
      </c>
      <c r="J2398">
        <v>74</v>
      </c>
      <c r="K2398" t="s">
        <v>26</v>
      </c>
    </row>
    <row r="2399" spans="1:11">
      <c r="A2399" s="1">
        <v>45771</v>
      </c>
      <c r="B2399" t="s">
        <v>40</v>
      </c>
      <c r="C2399" t="s">
        <v>39</v>
      </c>
      <c r="D2399">
        <v>252</v>
      </c>
      <c r="E2399">
        <v>93</v>
      </c>
      <c r="F2399">
        <v>10</v>
      </c>
      <c r="G2399">
        <v>2</v>
      </c>
      <c r="H2399">
        <v>357</v>
      </c>
      <c r="I2399" s="1">
        <v>45748</v>
      </c>
      <c r="J2399">
        <v>12</v>
      </c>
      <c r="K2399" t="s">
        <v>26</v>
      </c>
    </row>
    <row r="2400" spans="1:11">
      <c r="A2400" s="1">
        <v>45771</v>
      </c>
      <c r="B2400" t="s">
        <v>40</v>
      </c>
      <c r="C2400" t="s">
        <v>35</v>
      </c>
      <c r="D2400">
        <v>845</v>
      </c>
      <c r="E2400">
        <v>451</v>
      </c>
      <c r="F2400">
        <v>67</v>
      </c>
      <c r="G2400">
        <v>2</v>
      </c>
      <c r="H2400">
        <v>1364</v>
      </c>
      <c r="I2400" s="1">
        <v>45748</v>
      </c>
      <c r="J2400">
        <v>69</v>
      </c>
      <c r="K2400" t="s">
        <v>26</v>
      </c>
    </row>
    <row r="2401" spans="1:11">
      <c r="A2401" s="1">
        <v>45771</v>
      </c>
      <c r="B2401" t="s">
        <v>40</v>
      </c>
      <c r="C2401" t="s">
        <v>22</v>
      </c>
      <c r="D2401">
        <v>753</v>
      </c>
      <c r="E2401">
        <v>109</v>
      </c>
      <c r="F2401">
        <v>4</v>
      </c>
      <c r="G2401">
        <v>2</v>
      </c>
      <c r="H2401">
        <v>868</v>
      </c>
      <c r="I2401" s="1">
        <v>45748</v>
      </c>
      <c r="J2401">
        <v>6</v>
      </c>
      <c r="K2401" t="s">
        <v>26</v>
      </c>
    </row>
    <row r="2402" spans="1:11">
      <c r="A2402" s="1">
        <v>45771</v>
      </c>
      <c r="B2402" t="s">
        <v>40</v>
      </c>
      <c r="C2402" t="s">
        <v>24</v>
      </c>
      <c r="D2402">
        <v>747</v>
      </c>
      <c r="E2402">
        <v>146</v>
      </c>
      <c r="F2402">
        <v>19</v>
      </c>
      <c r="G2402">
        <v>2</v>
      </c>
      <c r="H2402">
        <v>914</v>
      </c>
      <c r="I2402" s="1">
        <v>45748</v>
      </c>
      <c r="J2402">
        <v>21</v>
      </c>
      <c r="K2402" t="s">
        <v>26</v>
      </c>
    </row>
    <row r="2403" spans="1:11">
      <c r="A2403" s="1">
        <v>45806</v>
      </c>
      <c r="B2403" t="s">
        <v>40</v>
      </c>
      <c r="C2403" t="s">
        <v>30</v>
      </c>
      <c r="D2403">
        <v>555</v>
      </c>
      <c r="E2403">
        <v>100</v>
      </c>
      <c r="F2403">
        <v>18</v>
      </c>
      <c r="G2403">
        <v>2</v>
      </c>
      <c r="H2403">
        <v>674</v>
      </c>
      <c r="I2403" s="1">
        <v>45778</v>
      </c>
      <c r="J2403">
        <v>20</v>
      </c>
      <c r="K2403" t="s">
        <v>26</v>
      </c>
    </row>
    <row r="2404" spans="1:11">
      <c r="A2404" s="1">
        <v>45806</v>
      </c>
      <c r="B2404" t="s">
        <v>40</v>
      </c>
      <c r="C2404" t="s">
        <v>51</v>
      </c>
      <c r="D2404">
        <v>574</v>
      </c>
      <c r="E2404">
        <v>84</v>
      </c>
      <c r="F2404">
        <v>13</v>
      </c>
      <c r="G2404">
        <v>2</v>
      </c>
      <c r="H2404">
        <v>673</v>
      </c>
      <c r="I2404" s="1">
        <v>45778</v>
      </c>
      <c r="J2404">
        <v>15</v>
      </c>
      <c r="K2404" t="s">
        <v>26</v>
      </c>
    </row>
    <row r="2405" spans="1:11">
      <c r="A2405" s="1">
        <v>45806</v>
      </c>
      <c r="B2405" t="s">
        <v>40</v>
      </c>
      <c r="C2405" t="s">
        <v>43</v>
      </c>
      <c r="D2405">
        <v>1253</v>
      </c>
      <c r="E2405">
        <v>585</v>
      </c>
      <c r="F2405">
        <v>94</v>
      </c>
      <c r="G2405">
        <v>2</v>
      </c>
      <c r="H2405">
        <v>1933</v>
      </c>
      <c r="I2405" s="1">
        <v>45778</v>
      </c>
      <c r="J2405">
        <v>96</v>
      </c>
      <c r="K2405" t="s">
        <v>26</v>
      </c>
    </row>
    <row r="2406" spans="1:11">
      <c r="A2406" s="1">
        <v>45806</v>
      </c>
      <c r="B2406" t="s">
        <v>40</v>
      </c>
      <c r="C2406" t="s">
        <v>35</v>
      </c>
      <c r="D2406">
        <v>770</v>
      </c>
      <c r="E2406">
        <v>463</v>
      </c>
      <c r="F2406">
        <v>147</v>
      </c>
      <c r="G2406">
        <v>2</v>
      </c>
      <c r="H2406">
        <v>1381</v>
      </c>
      <c r="I2406" s="1">
        <v>45778</v>
      </c>
      <c r="J2406">
        <v>149</v>
      </c>
      <c r="K2406" t="s">
        <v>26</v>
      </c>
    </row>
    <row r="2407" spans="1:11">
      <c r="A2407" s="1">
        <v>45806</v>
      </c>
      <c r="B2407" t="s">
        <v>21</v>
      </c>
      <c r="C2407" t="s">
        <v>57</v>
      </c>
      <c r="D2407">
        <v>35</v>
      </c>
      <c r="E2407">
        <v>19</v>
      </c>
      <c r="F2407">
        <v>4</v>
      </c>
      <c r="G2407">
        <v>2</v>
      </c>
      <c r="H2407">
        <v>60</v>
      </c>
      <c r="I2407" s="1">
        <v>45778</v>
      </c>
      <c r="J2407">
        <v>6</v>
      </c>
      <c r="K2407" t="s">
        <v>26</v>
      </c>
    </row>
    <row r="2408" spans="1:11">
      <c r="A2408" s="1">
        <v>45806</v>
      </c>
      <c r="B2408" t="s">
        <v>21</v>
      </c>
      <c r="C2408" t="s">
        <v>54</v>
      </c>
      <c r="D2408">
        <v>50</v>
      </c>
      <c r="E2408">
        <v>7</v>
      </c>
      <c r="F2408">
        <v>7</v>
      </c>
      <c r="G2408">
        <v>2</v>
      </c>
      <c r="H2408">
        <v>65</v>
      </c>
      <c r="I2408" s="1">
        <v>45778</v>
      </c>
      <c r="J2408">
        <v>9</v>
      </c>
      <c r="K2408" t="s">
        <v>26</v>
      </c>
    </row>
    <row r="2409" spans="1:11">
      <c r="A2409" s="1">
        <v>45834</v>
      </c>
      <c r="B2409" t="s">
        <v>40</v>
      </c>
      <c r="C2409" t="s">
        <v>30</v>
      </c>
      <c r="D2409">
        <v>586</v>
      </c>
      <c r="E2409">
        <v>109</v>
      </c>
      <c r="F2409">
        <v>17</v>
      </c>
      <c r="G2409">
        <v>2</v>
      </c>
      <c r="H2409">
        <v>713</v>
      </c>
      <c r="I2409" s="1">
        <v>45809</v>
      </c>
      <c r="J2409">
        <v>19</v>
      </c>
      <c r="K2409" t="s">
        <v>26</v>
      </c>
    </row>
    <row r="2410" spans="1:11">
      <c r="A2410" s="1">
        <v>45834</v>
      </c>
      <c r="B2410" t="s">
        <v>40</v>
      </c>
      <c r="C2410" t="s">
        <v>43</v>
      </c>
      <c r="D2410">
        <v>1157</v>
      </c>
      <c r="E2410">
        <v>502</v>
      </c>
      <c r="F2410">
        <v>94</v>
      </c>
      <c r="G2410">
        <v>2</v>
      </c>
      <c r="H2410">
        <v>1754</v>
      </c>
      <c r="I2410" s="1">
        <v>45809</v>
      </c>
      <c r="J2410">
        <v>96</v>
      </c>
      <c r="K2410" t="s">
        <v>26</v>
      </c>
    </row>
    <row r="2411" spans="1:11">
      <c r="A2411" s="1">
        <v>45834</v>
      </c>
      <c r="B2411" t="s">
        <v>40</v>
      </c>
      <c r="C2411" t="s">
        <v>35</v>
      </c>
      <c r="D2411">
        <v>728</v>
      </c>
      <c r="E2411">
        <v>495</v>
      </c>
      <c r="F2411">
        <v>171</v>
      </c>
      <c r="G2411">
        <v>2</v>
      </c>
      <c r="H2411">
        <v>1396</v>
      </c>
      <c r="I2411" s="1">
        <v>45809</v>
      </c>
      <c r="J2411">
        <v>173</v>
      </c>
      <c r="K2411" t="s">
        <v>26</v>
      </c>
    </row>
    <row r="2412" spans="1:11">
      <c r="A2412" s="1">
        <v>45834</v>
      </c>
      <c r="B2412" t="s">
        <v>40</v>
      </c>
      <c r="C2412" t="s">
        <v>22</v>
      </c>
      <c r="D2412">
        <v>752</v>
      </c>
      <c r="E2412">
        <v>134</v>
      </c>
      <c r="F2412">
        <v>15</v>
      </c>
      <c r="G2412">
        <v>2</v>
      </c>
      <c r="H2412">
        <v>903</v>
      </c>
      <c r="I2412" s="1">
        <v>45809</v>
      </c>
      <c r="J2412">
        <v>17</v>
      </c>
      <c r="K2412" t="s">
        <v>26</v>
      </c>
    </row>
    <row r="2413" spans="1:11">
      <c r="A2413" s="1">
        <v>45834</v>
      </c>
      <c r="B2413" t="s">
        <v>21</v>
      </c>
      <c r="C2413" t="s">
        <v>57</v>
      </c>
      <c r="D2413">
        <v>33</v>
      </c>
      <c r="E2413">
        <v>20</v>
      </c>
      <c r="F2413">
        <v>3</v>
      </c>
      <c r="G2413">
        <v>2</v>
      </c>
      <c r="H2413">
        <v>58</v>
      </c>
      <c r="I2413" s="1">
        <v>45809</v>
      </c>
      <c r="J2413">
        <v>5</v>
      </c>
      <c r="K2413" t="s">
        <v>26</v>
      </c>
    </row>
    <row r="2414" spans="1:11">
      <c r="A2414" s="1">
        <v>45834</v>
      </c>
      <c r="B2414" t="s">
        <v>21</v>
      </c>
      <c r="C2414" t="s">
        <v>54</v>
      </c>
      <c r="D2414">
        <v>39</v>
      </c>
      <c r="E2414">
        <v>8</v>
      </c>
      <c r="F2414">
        <v>7</v>
      </c>
      <c r="G2414">
        <v>2</v>
      </c>
      <c r="H2414">
        <v>57</v>
      </c>
      <c r="I2414" s="1">
        <v>45809</v>
      </c>
      <c r="J2414">
        <v>9</v>
      </c>
      <c r="K2414" t="s">
        <v>26</v>
      </c>
    </row>
    <row r="2415" spans="1:11">
      <c r="A2415" s="1">
        <v>45869</v>
      </c>
      <c r="B2415" t="s">
        <v>40</v>
      </c>
      <c r="C2415" t="s">
        <v>30</v>
      </c>
      <c r="D2415">
        <v>575</v>
      </c>
      <c r="E2415">
        <v>89</v>
      </c>
      <c r="F2415">
        <v>18</v>
      </c>
      <c r="G2415">
        <v>2</v>
      </c>
      <c r="H2415">
        <v>684</v>
      </c>
      <c r="I2415" s="1">
        <v>45839</v>
      </c>
      <c r="J2415">
        <v>20</v>
      </c>
      <c r="K2415" t="s">
        <v>26</v>
      </c>
    </row>
    <row r="2416" spans="1:11">
      <c r="A2416" s="1">
        <v>45869</v>
      </c>
      <c r="B2416" t="s">
        <v>40</v>
      </c>
      <c r="C2416" t="s">
        <v>56</v>
      </c>
      <c r="D2416">
        <v>548</v>
      </c>
      <c r="E2416">
        <v>196</v>
      </c>
      <c r="F2416">
        <v>7</v>
      </c>
      <c r="G2416">
        <v>2</v>
      </c>
      <c r="H2416">
        <v>753</v>
      </c>
      <c r="I2416" s="1">
        <v>45839</v>
      </c>
      <c r="J2416">
        <v>9</v>
      </c>
      <c r="K2416" t="s">
        <v>26</v>
      </c>
    </row>
    <row r="2417" spans="1:11">
      <c r="A2417" s="1">
        <v>45869</v>
      </c>
      <c r="B2417" t="s">
        <v>40</v>
      </c>
      <c r="C2417" t="s">
        <v>51</v>
      </c>
      <c r="D2417">
        <v>527</v>
      </c>
      <c r="E2417">
        <v>58</v>
      </c>
      <c r="F2417">
        <v>22</v>
      </c>
      <c r="G2417">
        <v>2</v>
      </c>
      <c r="H2417">
        <v>609</v>
      </c>
      <c r="I2417" s="1">
        <v>45839</v>
      </c>
      <c r="J2417">
        <v>24</v>
      </c>
      <c r="K2417" t="s">
        <v>26</v>
      </c>
    </row>
    <row r="2418" spans="1:11">
      <c r="A2418" s="1">
        <v>45869</v>
      </c>
      <c r="B2418" t="s">
        <v>40</v>
      </c>
      <c r="C2418" t="s">
        <v>43</v>
      </c>
      <c r="D2418">
        <v>1136</v>
      </c>
      <c r="E2418">
        <v>463</v>
      </c>
      <c r="F2418">
        <v>146</v>
      </c>
      <c r="G2418">
        <v>2</v>
      </c>
      <c r="H2418">
        <v>1746</v>
      </c>
      <c r="I2418" s="1">
        <v>45839</v>
      </c>
      <c r="J2418">
        <v>148</v>
      </c>
      <c r="K2418" t="s">
        <v>26</v>
      </c>
    </row>
    <row r="2419" spans="1:11">
      <c r="A2419" s="1">
        <v>45869</v>
      </c>
      <c r="B2419" t="s">
        <v>40</v>
      </c>
      <c r="C2419" t="s">
        <v>35</v>
      </c>
      <c r="D2419">
        <v>790</v>
      </c>
      <c r="E2419">
        <v>464</v>
      </c>
      <c r="F2419">
        <v>200</v>
      </c>
      <c r="G2419">
        <v>2</v>
      </c>
      <c r="H2419">
        <v>1455</v>
      </c>
      <c r="I2419" s="1">
        <v>45839</v>
      </c>
      <c r="J2419">
        <v>202</v>
      </c>
      <c r="K2419" t="s">
        <v>26</v>
      </c>
    </row>
    <row r="2420" spans="1:11">
      <c r="A2420" s="1">
        <v>45869</v>
      </c>
      <c r="B2420" t="s">
        <v>40</v>
      </c>
      <c r="C2420" t="s">
        <v>24</v>
      </c>
      <c r="D2420">
        <v>705</v>
      </c>
      <c r="E2420">
        <v>115</v>
      </c>
      <c r="F2420">
        <v>8</v>
      </c>
      <c r="G2420">
        <v>2</v>
      </c>
      <c r="H2420">
        <v>829</v>
      </c>
      <c r="I2420" s="1">
        <v>45839</v>
      </c>
      <c r="J2420">
        <v>10</v>
      </c>
      <c r="K2420" t="s">
        <v>26</v>
      </c>
    </row>
    <row r="2421" spans="1:11">
      <c r="A2421" s="1">
        <v>45897</v>
      </c>
      <c r="B2421" t="s">
        <v>40</v>
      </c>
      <c r="C2421" t="s">
        <v>30</v>
      </c>
      <c r="D2421">
        <v>549</v>
      </c>
      <c r="E2421">
        <v>94</v>
      </c>
      <c r="F2421">
        <v>11</v>
      </c>
      <c r="G2421">
        <v>2</v>
      </c>
      <c r="H2421">
        <v>656</v>
      </c>
      <c r="I2421" s="1">
        <v>45870</v>
      </c>
      <c r="J2421">
        <v>13</v>
      </c>
      <c r="K2421" t="s">
        <v>26</v>
      </c>
    </row>
    <row r="2422" spans="1:11">
      <c r="A2422" s="1">
        <v>45897</v>
      </c>
      <c r="B2422" t="s">
        <v>40</v>
      </c>
      <c r="C2422" t="s">
        <v>37</v>
      </c>
      <c r="D2422">
        <v>465</v>
      </c>
      <c r="E2422">
        <v>130</v>
      </c>
      <c r="F2422">
        <v>5</v>
      </c>
      <c r="G2422">
        <v>2</v>
      </c>
      <c r="H2422">
        <v>602</v>
      </c>
      <c r="I2422" s="1">
        <v>45870</v>
      </c>
      <c r="J2422">
        <v>7</v>
      </c>
      <c r="K2422" t="s">
        <v>26</v>
      </c>
    </row>
    <row r="2423" spans="1:11">
      <c r="A2423" s="1">
        <v>45897</v>
      </c>
      <c r="B2423" t="s">
        <v>40</v>
      </c>
      <c r="C2423" t="s">
        <v>28</v>
      </c>
      <c r="D2423">
        <v>276</v>
      </c>
      <c r="E2423">
        <v>86</v>
      </c>
      <c r="F2423">
        <v>18</v>
      </c>
      <c r="G2423">
        <v>2</v>
      </c>
      <c r="H2423">
        <v>382</v>
      </c>
      <c r="I2423" s="1">
        <v>45870</v>
      </c>
      <c r="J2423">
        <v>20</v>
      </c>
      <c r="K2423" t="s">
        <v>26</v>
      </c>
    </row>
    <row r="2424" spans="1:11">
      <c r="A2424" s="1">
        <v>45897</v>
      </c>
      <c r="B2424" t="s">
        <v>40</v>
      </c>
      <c r="C2424" t="s">
        <v>51</v>
      </c>
      <c r="D2424">
        <v>512</v>
      </c>
      <c r="E2424">
        <v>47</v>
      </c>
      <c r="F2424">
        <v>21</v>
      </c>
      <c r="G2424">
        <v>2</v>
      </c>
      <c r="H2424">
        <v>582</v>
      </c>
      <c r="I2424" s="1">
        <v>45870</v>
      </c>
      <c r="J2424">
        <v>23</v>
      </c>
      <c r="K2424" t="s">
        <v>26</v>
      </c>
    </row>
    <row r="2425" spans="1:11">
      <c r="A2425" s="1">
        <v>45897</v>
      </c>
      <c r="B2425" t="s">
        <v>40</v>
      </c>
      <c r="C2425" t="s">
        <v>54</v>
      </c>
      <c r="D2425">
        <v>1733</v>
      </c>
      <c r="E2425">
        <v>437</v>
      </c>
      <c r="F2425">
        <v>43</v>
      </c>
      <c r="G2425">
        <v>2</v>
      </c>
      <c r="H2425">
        <v>2214</v>
      </c>
      <c r="I2425" s="1">
        <v>45870</v>
      </c>
      <c r="J2425">
        <v>45</v>
      </c>
      <c r="K2425" t="s">
        <v>26</v>
      </c>
    </row>
    <row r="2426" spans="1:11">
      <c r="A2426" s="1">
        <v>45897</v>
      </c>
      <c r="B2426" t="s">
        <v>40</v>
      </c>
      <c r="C2426" t="s">
        <v>35</v>
      </c>
      <c r="D2426">
        <v>915</v>
      </c>
      <c r="E2426">
        <v>453</v>
      </c>
      <c r="F2426">
        <v>178</v>
      </c>
      <c r="G2426">
        <v>2</v>
      </c>
      <c r="H2426">
        <v>1549</v>
      </c>
      <c r="I2426" s="1">
        <v>45870</v>
      </c>
      <c r="J2426">
        <v>180</v>
      </c>
      <c r="K2426" t="s">
        <v>26</v>
      </c>
    </row>
    <row r="2427" spans="1:11">
      <c r="A2427" s="1">
        <v>45897</v>
      </c>
      <c r="B2427" t="s">
        <v>40</v>
      </c>
      <c r="C2427" t="s">
        <v>22</v>
      </c>
      <c r="D2427">
        <v>655</v>
      </c>
      <c r="E2427">
        <v>80</v>
      </c>
      <c r="F2427">
        <v>8</v>
      </c>
      <c r="G2427">
        <v>2</v>
      </c>
      <c r="H2427">
        <v>745</v>
      </c>
      <c r="I2427" s="1">
        <v>45870</v>
      </c>
      <c r="J2427">
        <v>10</v>
      </c>
      <c r="K2427" t="s">
        <v>26</v>
      </c>
    </row>
    <row r="2428" spans="1:11">
      <c r="A2428" s="1">
        <v>45897</v>
      </c>
      <c r="B2428" t="s">
        <v>40</v>
      </c>
      <c r="C2428" t="s">
        <v>32</v>
      </c>
      <c r="D2428">
        <v>394</v>
      </c>
      <c r="E2428">
        <v>39</v>
      </c>
      <c r="F2428">
        <v>12</v>
      </c>
      <c r="G2428">
        <v>2</v>
      </c>
      <c r="H2428">
        <v>447</v>
      </c>
      <c r="I2428" s="1">
        <v>45870</v>
      </c>
      <c r="J2428">
        <v>14</v>
      </c>
      <c r="K2428" t="s">
        <v>26</v>
      </c>
    </row>
    <row r="2429" spans="1:11">
      <c r="A2429" s="1">
        <v>45925</v>
      </c>
      <c r="B2429" t="s">
        <v>40</v>
      </c>
      <c r="C2429" t="s">
        <v>28</v>
      </c>
      <c r="D2429">
        <v>291</v>
      </c>
      <c r="E2429">
        <v>81</v>
      </c>
      <c r="F2429">
        <v>13</v>
      </c>
      <c r="G2429">
        <v>2</v>
      </c>
      <c r="H2429">
        <v>387</v>
      </c>
      <c r="I2429" s="1">
        <v>45901</v>
      </c>
      <c r="J2429">
        <v>15</v>
      </c>
      <c r="K2429" t="s">
        <v>26</v>
      </c>
    </row>
    <row r="2430" spans="1:11">
      <c r="A2430" s="1">
        <v>45925</v>
      </c>
      <c r="B2430" t="s">
        <v>40</v>
      </c>
      <c r="C2430" t="s">
        <v>51</v>
      </c>
      <c r="D2430">
        <v>485</v>
      </c>
      <c r="E2430">
        <v>46</v>
      </c>
      <c r="F2430">
        <v>10</v>
      </c>
      <c r="G2430">
        <v>2</v>
      </c>
      <c r="H2430">
        <v>542</v>
      </c>
      <c r="I2430" s="1">
        <v>45901</v>
      </c>
      <c r="J2430">
        <v>12</v>
      </c>
      <c r="K2430" t="s">
        <v>26</v>
      </c>
    </row>
    <row r="2431" spans="1:11">
      <c r="A2431" s="1">
        <v>45925</v>
      </c>
      <c r="B2431" t="s">
        <v>40</v>
      </c>
      <c r="C2431" t="s">
        <v>22</v>
      </c>
      <c r="D2431">
        <v>640</v>
      </c>
      <c r="E2431">
        <v>86</v>
      </c>
      <c r="F2431">
        <v>5</v>
      </c>
      <c r="G2431">
        <v>2</v>
      </c>
      <c r="H2431">
        <v>733</v>
      </c>
      <c r="I2431" s="1">
        <v>45901</v>
      </c>
      <c r="J2431">
        <v>7</v>
      </c>
      <c r="K2431" t="s">
        <v>26</v>
      </c>
    </row>
    <row r="2432" spans="1:11">
      <c r="A2432" s="1">
        <v>45988</v>
      </c>
      <c r="B2432" t="s">
        <v>40</v>
      </c>
      <c r="C2432" t="s">
        <v>30</v>
      </c>
      <c r="D2432">
        <v>629</v>
      </c>
      <c r="E2432">
        <v>78</v>
      </c>
      <c r="F2432">
        <v>2</v>
      </c>
      <c r="G2432">
        <v>2</v>
      </c>
      <c r="H2432">
        <v>710</v>
      </c>
      <c r="I2432" s="1">
        <v>45962</v>
      </c>
      <c r="J2432">
        <v>4</v>
      </c>
      <c r="K2432" t="s">
        <v>26</v>
      </c>
    </row>
    <row r="2433" spans="1:11">
      <c r="A2433" s="1">
        <v>45988</v>
      </c>
      <c r="B2433" t="s">
        <v>40</v>
      </c>
      <c r="C2433" t="s">
        <v>28</v>
      </c>
      <c r="D2433">
        <v>330</v>
      </c>
      <c r="E2433">
        <v>71</v>
      </c>
      <c r="F2433">
        <v>4</v>
      </c>
      <c r="G2433">
        <v>2</v>
      </c>
      <c r="H2433">
        <v>407</v>
      </c>
      <c r="I2433" s="1">
        <v>45962</v>
      </c>
      <c r="J2433">
        <v>6</v>
      </c>
      <c r="K2433" t="s">
        <v>26</v>
      </c>
    </row>
    <row r="2434" spans="1:11">
      <c r="A2434" s="1">
        <v>45988</v>
      </c>
      <c r="B2434" t="s">
        <v>40</v>
      </c>
      <c r="C2434" t="s">
        <v>47</v>
      </c>
      <c r="D2434">
        <v>987</v>
      </c>
      <c r="E2434">
        <v>163</v>
      </c>
      <c r="F2434">
        <v>20</v>
      </c>
      <c r="G2434">
        <v>2</v>
      </c>
      <c r="H2434">
        <v>1171</v>
      </c>
      <c r="I2434" s="1">
        <v>45962</v>
      </c>
      <c r="J2434">
        <v>22</v>
      </c>
      <c r="K2434" t="s">
        <v>26</v>
      </c>
    </row>
    <row r="2435" spans="1:11">
      <c r="A2435" s="1">
        <v>45988</v>
      </c>
      <c r="B2435" t="s">
        <v>40</v>
      </c>
      <c r="C2435" t="s">
        <v>22</v>
      </c>
      <c r="D2435">
        <v>572</v>
      </c>
      <c r="E2435">
        <v>100</v>
      </c>
      <c r="F2435">
        <v>14</v>
      </c>
      <c r="G2435">
        <v>2</v>
      </c>
      <c r="H2435">
        <v>688</v>
      </c>
      <c r="I2435" s="1">
        <v>45962</v>
      </c>
      <c r="J2435">
        <v>16</v>
      </c>
      <c r="K2435" t="s">
        <v>26</v>
      </c>
    </row>
    <row r="2436" spans="1:11">
      <c r="A2436" s="1">
        <v>46009</v>
      </c>
      <c r="B2436" t="s">
        <v>40</v>
      </c>
      <c r="C2436" t="s">
        <v>62</v>
      </c>
      <c r="D2436">
        <v>376</v>
      </c>
      <c r="E2436">
        <v>66</v>
      </c>
      <c r="F2436">
        <v>13</v>
      </c>
      <c r="G2436">
        <v>2</v>
      </c>
      <c r="H2436">
        <v>457</v>
      </c>
      <c r="I2436" s="1">
        <v>45992</v>
      </c>
      <c r="J2436">
        <v>15</v>
      </c>
      <c r="K2436" t="s">
        <v>26</v>
      </c>
    </row>
    <row r="2437" spans="1:11">
      <c r="A2437" s="1">
        <v>46051</v>
      </c>
      <c r="B2437" t="s">
        <v>40</v>
      </c>
      <c r="C2437" t="s">
        <v>55</v>
      </c>
      <c r="D2437">
        <v>1619</v>
      </c>
      <c r="E2437">
        <v>310</v>
      </c>
      <c r="F2437">
        <v>32</v>
      </c>
      <c r="G2437">
        <v>2</v>
      </c>
      <c r="H2437">
        <v>1963</v>
      </c>
      <c r="I2437" s="1">
        <v>46023</v>
      </c>
      <c r="J2437">
        <v>34</v>
      </c>
      <c r="K2437" t="s">
        <v>26</v>
      </c>
    </row>
    <row r="2438" spans="1:11">
      <c r="A2438" s="1">
        <v>46051</v>
      </c>
      <c r="B2438" t="s">
        <v>40</v>
      </c>
      <c r="C2438" t="s">
        <v>54</v>
      </c>
      <c r="D2438">
        <v>1661</v>
      </c>
      <c r="E2438">
        <v>381</v>
      </c>
      <c r="F2438">
        <v>50</v>
      </c>
      <c r="G2438">
        <v>2</v>
      </c>
      <c r="H2438">
        <v>2094</v>
      </c>
      <c r="I2438" s="1">
        <v>46023</v>
      </c>
      <c r="J2438">
        <v>52</v>
      </c>
      <c r="K2438" t="s">
        <v>26</v>
      </c>
    </row>
    <row r="2439" spans="1:11">
      <c r="A2439" s="1">
        <v>46051</v>
      </c>
      <c r="B2439" t="s">
        <v>40</v>
      </c>
      <c r="C2439" t="s">
        <v>24</v>
      </c>
      <c r="D2439">
        <v>676</v>
      </c>
      <c r="E2439">
        <v>301</v>
      </c>
      <c r="F2439">
        <v>6</v>
      </c>
      <c r="G2439">
        <v>2</v>
      </c>
      <c r="H2439">
        <v>986</v>
      </c>
      <c r="I2439" s="1">
        <v>46023</v>
      </c>
      <c r="J2439">
        <v>8</v>
      </c>
      <c r="K2439" t="s">
        <v>26</v>
      </c>
    </row>
    <row r="2440" spans="1:11">
      <c r="A2440" s="1">
        <v>46051</v>
      </c>
      <c r="B2440" t="s">
        <v>21</v>
      </c>
      <c r="C2440" t="s">
        <v>57</v>
      </c>
      <c r="D2440">
        <v>51</v>
      </c>
      <c r="E2440">
        <v>4</v>
      </c>
      <c r="F2440">
        <v>2</v>
      </c>
      <c r="G2440">
        <v>2</v>
      </c>
      <c r="H2440">
        <v>58</v>
      </c>
      <c r="I2440" s="1">
        <v>46023</v>
      </c>
      <c r="J2440">
        <v>4</v>
      </c>
      <c r="K2440" t="s">
        <v>26</v>
      </c>
    </row>
    <row r="2441" spans="1:11">
      <c r="A2441" s="1">
        <v>46051</v>
      </c>
      <c r="B2441" t="s">
        <v>21</v>
      </c>
      <c r="C2441" t="s">
        <v>43</v>
      </c>
      <c r="D2441">
        <v>222</v>
      </c>
      <c r="E2441">
        <v>59</v>
      </c>
      <c r="F2441">
        <v>2</v>
      </c>
      <c r="G2441">
        <v>2</v>
      </c>
      <c r="H2441">
        <v>284</v>
      </c>
      <c r="I2441" s="1">
        <v>46023</v>
      </c>
      <c r="J2441">
        <v>4</v>
      </c>
      <c r="K2441" t="s">
        <v>26</v>
      </c>
    </row>
    <row r="2442" spans="1:11">
      <c r="A2442" s="1">
        <v>46079</v>
      </c>
      <c r="B2442" t="s">
        <v>40</v>
      </c>
      <c r="C2442" t="s">
        <v>37</v>
      </c>
      <c r="D2442">
        <v>511</v>
      </c>
      <c r="E2442">
        <v>179</v>
      </c>
      <c r="F2442">
        <v>8</v>
      </c>
      <c r="G2442">
        <v>2</v>
      </c>
      <c r="H2442">
        <v>700</v>
      </c>
      <c r="I2442" s="1">
        <v>46054</v>
      </c>
      <c r="J2442">
        <v>10</v>
      </c>
      <c r="K2442" t="s">
        <v>26</v>
      </c>
    </row>
    <row r="2443" spans="1:11">
      <c r="A2443" s="1">
        <v>46079</v>
      </c>
      <c r="B2443" t="s">
        <v>40</v>
      </c>
      <c r="C2443" t="s">
        <v>54</v>
      </c>
      <c r="D2443">
        <v>1551</v>
      </c>
      <c r="E2443">
        <v>352</v>
      </c>
      <c r="F2443">
        <v>53</v>
      </c>
      <c r="G2443">
        <v>2</v>
      </c>
      <c r="H2443">
        <v>1958</v>
      </c>
      <c r="I2443" s="1">
        <v>46054</v>
      </c>
      <c r="J2443">
        <v>55</v>
      </c>
      <c r="K2443" t="s">
        <v>26</v>
      </c>
    </row>
    <row r="2444" spans="1:11">
      <c r="A2444" s="1">
        <v>46079</v>
      </c>
      <c r="B2444" t="s">
        <v>40</v>
      </c>
      <c r="C2444" t="s">
        <v>62</v>
      </c>
      <c r="D2444">
        <v>395</v>
      </c>
      <c r="E2444">
        <v>71</v>
      </c>
      <c r="F2444">
        <v>14</v>
      </c>
      <c r="G2444">
        <v>2</v>
      </c>
      <c r="H2444">
        <v>482</v>
      </c>
      <c r="I2444" s="1">
        <v>46054</v>
      </c>
      <c r="J2444">
        <v>16</v>
      </c>
      <c r="K2444" t="s">
        <v>26</v>
      </c>
    </row>
    <row r="2445" spans="1:11">
      <c r="A2445" s="1">
        <v>46079</v>
      </c>
      <c r="B2445" t="s">
        <v>40</v>
      </c>
      <c r="C2445" t="s">
        <v>32</v>
      </c>
      <c r="D2445">
        <v>453</v>
      </c>
      <c r="E2445">
        <v>98</v>
      </c>
      <c r="F2445">
        <v>7</v>
      </c>
      <c r="G2445">
        <v>2</v>
      </c>
      <c r="H2445">
        <v>560</v>
      </c>
      <c r="I2445" s="1">
        <v>46054</v>
      </c>
      <c r="J2445">
        <v>9</v>
      </c>
      <c r="K2445" t="s">
        <v>26</v>
      </c>
    </row>
    <row r="2446" spans="1:11">
      <c r="A2446" s="1">
        <v>46079</v>
      </c>
      <c r="B2446" t="s">
        <v>21</v>
      </c>
      <c r="C2446" t="s">
        <v>43</v>
      </c>
      <c r="D2446">
        <v>203</v>
      </c>
      <c r="E2446">
        <v>41</v>
      </c>
      <c r="F2446">
        <v>0</v>
      </c>
      <c r="G2446">
        <v>2</v>
      </c>
      <c r="H2446">
        <v>247</v>
      </c>
      <c r="I2446" s="1">
        <v>46054</v>
      </c>
      <c r="J2446">
        <v>2</v>
      </c>
      <c r="K2446" t="s">
        <v>26</v>
      </c>
    </row>
    <row r="2447" spans="1:11">
      <c r="A2447" s="1">
        <v>46107</v>
      </c>
      <c r="B2447" t="s">
        <v>40</v>
      </c>
      <c r="C2447" t="s">
        <v>37</v>
      </c>
      <c r="D2447">
        <v>610</v>
      </c>
      <c r="E2447">
        <v>173</v>
      </c>
      <c r="F2447">
        <v>18</v>
      </c>
      <c r="G2447">
        <v>2</v>
      </c>
      <c r="H2447">
        <v>803</v>
      </c>
      <c r="I2447" s="1">
        <v>46082</v>
      </c>
      <c r="J2447">
        <v>20</v>
      </c>
      <c r="K2447" t="s">
        <v>26</v>
      </c>
    </row>
    <row r="2448" spans="1:11">
      <c r="A2448" s="1">
        <v>46107</v>
      </c>
      <c r="B2448" t="s">
        <v>40</v>
      </c>
      <c r="C2448" t="s">
        <v>51</v>
      </c>
      <c r="D2448">
        <v>396</v>
      </c>
      <c r="E2448">
        <v>75</v>
      </c>
      <c r="F2448">
        <v>4</v>
      </c>
      <c r="G2448">
        <v>2</v>
      </c>
      <c r="H2448">
        <v>476</v>
      </c>
      <c r="I2448" s="1">
        <v>46082</v>
      </c>
      <c r="J2448">
        <v>6</v>
      </c>
      <c r="K2448" t="s">
        <v>26</v>
      </c>
    </row>
    <row r="2449" spans="1:11">
      <c r="A2449" s="1">
        <v>46107</v>
      </c>
      <c r="B2449" t="s">
        <v>40</v>
      </c>
      <c r="C2449" t="s">
        <v>54</v>
      </c>
      <c r="D2449">
        <v>1718</v>
      </c>
      <c r="E2449">
        <v>361</v>
      </c>
      <c r="F2449">
        <v>51</v>
      </c>
      <c r="G2449">
        <v>2</v>
      </c>
      <c r="H2449">
        <v>2132</v>
      </c>
      <c r="I2449" s="1">
        <v>46082</v>
      </c>
      <c r="J2449">
        <v>53</v>
      </c>
      <c r="K2449" t="s">
        <v>26</v>
      </c>
    </row>
    <row r="2450" spans="1:11">
      <c r="A2450" s="1">
        <v>46107</v>
      </c>
      <c r="B2450" t="s">
        <v>40</v>
      </c>
      <c r="C2450" t="s">
        <v>22</v>
      </c>
      <c r="D2450">
        <v>496</v>
      </c>
      <c r="E2450">
        <v>90</v>
      </c>
      <c r="F2450">
        <v>2</v>
      </c>
      <c r="G2450">
        <v>2</v>
      </c>
      <c r="H2450">
        <v>590</v>
      </c>
      <c r="I2450" s="1">
        <v>46082</v>
      </c>
      <c r="J2450">
        <v>4</v>
      </c>
      <c r="K2450" t="s">
        <v>26</v>
      </c>
    </row>
    <row r="2451" spans="1:11">
      <c r="A2451" s="1">
        <v>46107</v>
      </c>
      <c r="B2451" t="s">
        <v>40</v>
      </c>
      <c r="C2451" t="s">
        <v>62</v>
      </c>
      <c r="D2451">
        <v>442</v>
      </c>
      <c r="E2451">
        <v>93</v>
      </c>
      <c r="F2451">
        <v>16</v>
      </c>
      <c r="G2451">
        <v>2</v>
      </c>
      <c r="H2451">
        <v>553</v>
      </c>
      <c r="I2451" s="1">
        <v>46082</v>
      </c>
      <c r="J2451">
        <v>18</v>
      </c>
      <c r="K2451" t="s">
        <v>26</v>
      </c>
    </row>
    <row r="2452" spans="1:11">
      <c r="A2452" s="1">
        <v>46107</v>
      </c>
      <c r="B2452" t="s">
        <v>40</v>
      </c>
      <c r="C2452" t="s">
        <v>24</v>
      </c>
      <c r="D2452">
        <v>644</v>
      </c>
      <c r="E2452">
        <v>251</v>
      </c>
      <c r="F2452">
        <v>69</v>
      </c>
      <c r="G2452">
        <v>2</v>
      </c>
      <c r="H2452">
        <v>966</v>
      </c>
      <c r="I2452" s="1">
        <v>46082</v>
      </c>
      <c r="J2452">
        <v>71</v>
      </c>
      <c r="K2452" t="s">
        <v>26</v>
      </c>
    </row>
    <row r="2453" spans="1:11">
      <c r="A2453" s="1">
        <v>46107</v>
      </c>
      <c r="B2453" t="s">
        <v>21</v>
      </c>
      <c r="C2453" t="s">
        <v>48</v>
      </c>
      <c r="D2453">
        <v>4</v>
      </c>
      <c r="E2453">
        <v>2</v>
      </c>
      <c r="F2453">
        <v>0</v>
      </c>
      <c r="G2453">
        <v>2</v>
      </c>
      <c r="H2453">
        <v>8</v>
      </c>
      <c r="I2453" s="1">
        <v>46082</v>
      </c>
      <c r="J2453">
        <v>2</v>
      </c>
      <c r="K2453" t="s">
        <v>26</v>
      </c>
    </row>
    <row r="2454" spans="1:11">
      <c r="A2454" s="1">
        <v>46142</v>
      </c>
      <c r="B2454" t="s">
        <v>40</v>
      </c>
      <c r="C2454" t="s">
        <v>39</v>
      </c>
      <c r="D2454">
        <v>314</v>
      </c>
      <c r="E2454">
        <v>78</v>
      </c>
      <c r="F2454">
        <v>28</v>
      </c>
      <c r="G2454">
        <v>2</v>
      </c>
      <c r="H2454">
        <v>422</v>
      </c>
      <c r="I2454" s="1">
        <v>46113</v>
      </c>
      <c r="J2454">
        <v>30</v>
      </c>
      <c r="K2454" t="s">
        <v>26</v>
      </c>
    </row>
    <row r="2455" spans="1:11">
      <c r="A2455" s="1">
        <v>46142</v>
      </c>
      <c r="B2455" t="s">
        <v>40</v>
      </c>
      <c r="C2455" t="s">
        <v>54</v>
      </c>
      <c r="D2455">
        <v>1592</v>
      </c>
      <c r="E2455">
        <v>362</v>
      </c>
      <c r="F2455">
        <v>40</v>
      </c>
      <c r="G2455">
        <v>2</v>
      </c>
      <c r="H2455">
        <v>1997</v>
      </c>
      <c r="I2455" s="1">
        <v>46113</v>
      </c>
      <c r="J2455">
        <v>42</v>
      </c>
      <c r="K2455" t="s">
        <v>26</v>
      </c>
    </row>
    <row r="2456" spans="1:11">
      <c r="A2456" s="1">
        <v>46142</v>
      </c>
      <c r="B2456" t="s">
        <v>40</v>
      </c>
      <c r="C2456" t="s">
        <v>35</v>
      </c>
      <c r="D2456">
        <v>899</v>
      </c>
      <c r="E2456">
        <v>714</v>
      </c>
      <c r="F2456">
        <v>218</v>
      </c>
      <c r="G2456">
        <v>2</v>
      </c>
      <c r="H2456">
        <v>1832</v>
      </c>
      <c r="I2456" s="1">
        <v>46113</v>
      </c>
      <c r="J2456">
        <v>220</v>
      </c>
      <c r="K2456" t="s">
        <v>26</v>
      </c>
    </row>
    <row r="2457" spans="1:11">
      <c r="A2457" s="1">
        <v>46142</v>
      </c>
      <c r="B2457" t="s">
        <v>40</v>
      </c>
      <c r="C2457" t="s">
        <v>62</v>
      </c>
      <c r="D2457">
        <v>425</v>
      </c>
      <c r="E2457">
        <v>97</v>
      </c>
      <c r="F2457">
        <v>15</v>
      </c>
      <c r="G2457">
        <v>2</v>
      </c>
      <c r="H2457">
        <v>539</v>
      </c>
      <c r="I2457" s="1">
        <v>46113</v>
      </c>
      <c r="J2457">
        <v>17</v>
      </c>
      <c r="K2457" t="s">
        <v>26</v>
      </c>
    </row>
    <row r="2458" spans="1:11">
      <c r="A2458" s="1">
        <v>46142</v>
      </c>
      <c r="B2458" t="s">
        <v>40</v>
      </c>
      <c r="C2458" t="s">
        <v>24</v>
      </c>
      <c r="D2458">
        <v>700</v>
      </c>
      <c r="E2458">
        <v>254</v>
      </c>
      <c r="F2458">
        <v>41</v>
      </c>
      <c r="G2458">
        <v>2</v>
      </c>
      <c r="H2458">
        <v>997</v>
      </c>
      <c r="I2458" s="1">
        <v>46113</v>
      </c>
      <c r="J2458">
        <v>43</v>
      </c>
      <c r="K2458" t="s">
        <v>26</v>
      </c>
    </row>
    <row r="2459" spans="1:11">
      <c r="A2459" s="1">
        <v>46142</v>
      </c>
      <c r="B2459" t="s">
        <v>21</v>
      </c>
      <c r="C2459" t="s">
        <v>59</v>
      </c>
      <c r="D2459">
        <v>171</v>
      </c>
      <c r="E2459">
        <v>85</v>
      </c>
      <c r="F2459">
        <v>19</v>
      </c>
      <c r="G2459">
        <v>2</v>
      </c>
      <c r="H2459">
        <v>278</v>
      </c>
      <c r="I2459" s="1">
        <v>46113</v>
      </c>
      <c r="J2459">
        <v>21</v>
      </c>
      <c r="K2459" t="s">
        <v>26</v>
      </c>
    </row>
    <row r="2460" spans="1:11">
      <c r="A2460" s="1">
        <v>46170</v>
      </c>
      <c r="B2460" t="s">
        <v>40</v>
      </c>
      <c r="C2460" t="s">
        <v>22</v>
      </c>
      <c r="D2460">
        <v>559</v>
      </c>
      <c r="E2460">
        <v>91</v>
      </c>
      <c r="F2460">
        <v>3</v>
      </c>
      <c r="G2460">
        <v>2</v>
      </c>
      <c r="H2460">
        <v>654</v>
      </c>
      <c r="I2460" s="1">
        <v>46143</v>
      </c>
      <c r="J2460">
        <v>5</v>
      </c>
      <c r="K2460" t="s">
        <v>26</v>
      </c>
    </row>
    <row r="2461" spans="1:11">
      <c r="A2461" s="1">
        <v>46170</v>
      </c>
      <c r="B2461" t="s">
        <v>40</v>
      </c>
      <c r="C2461" t="s">
        <v>46</v>
      </c>
      <c r="D2461">
        <v>375</v>
      </c>
      <c r="E2461">
        <v>61</v>
      </c>
      <c r="F2461">
        <v>30</v>
      </c>
      <c r="G2461">
        <v>2</v>
      </c>
      <c r="H2461">
        <v>468</v>
      </c>
      <c r="I2461" s="1">
        <v>46143</v>
      </c>
      <c r="J2461">
        <v>32</v>
      </c>
      <c r="K2461" t="s">
        <v>26</v>
      </c>
    </row>
    <row r="2462" spans="1:11">
      <c r="A2462" s="1">
        <v>46170</v>
      </c>
      <c r="B2462" t="s">
        <v>40</v>
      </c>
      <c r="C2462" t="s">
        <v>62</v>
      </c>
      <c r="D2462">
        <v>410</v>
      </c>
      <c r="E2462">
        <v>122</v>
      </c>
      <c r="F2462">
        <v>19</v>
      </c>
      <c r="G2462">
        <v>2</v>
      </c>
      <c r="H2462">
        <v>552</v>
      </c>
      <c r="I2462" s="1">
        <v>46143</v>
      </c>
      <c r="J2462">
        <v>21</v>
      </c>
      <c r="K2462" t="s">
        <v>26</v>
      </c>
    </row>
    <row r="2463" spans="1:11">
      <c r="A2463" s="1">
        <v>46170</v>
      </c>
      <c r="B2463" t="s">
        <v>40</v>
      </c>
      <c r="C2463" t="s">
        <v>24</v>
      </c>
      <c r="D2463">
        <v>716</v>
      </c>
      <c r="E2463">
        <v>265</v>
      </c>
      <c r="F2463">
        <v>47</v>
      </c>
      <c r="G2463">
        <v>2</v>
      </c>
      <c r="H2463">
        <v>1031</v>
      </c>
      <c r="I2463" s="1">
        <v>46143</v>
      </c>
      <c r="J2463">
        <v>49</v>
      </c>
      <c r="K2463" t="s">
        <v>26</v>
      </c>
    </row>
    <row r="2464" spans="1:11">
      <c r="A2464" s="1">
        <v>46170</v>
      </c>
      <c r="B2464" t="s">
        <v>40</v>
      </c>
      <c r="C2464" t="s">
        <v>44</v>
      </c>
      <c r="D2464">
        <v>547</v>
      </c>
      <c r="E2464">
        <v>86</v>
      </c>
      <c r="F2464">
        <v>6</v>
      </c>
      <c r="G2464">
        <v>2</v>
      </c>
      <c r="H2464">
        <v>640</v>
      </c>
      <c r="I2464" s="1">
        <v>46143</v>
      </c>
      <c r="J2464">
        <v>8</v>
      </c>
      <c r="K2464" t="s">
        <v>26</v>
      </c>
    </row>
    <row r="2465" spans="1:11">
      <c r="A2465" s="1">
        <v>46198</v>
      </c>
      <c r="B2465" t="s">
        <v>40</v>
      </c>
      <c r="C2465" t="s">
        <v>41</v>
      </c>
      <c r="D2465">
        <v>407</v>
      </c>
      <c r="E2465">
        <v>33</v>
      </c>
      <c r="F2465">
        <v>0</v>
      </c>
      <c r="G2465">
        <v>2</v>
      </c>
      <c r="H2465">
        <v>442</v>
      </c>
      <c r="I2465" s="1">
        <v>46174</v>
      </c>
      <c r="J2465">
        <v>2</v>
      </c>
      <c r="K2465" t="s">
        <v>26</v>
      </c>
    </row>
    <row r="2466" spans="1:11">
      <c r="A2466" s="1">
        <v>46198</v>
      </c>
      <c r="B2466" t="s">
        <v>40</v>
      </c>
      <c r="C2466" t="s">
        <v>51</v>
      </c>
      <c r="D2466">
        <v>508</v>
      </c>
      <c r="E2466">
        <v>135</v>
      </c>
      <c r="F2466">
        <v>8</v>
      </c>
      <c r="G2466">
        <v>2</v>
      </c>
      <c r="H2466">
        <v>652</v>
      </c>
      <c r="I2466" s="1">
        <v>46174</v>
      </c>
      <c r="J2466">
        <v>10</v>
      </c>
      <c r="K2466" t="s">
        <v>26</v>
      </c>
    </row>
    <row r="2467" spans="1:11">
      <c r="A2467" s="1">
        <v>46198</v>
      </c>
      <c r="B2467" t="s">
        <v>40</v>
      </c>
      <c r="C2467" t="s">
        <v>46</v>
      </c>
      <c r="D2467">
        <v>316</v>
      </c>
      <c r="E2467">
        <v>47</v>
      </c>
      <c r="F2467">
        <v>21</v>
      </c>
      <c r="G2467">
        <v>2</v>
      </c>
      <c r="H2467">
        <v>386</v>
      </c>
      <c r="I2467" s="1">
        <v>46174</v>
      </c>
      <c r="J2467">
        <v>23</v>
      </c>
      <c r="K2467" t="s">
        <v>26</v>
      </c>
    </row>
    <row r="2468" spans="1:11">
      <c r="A2468" s="1">
        <v>46198</v>
      </c>
      <c r="B2468" t="s">
        <v>21</v>
      </c>
      <c r="C2468" t="s">
        <v>59</v>
      </c>
      <c r="D2468">
        <v>127</v>
      </c>
      <c r="E2468">
        <v>79</v>
      </c>
      <c r="F2468">
        <v>7</v>
      </c>
      <c r="G2468">
        <v>2</v>
      </c>
      <c r="H2468">
        <v>215</v>
      </c>
      <c r="I2468" s="1">
        <v>46174</v>
      </c>
      <c r="J2468">
        <v>9</v>
      </c>
      <c r="K2468" t="s">
        <v>26</v>
      </c>
    </row>
    <row r="2469" spans="1:11">
      <c r="A2469" s="1">
        <v>46233</v>
      </c>
      <c r="B2469" t="s">
        <v>40</v>
      </c>
      <c r="C2469" t="s">
        <v>47</v>
      </c>
      <c r="D2469">
        <v>950</v>
      </c>
      <c r="E2469">
        <v>207</v>
      </c>
      <c r="F2469">
        <v>41</v>
      </c>
      <c r="G2469">
        <v>2</v>
      </c>
      <c r="H2469">
        <v>1200</v>
      </c>
      <c r="I2469" s="1">
        <v>46204</v>
      </c>
      <c r="J2469">
        <v>43</v>
      </c>
      <c r="K2469" t="s">
        <v>26</v>
      </c>
    </row>
    <row r="2470" spans="1:11">
      <c r="A2470" s="1">
        <v>46233</v>
      </c>
      <c r="B2470" t="s">
        <v>40</v>
      </c>
      <c r="C2470" t="s">
        <v>52</v>
      </c>
      <c r="D2470">
        <v>629</v>
      </c>
      <c r="E2470">
        <v>73</v>
      </c>
      <c r="F2470">
        <v>4</v>
      </c>
      <c r="G2470">
        <v>2</v>
      </c>
      <c r="H2470">
        <v>709</v>
      </c>
      <c r="I2470" s="1">
        <v>46204</v>
      </c>
      <c r="J2470">
        <v>6</v>
      </c>
      <c r="K2470" t="s">
        <v>26</v>
      </c>
    </row>
    <row r="2471" spans="1:11">
      <c r="A2471" s="1">
        <v>46233</v>
      </c>
      <c r="B2471" t="s">
        <v>21</v>
      </c>
      <c r="C2471" t="s">
        <v>61</v>
      </c>
      <c r="D2471">
        <v>296</v>
      </c>
      <c r="E2471">
        <v>56</v>
      </c>
      <c r="F2471">
        <v>3</v>
      </c>
      <c r="G2471">
        <v>2</v>
      </c>
      <c r="H2471">
        <v>357</v>
      </c>
      <c r="I2471" s="1">
        <v>46204</v>
      </c>
      <c r="J2471">
        <v>5</v>
      </c>
      <c r="K2471" t="s">
        <v>26</v>
      </c>
    </row>
    <row r="2472" spans="1:11">
      <c r="A2472" s="1">
        <v>46233</v>
      </c>
      <c r="B2472" t="s">
        <v>21</v>
      </c>
      <c r="C2472" t="s">
        <v>59</v>
      </c>
      <c r="D2472">
        <v>141</v>
      </c>
      <c r="E2472">
        <v>65</v>
      </c>
      <c r="F2472">
        <v>10</v>
      </c>
      <c r="G2472">
        <v>2</v>
      </c>
      <c r="H2472">
        <v>218</v>
      </c>
      <c r="I2472" s="1">
        <v>46204</v>
      </c>
      <c r="J2472">
        <v>12</v>
      </c>
      <c r="K2472" t="s">
        <v>26</v>
      </c>
    </row>
    <row r="2473" spans="1:11">
      <c r="A2473" s="1">
        <v>46261</v>
      </c>
      <c r="B2473" t="s">
        <v>40</v>
      </c>
      <c r="C2473" t="s">
        <v>30</v>
      </c>
      <c r="D2473">
        <v>668</v>
      </c>
      <c r="E2473">
        <v>96</v>
      </c>
      <c r="F2473">
        <v>4</v>
      </c>
      <c r="G2473">
        <v>2</v>
      </c>
      <c r="H2473">
        <v>770</v>
      </c>
      <c r="I2473" s="1">
        <v>46235</v>
      </c>
      <c r="J2473">
        <v>6</v>
      </c>
      <c r="K2473" t="s">
        <v>26</v>
      </c>
    </row>
    <row r="2474" spans="1:11">
      <c r="A2474" s="1">
        <v>46261</v>
      </c>
      <c r="B2474" t="s">
        <v>40</v>
      </c>
      <c r="C2474" t="s">
        <v>39</v>
      </c>
      <c r="D2474">
        <v>352</v>
      </c>
      <c r="E2474">
        <v>118</v>
      </c>
      <c r="F2474">
        <v>39</v>
      </c>
      <c r="G2474">
        <v>2</v>
      </c>
      <c r="H2474">
        <v>511</v>
      </c>
      <c r="I2474" s="1">
        <v>46235</v>
      </c>
      <c r="J2474">
        <v>41</v>
      </c>
      <c r="K2474" t="s">
        <v>26</v>
      </c>
    </row>
    <row r="2475" spans="1:11">
      <c r="A2475" s="1">
        <v>46261</v>
      </c>
      <c r="B2475" t="s">
        <v>40</v>
      </c>
      <c r="C2475" t="s">
        <v>54</v>
      </c>
      <c r="D2475">
        <v>1874</v>
      </c>
      <c r="E2475">
        <v>259</v>
      </c>
      <c r="F2475">
        <v>11</v>
      </c>
      <c r="G2475">
        <v>2</v>
      </c>
      <c r="H2475">
        <v>2145</v>
      </c>
      <c r="I2475" s="1">
        <v>46235</v>
      </c>
      <c r="J2475">
        <v>13</v>
      </c>
      <c r="K2475" t="s">
        <v>26</v>
      </c>
    </row>
    <row r="2476" spans="1:11">
      <c r="A2476" s="1">
        <v>46261</v>
      </c>
      <c r="B2476" t="s">
        <v>40</v>
      </c>
      <c r="C2476" t="s">
        <v>46</v>
      </c>
      <c r="D2476">
        <v>329</v>
      </c>
      <c r="E2476">
        <v>41</v>
      </c>
      <c r="F2476">
        <v>36</v>
      </c>
      <c r="G2476">
        <v>2</v>
      </c>
      <c r="H2476">
        <v>408</v>
      </c>
      <c r="I2476" s="1">
        <v>46235</v>
      </c>
      <c r="J2476">
        <v>38</v>
      </c>
      <c r="K2476" t="s">
        <v>26</v>
      </c>
    </row>
    <row r="2477" spans="1:11">
      <c r="A2477" s="1">
        <v>46261</v>
      </c>
      <c r="B2477" t="s">
        <v>40</v>
      </c>
      <c r="C2477" t="s">
        <v>32</v>
      </c>
      <c r="D2477">
        <v>449</v>
      </c>
      <c r="E2477">
        <v>85</v>
      </c>
      <c r="F2477">
        <v>12</v>
      </c>
      <c r="G2477">
        <v>2</v>
      </c>
      <c r="H2477">
        <v>547</v>
      </c>
      <c r="I2477" s="1">
        <v>46235</v>
      </c>
      <c r="J2477">
        <v>14</v>
      </c>
      <c r="K2477" t="s">
        <v>26</v>
      </c>
    </row>
    <row r="2478" spans="1:11">
      <c r="A2478" s="1">
        <v>46261</v>
      </c>
      <c r="B2478" t="s">
        <v>21</v>
      </c>
      <c r="C2478" t="s">
        <v>43</v>
      </c>
      <c r="D2478">
        <v>180</v>
      </c>
      <c r="E2478">
        <v>15</v>
      </c>
      <c r="F2478">
        <v>0</v>
      </c>
      <c r="G2478">
        <v>2</v>
      </c>
      <c r="H2478">
        <v>197</v>
      </c>
      <c r="I2478" s="1">
        <v>46235</v>
      </c>
      <c r="J2478">
        <v>2</v>
      </c>
      <c r="K2478" t="s">
        <v>26</v>
      </c>
    </row>
    <row r="2479" spans="1:11">
      <c r="A2479" s="1">
        <v>46261</v>
      </c>
      <c r="B2479" t="s">
        <v>21</v>
      </c>
      <c r="C2479" t="s">
        <v>61</v>
      </c>
      <c r="D2479">
        <v>312</v>
      </c>
      <c r="E2479">
        <v>75</v>
      </c>
      <c r="F2479">
        <v>5</v>
      </c>
      <c r="G2479">
        <v>2</v>
      </c>
      <c r="H2479">
        <v>394</v>
      </c>
      <c r="I2479" s="1">
        <v>46235</v>
      </c>
      <c r="J2479">
        <v>7</v>
      </c>
      <c r="K2479" t="s">
        <v>26</v>
      </c>
    </row>
    <row r="2480" spans="1:11">
      <c r="A2480" s="1">
        <v>46261</v>
      </c>
      <c r="B2480" t="s">
        <v>21</v>
      </c>
      <c r="C2480" t="s">
        <v>59</v>
      </c>
      <c r="D2480">
        <v>135</v>
      </c>
      <c r="E2480">
        <v>48</v>
      </c>
      <c r="F2480">
        <v>11</v>
      </c>
      <c r="G2480">
        <v>2</v>
      </c>
      <c r="H2480">
        <v>197</v>
      </c>
      <c r="I2480" s="1">
        <v>46235</v>
      </c>
      <c r="J2480">
        <v>13</v>
      </c>
      <c r="K2480" t="s">
        <v>26</v>
      </c>
    </row>
    <row r="2481" spans="1:11">
      <c r="A2481" s="1">
        <v>44952</v>
      </c>
      <c r="B2481" t="s">
        <v>21</v>
      </c>
      <c r="C2481" t="s">
        <v>64</v>
      </c>
      <c r="D2481">
        <v>3131</v>
      </c>
      <c r="E2481">
        <v>1495</v>
      </c>
      <c r="F2481">
        <v>732</v>
      </c>
      <c r="G2481">
        <v>880</v>
      </c>
      <c r="H2481">
        <v>6238</v>
      </c>
      <c r="I2481" s="1">
        <v>44927</v>
      </c>
      <c r="J2481">
        <v>1612</v>
      </c>
      <c r="K2481" t="s">
        <v>26</v>
      </c>
    </row>
    <row r="2482" spans="1:11">
      <c r="A2482" s="1">
        <v>44952</v>
      </c>
      <c r="B2482" t="s">
        <v>21</v>
      </c>
      <c r="C2482" t="s">
        <v>65</v>
      </c>
      <c r="D2482">
        <v>95</v>
      </c>
      <c r="E2482">
        <v>25</v>
      </c>
      <c r="F2482">
        <v>9</v>
      </c>
      <c r="G2482">
        <v>16</v>
      </c>
      <c r="H2482">
        <v>145</v>
      </c>
      <c r="I2482" s="1">
        <v>44927</v>
      </c>
      <c r="J2482">
        <v>25</v>
      </c>
      <c r="K2482" t="s">
        <v>26</v>
      </c>
    </row>
    <row r="2483" spans="1:11">
      <c r="A2483" s="1">
        <v>44952</v>
      </c>
      <c r="B2483" t="s">
        <v>21</v>
      </c>
      <c r="C2483" t="s">
        <v>66</v>
      </c>
      <c r="D2483">
        <v>227</v>
      </c>
      <c r="E2483">
        <v>96</v>
      </c>
      <c r="F2483">
        <v>44</v>
      </c>
      <c r="G2483">
        <v>72</v>
      </c>
      <c r="H2483">
        <v>439</v>
      </c>
      <c r="I2483" s="1">
        <v>44927</v>
      </c>
      <c r="J2483">
        <v>116</v>
      </c>
      <c r="K2483" t="s">
        <v>26</v>
      </c>
    </row>
    <row r="2484" spans="1:11">
      <c r="A2484" s="1">
        <v>44952</v>
      </c>
      <c r="B2484" t="s">
        <v>21</v>
      </c>
      <c r="C2484" t="s">
        <v>57</v>
      </c>
      <c r="D2484">
        <v>39</v>
      </c>
      <c r="E2484">
        <v>22</v>
      </c>
      <c r="F2484">
        <v>13</v>
      </c>
      <c r="G2484">
        <v>15</v>
      </c>
      <c r="H2484">
        <v>88</v>
      </c>
      <c r="I2484" s="1">
        <v>44927</v>
      </c>
      <c r="J2484">
        <v>28</v>
      </c>
      <c r="K2484" t="s">
        <v>26</v>
      </c>
    </row>
    <row r="2485" spans="1:11">
      <c r="A2485" s="1">
        <v>44952</v>
      </c>
      <c r="B2485" t="s">
        <v>21</v>
      </c>
      <c r="C2485" t="s">
        <v>54</v>
      </c>
      <c r="D2485">
        <v>135</v>
      </c>
      <c r="E2485">
        <v>109</v>
      </c>
      <c r="F2485">
        <v>15</v>
      </c>
      <c r="G2485">
        <v>15</v>
      </c>
      <c r="H2485">
        <v>274</v>
      </c>
      <c r="I2485" s="1">
        <v>44927</v>
      </c>
      <c r="J2485">
        <v>30</v>
      </c>
      <c r="K2485" t="s">
        <v>26</v>
      </c>
    </row>
    <row r="2486" spans="1:11">
      <c r="A2486" s="1">
        <v>44952</v>
      </c>
      <c r="B2486" t="s">
        <v>21</v>
      </c>
      <c r="C2486" t="s">
        <v>60</v>
      </c>
      <c r="D2486">
        <v>199</v>
      </c>
      <c r="E2486">
        <v>41</v>
      </c>
      <c r="F2486">
        <v>8</v>
      </c>
      <c r="G2486">
        <v>13</v>
      </c>
      <c r="H2486">
        <v>259</v>
      </c>
      <c r="I2486" s="1">
        <v>44927</v>
      </c>
      <c r="J2486">
        <v>21</v>
      </c>
      <c r="K2486" t="s">
        <v>26</v>
      </c>
    </row>
    <row r="2487" spans="1:11">
      <c r="A2487" s="1">
        <v>44952</v>
      </c>
      <c r="B2487" t="s">
        <v>21</v>
      </c>
      <c r="C2487" t="s">
        <v>67</v>
      </c>
      <c r="D2487">
        <v>119</v>
      </c>
      <c r="E2487">
        <v>37</v>
      </c>
      <c r="F2487">
        <v>17</v>
      </c>
      <c r="G2487">
        <v>8</v>
      </c>
      <c r="H2487">
        <v>181</v>
      </c>
      <c r="I2487" s="1">
        <v>44927</v>
      </c>
      <c r="J2487">
        <v>25</v>
      </c>
      <c r="K2487" t="s">
        <v>26</v>
      </c>
    </row>
    <row r="2488" spans="1:11">
      <c r="A2488" s="1">
        <v>44980</v>
      </c>
      <c r="B2488" t="s">
        <v>21</v>
      </c>
      <c r="C2488" t="s">
        <v>64</v>
      </c>
      <c r="D2488">
        <v>3314</v>
      </c>
      <c r="E2488">
        <v>1476</v>
      </c>
      <c r="F2488">
        <v>792</v>
      </c>
      <c r="G2488">
        <v>881</v>
      </c>
      <c r="H2488">
        <v>6463</v>
      </c>
      <c r="I2488" s="1">
        <v>44958</v>
      </c>
      <c r="J2488">
        <v>1673</v>
      </c>
      <c r="K2488" t="s">
        <v>26</v>
      </c>
    </row>
    <row r="2489" spans="1:11">
      <c r="A2489" s="1">
        <v>44980</v>
      </c>
      <c r="B2489" t="s">
        <v>21</v>
      </c>
      <c r="C2489" t="s">
        <v>65</v>
      </c>
      <c r="D2489">
        <v>101</v>
      </c>
      <c r="E2489">
        <v>24</v>
      </c>
      <c r="F2489">
        <v>14</v>
      </c>
      <c r="G2489">
        <v>17</v>
      </c>
      <c r="H2489">
        <v>157</v>
      </c>
      <c r="I2489" s="1">
        <v>44958</v>
      </c>
      <c r="J2489">
        <v>31</v>
      </c>
      <c r="K2489" t="s">
        <v>26</v>
      </c>
    </row>
    <row r="2490" spans="1:11">
      <c r="A2490" s="1">
        <v>44980</v>
      </c>
      <c r="B2490" t="s">
        <v>21</v>
      </c>
      <c r="C2490" t="s">
        <v>66</v>
      </c>
      <c r="D2490">
        <v>248</v>
      </c>
      <c r="E2490">
        <v>84</v>
      </c>
      <c r="F2490">
        <v>37</v>
      </c>
      <c r="G2490">
        <v>75</v>
      </c>
      <c r="H2490">
        <v>445</v>
      </c>
      <c r="I2490" s="1">
        <v>44958</v>
      </c>
      <c r="J2490">
        <v>112</v>
      </c>
      <c r="K2490" t="s">
        <v>26</v>
      </c>
    </row>
    <row r="2491" spans="1:11">
      <c r="A2491" s="1">
        <v>44980</v>
      </c>
      <c r="B2491" t="s">
        <v>21</v>
      </c>
      <c r="C2491" t="s">
        <v>57</v>
      </c>
      <c r="D2491">
        <v>38</v>
      </c>
      <c r="E2491">
        <v>20</v>
      </c>
      <c r="F2491">
        <v>12</v>
      </c>
      <c r="G2491">
        <v>14</v>
      </c>
      <c r="H2491">
        <v>85</v>
      </c>
      <c r="I2491" s="1">
        <v>44958</v>
      </c>
      <c r="J2491">
        <v>26</v>
      </c>
      <c r="K2491" t="s">
        <v>26</v>
      </c>
    </row>
    <row r="2492" spans="1:11">
      <c r="A2492" s="1">
        <v>44980</v>
      </c>
      <c r="B2492" t="s">
        <v>21</v>
      </c>
      <c r="C2492" t="s">
        <v>54</v>
      </c>
      <c r="D2492">
        <v>129</v>
      </c>
      <c r="E2492">
        <v>100</v>
      </c>
      <c r="F2492">
        <v>19</v>
      </c>
      <c r="G2492">
        <v>15</v>
      </c>
      <c r="H2492">
        <v>263</v>
      </c>
      <c r="I2492" s="1">
        <v>44958</v>
      </c>
      <c r="J2492">
        <v>34</v>
      </c>
      <c r="K2492" t="s">
        <v>26</v>
      </c>
    </row>
    <row r="2493" spans="1:11">
      <c r="A2493" s="1">
        <v>44980</v>
      </c>
      <c r="B2493" t="s">
        <v>21</v>
      </c>
      <c r="C2493" t="s">
        <v>60</v>
      </c>
      <c r="D2493">
        <v>189</v>
      </c>
      <c r="E2493">
        <v>39</v>
      </c>
      <c r="F2493">
        <v>8</v>
      </c>
      <c r="G2493">
        <v>8</v>
      </c>
      <c r="H2493">
        <v>245</v>
      </c>
      <c r="I2493" s="1">
        <v>44958</v>
      </c>
      <c r="J2493">
        <v>16</v>
      </c>
      <c r="K2493" t="s">
        <v>26</v>
      </c>
    </row>
    <row r="2494" spans="1:11">
      <c r="A2494" s="1">
        <v>44980</v>
      </c>
      <c r="B2494" t="s">
        <v>21</v>
      </c>
      <c r="C2494" t="s">
        <v>67</v>
      </c>
      <c r="D2494">
        <v>133</v>
      </c>
      <c r="E2494">
        <v>35</v>
      </c>
      <c r="F2494">
        <v>14</v>
      </c>
      <c r="G2494">
        <v>8</v>
      </c>
      <c r="H2494">
        <v>191</v>
      </c>
      <c r="I2494" s="1">
        <v>44958</v>
      </c>
      <c r="J2494">
        <v>22</v>
      </c>
      <c r="K2494" t="s">
        <v>26</v>
      </c>
    </row>
    <row r="2495" spans="1:11">
      <c r="A2495" s="1">
        <v>45015</v>
      </c>
      <c r="B2495" t="s">
        <v>21</v>
      </c>
      <c r="C2495" t="s">
        <v>64</v>
      </c>
      <c r="D2495">
        <v>3275</v>
      </c>
      <c r="E2495">
        <v>1557</v>
      </c>
      <c r="F2495">
        <v>738</v>
      </c>
      <c r="G2495">
        <v>895</v>
      </c>
      <c r="H2495">
        <v>6465</v>
      </c>
      <c r="I2495" s="1">
        <v>44986</v>
      </c>
      <c r="J2495">
        <v>1633</v>
      </c>
      <c r="K2495" t="s">
        <v>26</v>
      </c>
    </row>
    <row r="2496" spans="1:11">
      <c r="A2496" s="1">
        <v>45015</v>
      </c>
      <c r="B2496" t="s">
        <v>21</v>
      </c>
      <c r="C2496" t="s">
        <v>65</v>
      </c>
      <c r="D2496">
        <v>116</v>
      </c>
      <c r="E2496">
        <v>42</v>
      </c>
      <c r="F2496">
        <v>14</v>
      </c>
      <c r="G2496">
        <v>20</v>
      </c>
      <c r="H2496">
        <v>193</v>
      </c>
      <c r="I2496" s="1">
        <v>44986</v>
      </c>
      <c r="J2496">
        <v>34</v>
      </c>
      <c r="K2496" t="s">
        <v>26</v>
      </c>
    </row>
    <row r="2497" spans="1:11">
      <c r="A2497" s="1">
        <v>45015</v>
      </c>
      <c r="B2497" t="s">
        <v>21</v>
      </c>
      <c r="C2497" t="s">
        <v>66</v>
      </c>
      <c r="D2497">
        <v>215</v>
      </c>
      <c r="E2497">
        <v>82</v>
      </c>
      <c r="F2497">
        <v>32</v>
      </c>
      <c r="G2497">
        <v>73</v>
      </c>
      <c r="H2497">
        <v>402</v>
      </c>
      <c r="I2497" s="1">
        <v>44986</v>
      </c>
      <c r="J2497">
        <v>105</v>
      </c>
      <c r="K2497" t="s">
        <v>26</v>
      </c>
    </row>
    <row r="2498" spans="1:11">
      <c r="A2498" s="1">
        <v>45015</v>
      </c>
      <c r="B2498" t="s">
        <v>21</v>
      </c>
      <c r="C2498" t="s">
        <v>57</v>
      </c>
      <c r="D2498">
        <v>39</v>
      </c>
      <c r="E2498">
        <v>13</v>
      </c>
      <c r="F2498">
        <v>6</v>
      </c>
      <c r="G2498">
        <v>11</v>
      </c>
      <c r="H2498">
        <v>70</v>
      </c>
      <c r="I2498" s="1">
        <v>44986</v>
      </c>
      <c r="J2498">
        <v>17</v>
      </c>
      <c r="K2498" t="s">
        <v>26</v>
      </c>
    </row>
    <row r="2499" spans="1:11">
      <c r="A2499" s="1">
        <v>45015</v>
      </c>
      <c r="B2499" t="s">
        <v>21</v>
      </c>
      <c r="C2499" t="s">
        <v>54</v>
      </c>
      <c r="D2499">
        <v>118</v>
      </c>
      <c r="E2499">
        <v>90</v>
      </c>
      <c r="F2499">
        <v>26</v>
      </c>
      <c r="G2499">
        <v>13</v>
      </c>
      <c r="H2499">
        <v>247</v>
      </c>
      <c r="I2499" s="1">
        <v>44986</v>
      </c>
      <c r="J2499">
        <v>39</v>
      </c>
      <c r="K2499" t="s">
        <v>26</v>
      </c>
    </row>
    <row r="2500" spans="1:11">
      <c r="A2500" s="1">
        <v>45015</v>
      </c>
      <c r="B2500" t="s">
        <v>21</v>
      </c>
      <c r="C2500" t="s">
        <v>60</v>
      </c>
      <c r="D2500">
        <v>169</v>
      </c>
      <c r="E2500">
        <v>46</v>
      </c>
      <c r="F2500">
        <v>10</v>
      </c>
      <c r="G2500">
        <v>8</v>
      </c>
      <c r="H2500">
        <v>234</v>
      </c>
      <c r="I2500" s="1">
        <v>44986</v>
      </c>
      <c r="J2500">
        <v>18</v>
      </c>
      <c r="K2500" t="s">
        <v>26</v>
      </c>
    </row>
    <row r="2501" spans="1:11">
      <c r="A2501" s="1">
        <v>45015</v>
      </c>
      <c r="B2501" t="s">
        <v>21</v>
      </c>
      <c r="C2501" t="s">
        <v>67</v>
      </c>
      <c r="D2501">
        <v>154</v>
      </c>
      <c r="E2501">
        <v>36</v>
      </c>
      <c r="F2501">
        <v>14</v>
      </c>
      <c r="G2501">
        <v>6</v>
      </c>
      <c r="H2501">
        <v>211</v>
      </c>
      <c r="I2501" s="1">
        <v>44986</v>
      </c>
      <c r="J2501">
        <v>20</v>
      </c>
      <c r="K2501" t="s">
        <v>26</v>
      </c>
    </row>
    <row r="2502" spans="1:11">
      <c r="A2502" s="1">
        <v>45043</v>
      </c>
      <c r="B2502" t="s">
        <v>21</v>
      </c>
      <c r="C2502" t="s">
        <v>64</v>
      </c>
      <c r="D2502">
        <v>3303</v>
      </c>
      <c r="E2502">
        <v>1675</v>
      </c>
      <c r="F2502">
        <v>710</v>
      </c>
      <c r="G2502">
        <v>924</v>
      </c>
      <c r="H2502">
        <v>6612</v>
      </c>
      <c r="I2502" s="1">
        <v>45017</v>
      </c>
      <c r="J2502">
        <v>1634</v>
      </c>
      <c r="K2502" t="s">
        <v>26</v>
      </c>
    </row>
    <row r="2503" spans="1:11">
      <c r="A2503" s="1">
        <v>45043</v>
      </c>
      <c r="B2503" t="s">
        <v>21</v>
      </c>
      <c r="C2503" t="s">
        <v>65</v>
      </c>
      <c r="D2503">
        <v>126</v>
      </c>
      <c r="E2503">
        <v>42</v>
      </c>
      <c r="F2503">
        <v>12</v>
      </c>
      <c r="G2503">
        <v>21</v>
      </c>
      <c r="H2503">
        <v>201</v>
      </c>
      <c r="I2503" s="1">
        <v>45017</v>
      </c>
      <c r="J2503">
        <v>33</v>
      </c>
      <c r="K2503" t="s">
        <v>26</v>
      </c>
    </row>
    <row r="2504" spans="1:11">
      <c r="A2504" s="1">
        <v>45043</v>
      </c>
      <c r="B2504" t="s">
        <v>21</v>
      </c>
      <c r="C2504" t="s">
        <v>66</v>
      </c>
      <c r="D2504">
        <v>212</v>
      </c>
      <c r="E2504">
        <v>91</v>
      </c>
      <c r="F2504">
        <v>36</v>
      </c>
      <c r="G2504">
        <v>76</v>
      </c>
      <c r="H2504">
        <v>416</v>
      </c>
      <c r="I2504" s="1">
        <v>45017</v>
      </c>
      <c r="J2504">
        <v>112</v>
      </c>
      <c r="K2504" t="s">
        <v>26</v>
      </c>
    </row>
    <row r="2505" spans="1:11">
      <c r="A2505" s="1">
        <v>45043</v>
      </c>
      <c r="B2505" t="s">
        <v>21</v>
      </c>
      <c r="C2505" t="s">
        <v>57</v>
      </c>
      <c r="D2505">
        <v>41</v>
      </c>
      <c r="E2505">
        <v>19</v>
      </c>
      <c r="F2505">
        <v>8</v>
      </c>
      <c r="G2505">
        <v>11</v>
      </c>
      <c r="H2505">
        <v>79</v>
      </c>
      <c r="I2505" s="1">
        <v>45017</v>
      </c>
      <c r="J2505">
        <v>19</v>
      </c>
      <c r="K2505" t="s">
        <v>26</v>
      </c>
    </row>
    <row r="2506" spans="1:11">
      <c r="A2506" s="1">
        <v>45043</v>
      </c>
      <c r="B2506" t="s">
        <v>21</v>
      </c>
      <c r="C2506" t="s">
        <v>54</v>
      </c>
      <c r="D2506">
        <v>132</v>
      </c>
      <c r="E2506">
        <v>71</v>
      </c>
      <c r="F2506">
        <v>34</v>
      </c>
      <c r="G2506">
        <v>16</v>
      </c>
      <c r="H2506">
        <v>253</v>
      </c>
      <c r="I2506" s="1">
        <v>45017</v>
      </c>
      <c r="J2506">
        <v>50</v>
      </c>
      <c r="K2506" t="s">
        <v>26</v>
      </c>
    </row>
    <row r="2507" spans="1:11">
      <c r="A2507" s="1">
        <v>45043</v>
      </c>
      <c r="B2507" t="s">
        <v>21</v>
      </c>
      <c r="C2507" t="s">
        <v>60</v>
      </c>
      <c r="D2507">
        <v>170</v>
      </c>
      <c r="E2507">
        <v>56</v>
      </c>
      <c r="F2507">
        <v>10</v>
      </c>
      <c r="G2507">
        <v>8</v>
      </c>
      <c r="H2507">
        <v>245</v>
      </c>
      <c r="I2507" s="1">
        <v>45017</v>
      </c>
      <c r="J2507">
        <v>18</v>
      </c>
      <c r="K2507" t="s">
        <v>26</v>
      </c>
    </row>
    <row r="2508" spans="1:11">
      <c r="A2508" s="1">
        <v>45043</v>
      </c>
      <c r="B2508" t="s">
        <v>21</v>
      </c>
      <c r="C2508" t="s">
        <v>67</v>
      </c>
      <c r="D2508">
        <v>175</v>
      </c>
      <c r="E2508">
        <v>41</v>
      </c>
      <c r="F2508">
        <v>17</v>
      </c>
      <c r="G2508">
        <v>6</v>
      </c>
      <c r="H2508">
        <v>240</v>
      </c>
      <c r="I2508" s="1">
        <v>45017</v>
      </c>
      <c r="J2508">
        <v>23</v>
      </c>
      <c r="K2508" t="s">
        <v>26</v>
      </c>
    </row>
    <row r="2509" spans="1:11">
      <c r="A2509" s="1">
        <v>45071</v>
      </c>
      <c r="B2509" t="s">
        <v>21</v>
      </c>
      <c r="C2509" t="s">
        <v>64</v>
      </c>
      <c r="D2509">
        <v>3395</v>
      </c>
      <c r="E2509">
        <v>1686</v>
      </c>
      <c r="F2509">
        <v>730</v>
      </c>
      <c r="G2509">
        <v>935</v>
      </c>
      <c r="H2509">
        <v>6746</v>
      </c>
      <c r="I2509" s="1">
        <v>45047</v>
      </c>
      <c r="J2509">
        <v>1665</v>
      </c>
      <c r="K2509" t="s">
        <v>26</v>
      </c>
    </row>
    <row r="2510" spans="1:11">
      <c r="A2510" s="1">
        <v>45071</v>
      </c>
      <c r="B2510" t="s">
        <v>21</v>
      </c>
      <c r="C2510" t="s">
        <v>65</v>
      </c>
      <c r="D2510">
        <v>134</v>
      </c>
      <c r="E2510">
        <v>44</v>
      </c>
      <c r="F2510">
        <v>12</v>
      </c>
      <c r="G2510">
        <v>18</v>
      </c>
      <c r="H2510">
        <v>209</v>
      </c>
      <c r="I2510" s="1">
        <v>45047</v>
      </c>
      <c r="J2510">
        <v>30</v>
      </c>
      <c r="K2510" t="s">
        <v>26</v>
      </c>
    </row>
    <row r="2511" spans="1:11">
      <c r="A2511" s="1">
        <v>45071</v>
      </c>
      <c r="B2511" t="s">
        <v>21</v>
      </c>
      <c r="C2511" t="s">
        <v>66</v>
      </c>
      <c r="D2511">
        <v>228</v>
      </c>
      <c r="E2511">
        <v>84</v>
      </c>
      <c r="F2511">
        <v>40</v>
      </c>
      <c r="G2511">
        <v>79</v>
      </c>
      <c r="H2511">
        <v>432</v>
      </c>
      <c r="I2511" s="1">
        <v>45047</v>
      </c>
      <c r="J2511">
        <v>119</v>
      </c>
      <c r="K2511" t="s">
        <v>26</v>
      </c>
    </row>
    <row r="2512" spans="1:11">
      <c r="A2512" s="1">
        <v>45071</v>
      </c>
      <c r="B2512" t="s">
        <v>21</v>
      </c>
      <c r="C2512" t="s">
        <v>57</v>
      </c>
      <c r="D2512">
        <v>26</v>
      </c>
      <c r="E2512">
        <v>22</v>
      </c>
      <c r="F2512">
        <v>8</v>
      </c>
      <c r="G2512">
        <v>11</v>
      </c>
      <c r="H2512">
        <v>67</v>
      </c>
      <c r="I2512" s="1">
        <v>45047</v>
      </c>
      <c r="J2512">
        <v>19</v>
      </c>
      <c r="K2512" t="s">
        <v>26</v>
      </c>
    </row>
    <row r="2513" spans="1:11">
      <c r="A2513" s="1">
        <v>45071</v>
      </c>
      <c r="B2513" t="s">
        <v>21</v>
      </c>
      <c r="C2513" t="s">
        <v>54</v>
      </c>
      <c r="D2513">
        <v>114</v>
      </c>
      <c r="E2513">
        <v>72</v>
      </c>
      <c r="F2513">
        <v>37</v>
      </c>
      <c r="G2513">
        <v>18</v>
      </c>
      <c r="H2513">
        <v>241</v>
      </c>
      <c r="I2513" s="1">
        <v>45047</v>
      </c>
      <c r="J2513">
        <v>55</v>
      </c>
      <c r="K2513" t="s">
        <v>26</v>
      </c>
    </row>
    <row r="2514" spans="1:11">
      <c r="A2514" s="1">
        <v>45071</v>
      </c>
      <c r="B2514" t="s">
        <v>21</v>
      </c>
      <c r="C2514" t="s">
        <v>60</v>
      </c>
      <c r="D2514">
        <v>184</v>
      </c>
      <c r="E2514">
        <v>54</v>
      </c>
      <c r="F2514">
        <v>10</v>
      </c>
      <c r="G2514">
        <v>6</v>
      </c>
      <c r="H2514">
        <v>255</v>
      </c>
      <c r="I2514" s="1">
        <v>45047</v>
      </c>
      <c r="J2514">
        <v>16</v>
      </c>
      <c r="K2514" t="s">
        <v>26</v>
      </c>
    </row>
    <row r="2515" spans="1:11">
      <c r="A2515" s="1">
        <v>45071</v>
      </c>
      <c r="B2515" t="s">
        <v>21</v>
      </c>
      <c r="C2515" t="s">
        <v>67</v>
      </c>
      <c r="D2515">
        <v>187</v>
      </c>
      <c r="E2515">
        <v>41</v>
      </c>
      <c r="F2515">
        <v>14</v>
      </c>
      <c r="G2515">
        <v>6</v>
      </c>
      <c r="H2515">
        <v>249</v>
      </c>
      <c r="I2515" s="1">
        <v>45047</v>
      </c>
      <c r="J2515">
        <v>20</v>
      </c>
      <c r="K2515" t="s">
        <v>26</v>
      </c>
    </row>
    <row r="2516" spans="1:11">
      <c r="A2516" s="1">
        <v>45106</v>
      </c>
      <c r="B2516" t="s">
        <v>21</v>
      </c>
      <c r="C2516" t="s">
        <v>64</v>
      </c>
      <c r="D2516">
        <v>3588</v>
      </c>
      <c r="E2516">
        <v>1671</v>
      </c>
      <c r="F2516">
        <v>715</v>
      </c>
      <c r="G2516">
        <v>959</v>
      </c>
      <c r="H2516">
        <v>6933</v>
      </c>
      <c r="I2516" s="1">
        <v>45078</v>
      </c>
      <c r="J2516">
        <v>1674</v>
      </c>
      <c r="K2516" t="s">
        <v>26</v>
      </c>
    </row>
    <row r="2517" spans="1:11">
      <c r="A2517" s="1">
        <v>45106</v>
      </c>
      <c r="B2517" t="s">
        <v>21</v>
      </c>
      <c r="C2517" t="s">
        <v>65</v>
      </c>
      <c r="D2517">
        <v>127</v>
      </c>
      <c r="E2517">
        <v>55</v>
      </c>
      <c r="F2517">
        <v>21</v>
      </c>
      <c r="G2517">
        <v>17</v>
      </c>
      <c r="H2517">
        <v>220</v>
      </c>
      <c r="I2517" s="1">
        <v>45078</v>
      </c>
      <c r="J2517">
        <v>38</v>
      </c>
      <c r="K2517" t="s">
        <v>26</v>
      </c>
    </row>
    <row r="2518" spans="1:11">
      <c r="A2518" s="1">
        <v>45106</v>
      </c>
      <c r="B2518" t="s">
        <v>21</v>
      </c>
      <c r="C2518" t="s">
        <v>66</v>
      </c>
      <c r="D2518">
        <v>231</v>
      </c>
      <c r="E2518">
        <v>86</v>
      </c>
      <c r="F2518">
        <v>45</v>
      </c>
      <c r="G2518">
        <v>71</v>
      </c>
      <c r="H2518">
        <v>434</v>
      </c>
      <c r="I2518" s="1">
        <v>45078</v>
      </c>
      <c r="J2518">
        <v>116</v>
      </c>
      <c r="K2518" t="s">
        <v>26</v>
      </c>
    </row>
    <row r="2519" spans="1:11">
      <c r="A2519" s="1">
        <v>45106</v>
      </c>
      <c r="B2519" t="s">
        <v>21</v>
      </c>
      <c r="C2519" t="s">
        <v>57</v>
      </c>
      <c r="D2519">
        <v>31</v>
      </c>
      <c r="E2519">
        <v>15</v>
      </c>
      <c r="F2519">
        <v>11</v>
      </c>
      <c r="G2519">
        <v>11</v>
      </c>
      <c r="H2519">
        <v>67</v>
      </c>
      <c r="I2519" s="1">
        <v>45078</v>
      </c>
      <c r="J2519">
        <v>22</v>
      </c>
      <c r="K2519" t="s">
        <v>26</v>
      </c>
    </row>
    <row r="2520" spans="1:11">
      <c r="A2520" s="1">
        <v>45106</v>
      </c>
      <c r="B2520" t="s">
        <v>21</v>
      </c>
      <c r="C2520" t="s">
        <v>54</v>
      </c>
      <c r="D2520">
        <v>132</v>
      </c>
      <c r="E2520">
        <v>65</v>
      </c>
      <c r="F2520">
        <v>41</v>
      </c>
      <c r="G2520">
        <v>17</v>
      </c>
      <c r="H2520">
        <v>255</v>
      </c>
      <c r="I2520" s="1">
        <v>45078</v>
      </c>
      <c r="J2520">
        <v>58</v>
      </c>
      <c r="K2520" t="s">
        <v>26</v>
      </c>
    </row>
    <row r="2521" spans="1:11">
      <c r="A2521" s="1">
        <v>45106</v>
      </c>
      <c r="B2521" t="s">
        <v>21</v>
      </c>
      <c r="C2521" t="s">
        <v>60</v>
      </c>
      <c r="D2521">
        <v>212</v>
      </c>
      <c r="E2521">
        <v>50</v>
      </c>
      <c r="F2521">
        <v>16</v>
      </c>
      <c r="G2521">
        <v>4</v>
      </c>
      <c r="H2521">
        <v>281</v>
      </c>
      <c r="I2521" s="1">
        <v>45078</v>
      </c>
      <c r="J2521">
        <v>20</v>
      </c>
      <c r="K2521" t="s">
        <v>26</v>
      </c>
    </row>
    <row r="2522" spans="1:11">
      <c r="A2522" s="1">
        <v>45106</v>
      </c>
      <c r="B2522" t="s">
        <v>21</v>
      </c>
      <c r="C2522" t="s">
        <v>59</v>
      </c>
      <c r="D2522">
        <v>344</v>
      </c>
      <c r="E2522">
        <v>153</v>
      </c>
      <c r="F2522">
        <v>10</v>
      </c>
      <c r="G2522">
        <v>4</v>
      </c>
      <c r="H2522">
        <v>511</v>
      </c>
      <c r="I2522" s="1">
        <v>45078</v>
      </c>
      <c r="J2522">
        <v>14</v>
      </c>
      <c r="K2522" t="s">
        <v>26</v>
      </c>
    </row>
    <row r="2523" spans="1:11">
      <c r="A2523" s="1">
        <v>45106</v>
      </c>
      <c r="B2523" t="s">
        <v>21</v>
      </c>
      <c r="C2523" t="s">
        <v>67</v>
      </c>
      <c r="D2523">
        <v>208</v>
      </c>
      <c r="E2523">
        <v>36</v>
      </c>
      <c r="F2523">
        <v>15</v>
      </c>
      <c r="G2523">
        <v>9</v>
      </c>
      <c r="H2523">
        <v>268</v>
      </c>
      <c r="I2523" s="1">
        <v>45078</v>
      </c>
      <c r="J2523">
        <v>24</v>
      </c>
      <c r="K2523" t="s">
        <v>26</v>
      </c>
    </row>
    <row r="2524" spans="1:11">
      <c r="A2524" s="1">
        <v>45134</v>
      </c>
      <c r="B2524" t="s">
        <v>21</v>
      </c>
      <c r="C2524" t="s">
        <v>64</v>
      </c>
      <c r="D2524">
        <v>3537</v>
      </c>
      <c r="E2524">
        <v>1582</v>
      </c>
      <c r="F2524">
        <v>789</v>
      </c>
      <c r="G2524">
        <v>900</v>
      </c>
      <c r="H2524">
        <v>6808</v>
      </c>
      <c r="I2524" s="1">
        <v>45108</v>
      </c>
      <c r="J2524">
        <v>1689</v>
      </c>
      <c r="K2524" t="s">
        <v>26</v>
      </c>
    </row>
    <row r="2525" spans="1:11">
      <c r="A2525" s="1">
        <v>45134</v>
      </c>
      <c r="B2525" t="s">
        <v>21</v>
      </c>
      <c r="C2525" t="s">
        <v>65</v>
      </c>
      <c r="D2525">
        <v>141</v>
      </c>
      <c r="E2525">
        <v>52</v>
      </c>
      <c r="F2525">
        <v>21</v>
      </c>
      <c r="G2525">
        <v>16</v>
      </c>
      <c r="H2525">
        <v>229</v>
      </c>
      <c r="I2525" s="1">
        <v>45108</v>
      </c>
      <c r="J2525">
        <v>37</v>
      </c>
      <c r="K2525" t="s">
        <v>26</v>
      </c>
    </row>
    <row r="2526" spans="1:11">
      <c r="A2526" s="1">
        <v>45134</v>
      </c>
      <c r="B2526" t="s">
        <v>21</v>
      </c>
      <c r="C2526" t="s">
        <v>66</v>
      </c>
      <c r="D2526">
        <v>253</v>
      </c>
      <c r="E2526">
        <v>73</v>
      </c>
      <c r="F2526">
        <v>46</v>
      </c>
      <c r="G2526">
        <v>71</v>
      </c>
      <c r="H2526">
        <v>442</v>
      </c>
      <c r="I2526" s="1">
        <v>45108</v>
      </c>
      <c r="J2526">
        <v>117</v>
      </c>
      <c r="K2526" t="s">
        <v>26</v>
      </c>
    </row>
    <row r="2527" spans="1:11">
      <c r="A2527" s="1">
        <v>45134</v>
      </c>
      <c r="B2527" t="s">
        <v>21</v>
      </c>
      <c r="C2527" t="s">
        <v>57</v>
      </c>
      <c r="D2527">
        <v>28</v>
      </c>
      <c r="E2527">
        <v>13</v>
      </c>
      <c r="F2527">
        <v>6</v>
      </c>
      <c r="G2527">
        <v>11</v>
      </c>
      <c r="H2527">
        <v>57</v>
      </c>
      <c r="I2527" s="1">
        <v>45108</v>
      </c>
      <c r="J2527">
        <v>17</v>
      </c>
      <c r="K2527" t="s">
        <v>26</v>
      </c>
    </row>
    <row r="2528" spans="1:11">
      <c r="A2528" s="1">
        <v>45134</v>
      </c>
      <c r="B2528" t="s">
        <v>21</v>
      </c>
      <c r="C2528" t="s">
        <v>54</v>
      </c>
      <c r="D2528">
        <v>137</v>
      </c>
      <c r="E2528">
        <v>59</v>
      </c>
      <c r="F2528">
        <v>48</v>
      </c>
      <c r="G2528">
        <v>14</v>
      </c>
      <c r="H2528">
        <v>258</v>
      </c>
      <c r="I2528" s="1">
        <v>45108</v>
      </c>
      <c r="J2528">
        <v>62</v>
      </c>
      <c r="K2528" t="s">
        <v>26</v>
      </c>
    </row>
    <row r="2529" spans="1:11">
      <c r="A2529" s="1">
        <v>45134</v>
      </c>
      <c r="B2529" t="s">
        <v>21</v>
      </c>
      <c r="C2529" t="s">
        <v>60</v>
      </c>
      <c r="D2529">
        <v>268</v>
      </c>
      <c r="E2529">
        <v>40</v>
      </c>
      <c r="F2529">
        <v>18</v>
      </c>
      <c r="G2529">
        <v>6</v>
      </c>
      <c r="H2529">
        <v>331</v>
      </c>
      <c r="I2529" s="1">
        <v>45108</v>
      </c>
      <c r="J2529">
        <v>24</v>
      </c>
      <c r="K2529" t="s">
        <v>26</v>
      </c>
    </row>
    <row r="2530" spans="1:11">
      <c r="A2530" s="1">
        <v>45134</v>
      </c>
      <c r="B2530" t="s">
        <v>21</v>
      </c>
      <c r="C2530" t="s">
        <v>67</v>
      </c>
      <c r="D2530">
        <v>237</v>
      </c>
      <c r="E2530">
        <v>23</v>
      </c>
      <c r="F2530">
        <v>14</v>
      </c>
      <c r="G2530">
        <v>10</v>
      </c>
      <c r="H2530">
        <v>283</v>
      </c>
      <c r="I2530" s="1">
        <v>45108</v>
      </c>
      <c r="J2530">
        <v>24</v>
      </c>
      <c r="K2530" t="s">
        <v>26</v>
      </c>
    </row>
    <row r="2531" spans="1:11">
      <c r="A2531" s="1">
        <v>45169</v>
      </c>
      <c r="B2531" t="s">
        <v>21</v>
      </c>
      <c r="C2531" t="s">
        <v>48</v>
      </c>
      <c r="D2531">
        <v>35</v>
      </c>
      <c r="E2531">
        <v>4</v>
      </c>
      <c r="F2531">
        <v>4</v>
      </c>
      <c r="G2531">
        <v>4</v>
      </c>
      <c r="H2531">
        <v>47</v>
      </c>
      <c r="I2531" s="1">
        <v>45139</v>
      </c>
      <c r="J2531">
        <v>8</v>
      </c>
      <c r="K2531" t="s">
        <v>26</v>
      </c>
    </row>
    <row r="2532" spans="1:11">
      <c r="A2532" s="1">
        <v>45169</v>
      </c>
      <c r="B2532" t="s">
        <v>21</v>
      </c>
      <c r="C2532" t="s">
        <v>64</v>
      </c>
      <c r="D2532">
        <v>3388</v>
      </c>
      <c r="E2532">
        <v>1561</v>
      </c>
      <c r="F2532">
        <v>851</v>
      </c>
      <c r="G2532">
        <v>871</v>
      </c>
      <c r="H2532">
        <v>6671</v>
      </c>
      <c r="I2532" s="1">
        <v>45139</v>
      </c>
      <c r="J2532">
        <v>1722</v>
      </c>
      <c r="K2532" t="s">
        <v>26</v>
      </c>
    </row>
    <row r="2533" spans="1:11">
      <c r="A2533" s="1">
        <v>45169</v>
      </c>
      <c r="B2533" t="s">
        <v>21</v>
      </c>
      <c r="C2533" t="s">
        <v>65</v>
      </c>
      <c r="D2533">
        <v>136</v>
      </c>
      <c r="E2533">
        <v>68</v>
      </c>
      <c r="F2533">
        <v>17</v>
      </c>
      <c r="G2533">
        <v>16</v>
      </c>
      <c r="H2533">
        <v>236</v>
      </c>
      <c r="I2533" s="1">
        <v>45139</v>
      </c>
      <c r="J2533">
        <v>33</v>
      </c>
      <c r="K2533" t="s">
        <v>26</v>
      </c>
    </row>
    <row r="2534" spans="1:11">
      <c r="A2534" s="1">
        <v>45169</v>
      </c>
      <c r="B2534" t="s">
        <v>21</v>
      </c>
      <c r="C2534" t="s">
        <v>66</v>
      </c>
      <c r="D2534">
        <v>295</v>
      </c>
      <c r="E2534">
        <v>83</v>
      </c>
      <c r="F2534">
        <v>40</v>
      </c>
      <c r="G2534">
        <v>66</v>
      </c>
      <c r="H2534">
        <v>483</v>
      </c>
      <c r="I2534" s="1">
        <v>45139</v>
      </c>
      <c r="J2534">
        <v>106</v>
      </c>
      <c r="K2534" t="s">
        <v>26</v>
      </c>
    </row>
    <row r="2535" spans="1:11">
      <c r="A2535" s="1">
        <v>45169</v>
      </c>
      <c r="B2535" t="s">
        <v>21</v>
      </c>
      <c r="C2535" t="s">
        <v>57</v>
      </c>
      <c r="D2535">
        <v>32</v>
      </c>
      <c r="E2535">
        <v>14</v>
      </c>
      <c r="F2535">
        <v>8</v>
      </c>
      <c r="G2535">
        <v>9</v>
      </c>
      <c r="H2535">
        <v>62</v>
      </c>
      <c r="I2535" s="1">
        <v>45139</v>
      </c>
      <c r="J2535">
        <v>17</v>
      </c>
      <c r="K2535" t="s">
        <v>26</v>
      </c>
    </row>
    <row r="2536" spans="1:11">
      <c r="A2536" s="1">
        <v>45169</v>
      </c>
      <c r="B2536" t="s">
        <v>21</v>
      </c>
      <c r="C2536" t="s">
        <v>54</v>
      </c>
      <c r="D2536">
        <v>142</v>
      </c>
      <c r="E2536">
        <v>56</v>
      </c>
      <c r="F2536">
        <v>48</v>
      </c>
      <c r="G2536">
        <v>23</v>
      </c>
      <c r="H2536">
        <v>269</v>
      </c>
      <c r="I2536" s="1">
        <v>45139</v>
      </c>
      <c r="J2536">
        <v>71</v>
      </c>
      <c r="K2536" t="s">
        <v>26</v>
      </c>
    </row>
    <row r="2537" spans="1:11">
      <c r="A2537" s="1">
        <v>45169</v>
      </c>
      <c r="B2537" t="s">
        <v>21</v>
      </c>
      <c r="C2537" t="s">
        <v>63</v>
      </c>
      <c r="D2537">
        <v>114</v>
      </c>
      <c r="E2537">
        <v>14</v>
      </c>
      <c r="F2537">
        <v>6</v>
      </c>
      <c r="G2537">
        <v>4</v>
      </c>
      <c r="H2537">
        <v>137</v>
      </c>
      <c r="I2537" s="1">
        <v>45139</v>
      </c>
      <c r="J2537">
        <v>10</v>
      </c>
      <c r="K2537" t="s">
        <v>26</v>
      </c>
    </row>
    <row r="2538" spans="1:11">
      <c r="A2538" s="1">
        <v>45169</v>
      </c>
      <c r="B2538" t="s">
        <v>21</v>
      </c>
      <c r="C2538" t="s">
        <v>60</v>
      </c>
      <c r="D2538">
        <v>300</v>
      </c>
      <c r="E2538">
        <v>56</v>
      </c>
      <c r="F2538">
        <v>15</v>
      </c>
      <c r="G2538">
        <v>6</v>
      </c>
      <c r="H2538">
        <v>376</v>
      </c>
      <c r="I2538" s="1">
        <v>45139</v>
      </c>
      <c r="J2538">
        <v>21</v>
      </c>
      <c r="K2538" t="s">
        <v>26</v>
      </c>
    </row>
    <row r="2539" spans="1:11">
      <c r="A2539" s="1">
        <v>45169</v>
      </c>
      <c r="B2539" t="s">
        <v>21</v>
      </c>
      <c r="C2539" t="s">
        <v>67</v>
      </c>
      <c r="D2539">
        <v>245</v>
      </c>
      <c r="E2539">
        <v>31</v>
      </c>
      <c r="F2539">
        <v>12</v>
      </c>
      <c r="G2539">
        <v>13</v>
      </c>
      <c r="H2539">
        <v>300</v>
      </c>
      <c r="I2539" s="1">
        <v>45139</v>
      </c>
      <c r="J2539">
        <v>25</v>
      </c>
      <c r="K2539" t="s">
        <v>26</v>
      </c>
    </row>
    <row r="2540" spans="1:11">
      <c r="A2540" s="1">
        <v>45197</v>
      </c>
      <c r="B2540" t="s">
        <v>21</v>
      </c>
      <c r="C2540" t="s">
        <v>48</v>
      </c>
      <c r="D2540">
        <v>21</v>
      </c>
      <c r="E2540">
        <v>6</v>
      </c>
      <c r="F2540">
        <v>2</v>
      </c>
      <c r="G2540">
        <v>7</v>
      </c>
      <c r="H2540">
        <v>35</v>
      </c>
      <c r="I2540" s="1">
        <v>45170</v>
      </c>
      <c r="J2540">
        <v>9</v>
      </c>
      <c r="K2540" t="s">
        <v>26</v>
      </c>
    </row>
    <row r="2541" spans="1:11">
      <c r="A2541" s="1">
        <v>45197</v>
      </c>
      <c r="B2541" t="s">
        <v>21</v>
      </c>
      <c r="C2541" t="s">
        <v>64</v>
      </c>
      <c r="D2541">
        <v>3133</v>
      </c>
      <c r="E2541">
        <v>1692</v>
      </c>
      <c r="F2541">
        <v>855</v>
      </c>
      <c r="G2541">
        <v>894</v>
      </c>
      <c r="H2541">
        <v>6573</v>
      </c>
      <c r="I2541" s="1">
        <v>45170</v>
      </c>
      <c r="J2541">
        <v>1749</v>
      </c>
      <c r="K2541" t="s">
        <v>26</v>
      </c>
    </row>
    <row r="2542" spans="1:11">
      <c r="A2542" s="1">
        <v>45197</v>
      </c>
      <c r="B2542" t="s">
        <v>21</v>
      </c>
      <c r="C2542" t="s">
        <v>65</v>
      </c>
      <c r="D2542">
        <v>123</v>
      </c>
      <c r="E2542">
        <v>72</v>
      </c>
      <c r="F2542">
        <v>14</v>
      </c>
      <c r="G2542">
        <v>18</v>
      </c>
      <c r="H2542">
        <v>227</v>
      </c>
      <c r="I2542" s="1">
        <v>45170</v>
      </c>
      <c r="J2542">
        <v>32</v>
      </c>
      <c r="K2542" t="s">
        <v>26</v>
      </c>
    </row>
    <row r="2543" spans="1:11">
      <c r="A2543" s="1">
        <v>45197</v>
      </c>
      <c r="B2543" t="s">
        <v>21</v>
      </c>
      <c r="C2543" t="s">
        <v>66</v>
      </c>
      <c r="D2543">
        <v>336</v>
      </c>
      <c r="E2543">
        <v>91</v>
      </c>
      <c r="F2543">
        <v>36</v>
      </c>
      <c r="G2543">
        <v>66</v>
      </c>
      <c r="H2543">
        <v>530</v>
      </c>
      <c r="I2543" s="1">
        <v>45170</v>
      </c>
      <c r="J2543">
        <v>102</v>
      </c>
      <c r="K2543" t="s">
        <v>26</v>
      </c>
    </row>
    <row r="2544" spans="1:11">
      <c r="A2544" s="1">
        <v>45197</v>
      </c>
      <c r="B2544" t="s">
        <v>21</v>
      </c>
      <c r="C2544" t="s">
        <v>57</v>
      </c>
      <c r="D2544">
        <v>30</v>
      </c>
      <c r="E2544">
        <v>13</v>
      </c>
      <c r="F2544">
        <v>8</v>
      </c>
      <c r="G2544">
        <v>7</v>
      </c>
      <c r="H2544">
        <v>57</v>
      </c>
      <c r="I2544" s="1">
        <v>45170</v>
      </c>
      <c r="J2544">
        <v>15</v>
      </c>
      <c r="K2544" t="s">
        <v>26</v>
      </c>
    </row>
    <row r="2545" spans="1:11">
      <c r="A2545" s="1">
        <v>45197</v>
      </c>
      <c r="B2545" t="s">
        <v>21</v>
      </c>
      <c r="C2545" t="s">
        <v>54</v>
      </c>
      <c r="D2545">
        <v>119</v>
      </c>
      <c r="E2545">
        <v>62</v>
      </c>
      <c r="F2545">
        <v>35</v>
      </c>
      <c r="G2545">
        <v>26</v>
      </c>
      <c r="H2545">
        <v>241</v>
      </c>
      <c r="I2545" s="1">
        <v>45170</v>
      </c>
      <c r="J2545">
        <v>61</v>
      </c>
      <c r="K2545" t="s">
        <v>26</v>
      </c>
    </row>
    <row r="2546" spans="1:11">
      <c r="A2546" s="1">
        <v>45197</v>
      </c>
      <c r="B2546" t="s">
        <v>21</v>
      </c>
      <c r="C2546" t="s">
        <v>52</v>
      </c>
      <c r="D2546">
        <v>75</v>
      </c>
      <c r="E2546">
        <v>31</v>
      </c>
      <c r="F2546">
        <v>20</v>
      </c>
      <c r="G2546">
        <v>6</v>
      </c>
      <c r="H2546">
        <v>132</v>
      </c>
      <c r="I2546" s="1">
        <v>45170</v>
      </c>
      <c r="J2546">
        <v>26</v>
      </c>
      <c r="K2546" t="s">
        <v>26</v>
      </c>
    </row>
    <row r="2547" spans="1:11">
      <c r="A2547" s="1">
        <v>45197</v>
      </c>
      <c r="B2547" t="s">
        <v>21</v>
      </c>
      <c r="C2547" t="s">
        <v>63</v>
      </c>
      <c r="D2547">
        <v>114</v>
      </c>
      <c r="E2547">
        <v>21</v>
      </c>
      <c r="F2547">
        <v>4</v>
      </c>
      <c r="G2547">
        <v>6</v>
      </c>
      <c r="H2547">
        <v>144</v>
      </c>
      <c r="I2547" s="1">
        <v>45170</v>
      </c>
      <c r="J2547">
        <v>10</v>
      </c>
      <c r="K2547" t="s">
        <v>26</v>
      </c>
    </row>
    <row r="2548" spans="1:11">
      <c r="A2548" s="1">
        <v>45197</v>
      </c>
      <c r="B2548" t="s">
        <v>21</v>
      </c>
      <c r="C2548" t="s">
        <v>60</v>
      </c>
      <c r="D2548">
        <v>322</v>
      </c>
      <c r="E2548">
        <v>62</v>
      </c>
      <c r="F2548">
        <v>11</v>
      </c>
      <c r="G2548">
        <v>4</v>
      </c>
      <c r="H2548">
        <v>399</v>
      </c>
      <c r="I2548" s="1">
        <v>45170</v>
      </c>
      <c r="J2548">
        <v>15</v>
      </c>
      <c r="K2548" t="s">
        <v>26</v>
      </c>
    </row>
    <row r="2549" spans="1:11">
      <c r="A2549" s="1">
        <v>45197</v>
      </c>
      <c r="B2549" t="s">
        <v>21</v>
      </c>
      <c r="C2549" t="s">
        <v>67</v>
      </c>
      <c r="D2549">
        <v>244</v>
      </c>
      <c r="E2549">
        <v>35</v>
      </c>
      <c r="F2549">
        <v>11</v>
      </c>
      <c r="G2549">
        <v>13</v>
      </c>
      <c r="H2549">
        <v>303</v>
      </c>
      <c r="I2549" s="1">
        <v>45170</v>
      </c>
      <c r="J2549">
        <v>24</v>
      </c>
      <c r="K2549" t="s">
        <v>26</v>
      </c>
    </row>
    <row r="2550" spans="1:11">
      <c r="A2550" s="1">
        <v>45225</v>
      </c>
      <c r="B2550" t="s">
        <v>21</v>
      </c>
      <c r="C2550" t="s">
        <v>64</v>
      </c>
      <c r="D2550">
        <v>3113</v>
      </c>
      <c r="E2550">
        <v>1692</v>
      </c>
      <c r="F2550">
        <v>894</v>
      </c>
      <c r="G2550">
        <v>950</v>
      </c>
      <c r="H2550">
        <v>6649</v>
      </c>
      <c r="I2550" s="1">
        <v>45200</v>
      </c>
      <c r="J2550">
        <v>1844</v>
      </c>
      <c r="K2550" t="s">
        <v>26</v>
      </c>
    </row>
    <row r="2551" spans="1:11">
      <c r="A2551" s="1">
        <v>45225</v>
      </c>
      <c r="B2551" t="s">
        <v>21</v>
      </c>
      <c r="C2551" t="s">
        <v>65</v>
      </c>
      <c r="D2551">
        <v>125</v>
      </c>
      <c r="E2551">
        <v>75</v>
      </c>
      <c r="F2551">
        <v>18</v>
      </c>
      <c r="G2551">
        <v>19</v>
      </c>
      <c r="H2551">
        <v>238</v>
      </c>
      <c r="I2551" s="1">
        <v>45200</v>
      </c>
      <c r="J2551">
        <v>37</v>
      </c>
      <c r="K2551" t="s">
        <v>26</v>
      </c>
    </row>
    <row r="2552" spans="1:11">
      <c r="A2552" s="1">
        <v>45225</v>
      </c>
      <c r="B2552" t="s">
        <v>21</v>
      </c>
      <c r="C2552" t="s">
        <v>66</v>
      </c>
      <c r="D2552">
        <v>368</v>
      </c>
      <c r="E2552">
        <v>86</v>
      </c>
      <c r="F2552">
        <v>35</v>
      </c>
      <c r="G2552">
        <v>64</v>
      </c>
      <c r="H2552">
        <v>553</v>
      </c>
      <c r="I2552" s="1">
        <v>45200</v>
      </c>
      <c r="J2552">
        <v>99</v>
      </c>
      <c r="K2552" t="s">
        <v>26</v>
      </c>
    </row>
    <row r="2553" spans="1:11">
      <c r="A2553" s="1">
        <v>45225</v>
      </c>
      <c r="B2553" t="s">
        <v>21</v>
      </c>
      <c r="C2553" t="s">
        <v>57</v>
      </c>
      <c r="D2553">
        <v>25</v>
      </c>
      <c r="E2553">
        <v>16</v>
      </c>
      <c r="F2553">
        <v>6</v>
      </c>
      <c r="G2553">
        <v>4</v>
      </c>
      <c r="H2553">
        <v>50</v>
      </c>
      <c r="I2553" s="1">
        <v>45200</v>
      </c>
      <c r="J2553">
        <v>10</v>
      </c>
      <c r="K2553" t="s">
        <v>26</v>
      </c>
    </row>
    <row r="2554" spans="1:11">
      <c r="A2554" s="1">
        <v>45225</v>
      </c>
      <c r="B2554" t="s">
        <v>21</v>
      </c>
      <c r="C2554" t="s">
        <v>54</v>
      </c>
      <c r="D2554">
        <v>114</v>
      </c>
      <c r="E2554">
        <v>63</v>
      </c>
      <c r="F2554">
        <v>42</v>
      </c>
      <c r="G2554">
        <v>28</v>
      </c>
      <c r="H2554">
        <v>247</v>
      </c>
      <c r="I2554" s="1">
        <v>45200</v>
      </c>
      <c r="J2554">
        <v>70</v>
      </c>
      <c r="K2554" t="s">
        <v>26</v>
      </c>
    </row>
    <row r="2555" spans="1:11">
      <c r="A2555" s="1">
        <v>45225</v>
      </c>
      <c r="B2555" t="s">
        <v>21</v>
      </c>
      <c r="C2555" t="s">
        <v>63</v>
      </c>
      <c r="D2555">
        <v>98</v>
      </c>
      <c r="E2555">
        <v>31</v>
      </c>
      <c r="F2555">
        <v>6</v>
      </c>
      <c r="G2555">
        <v>4</v>
      </c>
      <c r="H2555">
        <v>138</v>
      </c>
      <c r="I2555" s="1">
        <v>45200</v>
      </c>
      <c r="J2555">
        <v>10</v>
      </c>
      <c r="K2555" t="s">
        <v>26</v>
      </c>
    </row>
    <row r="2556" spans="1:11">
      <c r="A2556" s="1">
        <v>45225</v>
      </c>
      <c r="B2556" t="s">
        <v>21</v>
      </c>
      <c r="C2556" t="s">
        <v>60</v>
      </c>
      <c r="D2556">
        <v>291</v>
      </c>
      <c r="E2556">
        <v>60</v>
      </c>
      <c r="F2556">
        <v>12</v>
      </c>
      <c r="G2556">
        <v>4</v>
      </c>
      <c r="H2556">
        <v>366</v>
      </c>
      <c r="I2556" s="1">
        <v>45200</v>
      </c>
      <c r="J2556">
        <v>16</v>
      </c>
      <c r="K2556" t="s">
        <v>26</v>
      </c>
    </row>
    <row r="2557" spans="1:11">
      <c r="A2557" s="1">
        <v>45225</v>
      </c>
      <c r="B2557" t="s">
        <v>21</v>
      </c>
      <c r="C2557" t="s">
        <v>53</v>
      </c>
      <c r="D2557">
        <v>96</v>
      </c>
      <c r="E2557">
        <v>6</v>
      </c>
      <c r="F2557">
        <v>0</v>
      </c>
      <c r="G2557">
        <v>4</v>
      </c>
      <c r="H2557">
        <v>106</v>
      </c>
      <c r="I2557" s="1">
        <v>45200</v>
      </c>
      <c r="J2557">
        <v>4</v>
      </c>
      <c r="K2557" t="s">
        <v>26</v>
      </c>
    </row>
    <row r="2558" spans="1:11">
      <c r="A2558" s="1">
        <v>45225</v>
      </c>
      <c r="B2558" t="s">
        <v>21</v>
      </c>
      <c r="C2558" t="s">
        <v>67</v>
      </c>
      <c r="D2558">
        <v>271</v>
      </c>
      <c r="E2558">
        <v>41</v>
      </c>
      <c r="F2558">
        <v>13</v>
      </c>
      <c r="G2558">
        <v>6</v>
      </c>
      <c r="H2558">
        <v>331</v>
      </c>
      <c r="I2558" s="1">
        <v>45200</v>
      </c>
      <c r="J2558">
        <v>19</v>
      </c>
      <c r="K2558" t="s">
        <v>26</v>
      </c>
    </row>
    <row r="2559" spans="1:11">
      <c r="A2559" s="1">
        <v>45260</v>
      </c>
      <c r="B2559" t="s">
        <v>21</v>
      </c>
      <c r="C2559" t="s">
        <v>64</v>
      </c>
      <c r="D2559">
        <v>3041</v>
      </c>
      <c r="E2559">
        <v>1795</v>
      </c>
      <c r="F2559">
        <v>892</v>
      </c>
      <c r="G2559">
        <v>983</v>
      </c>
      <c r="H2559">
        <v>6710</v>
      </c>
      <c r="I2559" s="1">
        <v>45231</v>
      </c>
      <c r="J2559">
        <v>1875</v>
      </c>
      <c r="K2559" t="s">
        <v>26</v>
      </c>
    </row>
    <row r="2560" spans="1:11">
      <c r="A2560" s="1">
        <v>45260</v>
      </c>
      <c r="B2560" t="s">
        <v>21</v>
      </c>
      <c r="C2560" t="s">
        <v>65</v>
      </c>
      <c r="D2560">
        <v>124</v>
      </c>
      <c r="E2560">
        <v>76</v>
      </c>
      <c r="F2560">
        <v>23</v>
      </c>
      <c r="G2560">
        <v>17</v>
      </c>
      <c r="H2560">
        <v>238</v>
      </c>
      <c r="I2560" s="1">
        <v>45231</v>
      </c>
      <c r="J2560">
        <v>40</v>
      </c>
      <c r="K2560" t="s">
        <v>26</v>
      </c>
    </row>
    <row r="2561" spans="1:11">
      <c r="A2561" s="1">
        <v>45260</v>
      </c>
      <c r="B2561" t="s">
        <v>21</v>
      </c>
      <c r="C2561" t="s">
        <v>66</v>
      </c>
      <c r="D2561">
        <v>385</v>
      </c>
      <c r="E2561">
        <v>93</v>
      </c>
      <c r="F2561">
        <v>42</v>
      </c>
      <c r="G2561">
        <v>67</v>
      </c>
      <c r="H2561">
        <v>588</v>
      </c>
      <c r="I2561" s="1">
        <v>45231</v>
      </c>
      <c r="J2561">
        <v>109</v>
      </c>
      <c r="K2561" t="s">
        <v>26</v>
      </c>
    </row>
    <row r="2562" spans="1:11">
      <c r="A2562" s="1">
        <v>45260</v>
      </c>
      <c r="B2562" t="s">
        <v>21</v>
      </c>
      <c r="C2562" t="s">
        <v>57</v>
      </c>
      <c r="D2562">
        <v>28</v>
      </c>
      <c r="E2562">
        <v>10</v>
      </c>
      <c r="F2562">
        <v>6</v>
      </c>
      <c r="G2562">
        <v>6</v>
      </c>
      <c r="H2562">
        <v>49</v>
      </c>
      <c r="I2562" s="1">
        <v>45231</v>
      </c>
      <c r="J2562">
        <v>12</v>
      </c>
      <c r="K2562" t="s">
        <v>26</v>
      </c>
    </row>
    <row r="2563" spans="1:11">
      <c r="A2563" s="1">
        <v>45260</v>
      </c>
      <c r="B2563" t="s">
        <v>21</v>
      </c>
      <c r="C2563" t="s">
        <v>54</v>
      </c>
      <c r="D2563">
        <v>113</v>
      </c>
      <c r="E2563">
        <v>62</v>
      </c>
      <c r="F2563">
        <v>36</v>
      </c>
      <c r="G2563">
        <v>33</v>
      </c>
      <c r="H2563">
        <v>243</v>
      </c>
      <c r="I2563" s="1">
        <v>45231</v>
      </c>
      <c r="J2563">
        <v>69</v>
      </c>
      <c r="K2563" t="s">
        <v>26</v>
      </c>
    </row>
    <row r="2564" spans="1:11">
      <c r="A2564" s="1">
        <v>45260</v>
      </c>
      <c r="B2564" t="s">
        <v>21</v>
      </c>
      <c r="C2564" t="s">
        <v>63</v>
      </c>
      <c r="D2564">
        <v>87</v>
      </c>
      <c r="E2564">
        <v>37</v>
      </c>
      <c r="F2564">
        <v>8</v>
      </c>
      <c r="G2564">
        <v>4</v>
      </c>
      <c r="H2564">
        <v>135</v>
      </c>
      <c r="I2564" s="1">
        <v>45231</v>
      </c>
      <c r="J2564">
        <v>12</v>
      </c>
      <c r="K2564" t="s">
        <v>26</v>
      </c>
    </row>
    <row r="2565" spans="1:11">
      <c r="A2565" s="1">
        <v>45260</v>
      </c>
      <c r="B2565" t="s">
        <v>21</v>
      </c>
      <c r="C2565" t="s">
        <v>60</v>
      </c>
      <c r="D2565">
        <v>240</v>
      </c>
      <c r="E2565">
        <v>59</v>
      </c>
      <c r="F2565">
        <v>4</v>
      </c>
      <c r="G2565">
        <v>4</v>
      </c>
      <c r="H2565">
        <v>307</v>
      </c>
      <c r="I2565" s="1">
        <v>45231</v>
      </c>
      <c r="J2565">
        <v>8</v>
      </c>
      <c r="K2565" t="s">
        <v>26</v>
      </c>
    </row>
    <row r="2566" spans="1:11">
      <c r="A2566" s="1">
        <v>45260</v>
      </c>
      <c r="B2566" t="s">
        <v>21</v>
      </c>
      <c r="C2566" t="s">
        <v>67</v>
      </c>
      <c r="D2566">
        <v>263</v>
      </c>
      <c r="E2566">
        <v>58</v>
      </c>
      <c r="F2566">
        <v>15</v>
      </c>
      <c r="G2566">
        <v>12</v>
      </c>
      <c r="H2566">
        <v>349</v>
      </c>
      <c r="I2566" s="1">
        <v>45231</v>
      </c>
      <c r="J2566">
        <v>27</v>
      </c>
      <c r="K2566" t="s">
        <v>26</v>
      </c>
    </row>
    <row r="2567" spans="1:11">
      <c r="A2567" s="1">
        <v>45288</v>
      </c>
      <c r="B2567" t="s">
        <v>21</v>
      </c>
      <c r="C2567" t="s">
        <v>64</v>
      </c>
      <c r="D2567">
        <v>3036</v>
      </c>
      <c r="E2567">
        <v>1795</v>
      </c>
      <c r="F2567">
        <v>929</v>
      </c>
      <c r="G2567">
        <v>955</v>
      </c>
      <c r="H2567">
        <v>6715</v>
      </c>
      <c r="I2567" s="1">
        <v>45261</v>
      </c>
      <c r="J2567">
        <v>1884</v>
      </c>
      <c r="K2567" t="s">
        <v>26</v>
      </c>
    </row>
    <row r="2568" spans="1:11">
      <c r="A2568" s="1">
        <v>45288</v>
      </c>
      <c r="B2568" t="s">
        <v>21</v>
      </c>
      <c r="C2568" t="s">
        <v>65</v>
      </c>
      <c r="D2568">
        <v>122</v>
      </c>
      <c r="E2568">
        <v>69</v>
      </c>
      <c r="F2568">
        <v>37</v>
      </c>
      <c r="G2568">
        <v>15</v>
      </c>
      <c r="H2568">
        <v>243</v>
      </c>
      <c r="I2568" s="1">
        <v>45261</v>
      </c>
      <c r="J2568">
        <v>52</v>
      </c>
      <c r="K2568" t="s">
        <v>26</v>
      </c>
    </row>
    <row r="2569" spans="1:11">
      <c r="A2569" s="1">
        <v>45288</v>
      </c>
      <c r="B2569" t="s">
        <v>21</v>
      </c>
      <c r="C2569" t="s">
        <v>66</v>
      </c>
      <c r="D2569">
        <v>453</v>
      </c>
      <c r="E2569">
        <v>107</v>
      </c>
      <c r="F2569">
        <v>41</v>
      </c>
      <c r="G2569">
        <v>70</v>
      </c>
      <c r="H2569">
        <v>672</v>
      </c>
      <c r="I2569" s="1">
        <v>45261</v>
      </c>
      <c r="J2569">
        <v>111</v>
      </c>
      <c r="K2569" t="s">
        <v>26</v>
      </c>
    </row>
    <row r="2570" spans="1:11">
      <c r="A2570" s="1">
        <v>45288</v>
      </c>
      <c r="B2570" t="s">
        <v>21</v>
      </c>
      <c r="C2570" t="s">
        <v>57</v>
      </c>
      <c r="D2570">
        <v>30</v>
      </c>
      <c r="E2570">
        <v>9</v>
      </c>
      <c r="F2570">
        <v>6</v>
      </c>
      <c r="G2570">
        <v>6</v>
      </c>
      <c r="H2570">
        <v>50</v>
      </c>
      <c r="I2570" s="1">
        <v>45261</v>
      </c>
      <c r="J2570">
        <v>12</v>
      </c>
      <c r="K2570" t="s">
        <v>26</v>
      </c>
    </row>
    <row r="2571" spans="1:11">
      <c r="A2571" s="1">
        <v>45288</v>
      </c>
      <c r="B2571" t="s">
        <v>21</v>
      </c>
      <c r="C2571" t="s">
        <v>54</v>
      </c>
      <c r="D2571">
        <v>100</v>
      </c>
      <c r="E2571">
        <v>67</v>
      </c>
      <c r="F2571">
        <v>26</v>
      </c>
      <c r="G2571">
        <v>34</v>
      </c>
      <c r="H2571">
        <v>226</v>
      </c>
      <c r="I2571" s="1">
        <v>45261</v>
      </c>
      <c r="J2571">
        <v>60</v>
      </c>
      <c r="K2571" t="s">
        <v>26</v>
      </c>
    </row>
    <row r="2572" spans="1:11">
      <c r="A2572" s="1">
        <v>45288</v>
      </c>
      <c r="B2572" t="s">
        <v>21</v>
      </c>
      <c r="C2572" t="s">
        <v>63</v>
      </c>
      <c r="D2572">
        <v>68</v>
      </c>
      <c r="E2572">
        <v>38</v>
      </c>
      <c r="F2572">
        <v>7</v>
      </c>
      <c r="G2572">
        <v>4</v>
      </c>
      <c r="H2572">
        <v>117</v>
      </c>
      <c r="I2572" s="1">
        <v>45261</v>
      </c>
      <c r="J2572">
        <v>11</v>
      </c>
      <c r="K2572" t="s">
        <v>26</v>
      </c>
    </row>
    <row r="2573" spans="1:11">
      <c r="A2573" s="1">
        <v>45288</v>
      </c>
      <c r="B2573" t="s">
        <v>21</v>
      </c>
      <c r="C2573" t="s">
        <v>67</v>
      </c>
      <c r="D2573">
        <v>273</v>
      </c>
      <c r="E2573">
        <v>79</v>
      </c>
      <c r="F2573">
        <v>15</v>
      </c>
      <c r="G2573">
        <v>13</v>
      </c>
      <c r="H2573">
        <v>380</v>
      </c>
      <c r="I2573" s="1">
        <v>45261</v>
      </c>
      <c r="J2573">
        <v>28</v>
      </c>
      <c r="K2573" t="s">
        <v>26</v>
      </c>
    </row>
    <row r="2574" spans="1:11">
      <c r="A2574" s="1">
        <v>45316</v>
      </c>
      <c r="B2574" t="s">
        <v>21</v>
      </c>
      <c r="C2574" t="s">
        <v>41</v>
      </c>
      <c r="D2574">
        <v>20</v>
      </c>
      <c r="E2574">
        <v>1</v>
      </c>
      <c r="F2574">
        <v>0</v>
      </c>
      <c r="G2574">
        <v>3</v>
      </c>
      <c r="H2574">
        <v>24</v>
      </c>
      <c r="I2574" s="1">
        <v>45292</v>
      </c>
      <c r="J2574">
        <v>3</v>
      </c>
      <c r="K2574" t="s">
        <v>26</v>
      </c>
    </row>
    <row r="2575" spans="1:11">
      <c r="A2575" s="1">
        <v>45316</v>
      </c>
      <c r="B2575" t="s">
        <v>21</v>
      </c>
      <c r="C2575" t="s">
        <v>64</v>
      </c>
      <c r="D2575">
        <v>2879</v>
      </c>
      <c r="E2575">
        <v>1845</v>
      </c>
      <c r="F2575">
        <v>888</v>
      </c>
      <c r="G2575">
        <v>1001</v>
      </c>
      <c r="H2575">
        <v>6614</v>
      </c>
      <c r="I2575" s="1">
        <v>45292</v>
      </c>
      <c r="J2575">
        <v>1889</v>
      </c>
      <c r="K2575" t="s">
        <v>26</v>
      </c>
    </row>
    <row r="2576" spans="1:11">
      <c r="A2576" s="1">
        <v>45316</v>
      </c>
      <c r="B2576" t="s">
        <v>21</v>
      </c>
      <c r="C2576" t="s">
        <v>65</v>
      </c>
      <c r="D2576">
        <v>130</v>
      </c>
      <c r="E2576">
        <v>78</v>
      </c>
      <c r="F2576">
        <v>38</v>
      </c>
      <c r="G2576">
        <v>11</v>
      </c>
      <c r="H2576">
        <v>258</v>
      </c>
      <c r="I2576" s="1">
        <v>45292</v>
      </c>
      <c r="J2576">
        <v>49</v>
      </c>
      <c r="K2576" t="s">
        <v>26</v>
      </c>
    </row>
    <row r="2577" spans="1:11">
      <c r="A2577" s="1">
        <v>45316</v>
      </c>
      <c r="B2577" t="s">
        <v>21</v>
      </c>
      <c r="C2577" t="s">
        <v>66</v>
      </c>
      <c r="D2577">
        <v>456</v>
      </c>
      <c r="E2577">
        <v>124</v>
      </c>
      <c r="F2577">
        <v>45</v>
      </c>
      <c r="G2577">
        <v>73</v>
      </c>
      <c r="H2577">
        <v>698</v>
      </c>
      <c r="I2577" s="1">
        <v>45292</v>
      </c>
      <c r="J2577">
        <v>118</v>
      </c>
      <c r="K2577" t="s">
        <v>26</v>
      </c>
    </row>
    <row r="2578" spans="1:11">
      <c r="A2578" s="1">
        <v>45316</v>
      </c>
      <c r="B2578" t="s">
        <v>21</v>
      </c>
      <c r="C2578" t="s">
        <v>57</v>
      </c>
      <c r="D2578">
        <v>32</v>
      </c>
      <c r="E2578">
        <v>8</v>
      </c>
      <c r="F2578">
        <v>0</v>
      </c>
      <c r="G2578">
        <v>5</v>
      </c>
      <c r="H2578">
        <v>44</v>
      </c>
      <c r="I2578" s="1">
        <v>45292</v>
      </c>
      <c r="J2578">
        <v>5</v>
      </c>
      <c r="K2578" t="s">
        <v>26</v>
      </c>
    </row>
    <row r="2579" spans="1:11">
      <c r="A2579" s="1">
        <v>45316</v>
      </c>
      <c r="B2579" t="s">
        <v>21</v>
      </c>
      <c r="C2579" t="s">
        <v>47</v>
      </c>
      <c r="D2579">
        <v>5</v>
      </c>
      <c r="E2579">
        <v>0</v>
      </c>
      <c r="F2579">
        <v>0</v>
      </c>
      <c r="G2579">
        <v>3</v>
      </c>
      <c r="H2579">
        <v>8</v>
      </c>
      <c r="I2579" s="1">
        <v>45292</v>
      </c>
      <c r="J2579">
        <v>3</v>
      </c>
      <c r="K2579" t="s">
        <v>26</v>
      </c>
    </row>
    <row r="2580" spans="1:11">
      <c r="A2580" s="1">
        <v>45316</v>
      </c>
      <c r="B2580" t="s">
        <v>21</v>
      </c>
      <c r="C2580" t="s">
        <v>67</v>
      </c>
      <c r="D2580">
        <v>258</v>
      </c>
      <c r="E2580">
        <v>85</v>
      </c>
      <c r="F2580">
        <v>14</v>
      </c>
      <c r="G2580">
        <v>9</v>
      </c>
      <c r="H2580">
        <v>365</v>
      </c>
      <c r="I2580" s="1">
        <v>45292</v>
      </c>
      <c r="J2580">
        <v>23</v>
      </c>
      <c r="K2580" t="s">
        <v>26</v>
      </c>
    </row>
    <row r="2581" spans="1:11">
      <c r="A2581" s="1">
        <v>45351</v>
      </c>
      <c r="B2581" t="s">
        <v>21</v>
      </c>
      <c r="C2581" t="s">
        <v>64</v>
      </c>
      <c r="D2581">
        <v>2934</v>
      </c>
      <c r="E2581">
        <v>1678</v>
      </c>
      <c r="F2581">
        <v>847</v>
      </c>
      <c r="G2581">
        <v>974</v>
      </c>
      <c r="H2581">
        <v>6433</v>
      </c>
      <c r="I2581" s="1">
        <v>45323</v>
      </c>
      <c r="J2581">
        <v>1821</v>
      </c>
      <c r="K2581" t="s">
        <v>26</v>
      </c>
    </row>
    <row r="2582" spans="1:11">
      <c r="A2582" s="1">
        <v>45351</v>
      </c>
      <c r="B2582" t="s">
        <v>21</v>
      </c>
      <c r="C2582" t="s">
        <v>65</v>
      </c>
      <c r="D2582">
        <v>129</v>
      </c>
      <c r="E2582">
        <v>74</v>
      </c>
      <c r="F2582">
        <v>40</v>
      </c>
      <c r="G2582">
        <v>14</v>
      </c>
      <c r="H2582">
        <v>257</v>
      </c>
      <c r="I2582" s="1">
        <v>45323</v>
      </c>
      <c r="J2582">
        <v>54</v>
      </c>
      <c r="K2582" t="s">
        <v>26</v>
      </c>
    </row>
    <row r="2583" spans="1:11">
      <c r="A2583" s="1">
        <v>45351</v>
      </c>
      <c r="B2583" t="s">
        <v>21</v>
      </c>
      <c r="C2583" t="s">
        <v>66</v>
      </c>
      <c r="D2583">
        <v>405</v>
      </c>
      <c r="E2583">
        <v>180</v>
      </c>
      <c r="F2583">
        <v>52</v>
      </c>
      <c r="G2583">
        <v>74</v>
      </c>
      <c r="H2583">
        <v>711</v>
      </c>
      <c r="I2583" s="1">
        <v>45323</v>
      </c>
      <c r="J2583">
        <v>126</v>
      </c>
      <c r="K2583" t="s">
        <v>26</v>
      </c>
    </row>
    <row r="2584" spans="1:11">
      <c r="A2584" s="1">
        <v>45351</v>
      </c>
      <c r="B2584" t="s">
        <v>21</v>
      </c>
      <c r="C2584" t="s">
        <v>57</v>
      </c>
      <c r="D2584">
        <v>20</v>
      </c>
      <c r="E2584">
        <v>5</v>
      </c>
      <c r="F2584">
        <v>2</v>
      </c>
      <c r="G2584">
        <v>4</v>
      </c>
      <c r="H2584">
        <v>31</v>
      </c>
      <c r="I2584" s="1">
        <v>45323</v>
      </c>
      <c r="J2584">
        <v>6</v>
      </c>
      <c r="K2584" t="s">
        <v>26</v>
      </c>
    </row>
    <row r="2585" spans="1:11">
      <c r="A2585" s="1">
        <v>45351</v>
      </c>
      <c r="B2585" t="s">
        <v>21</v>
      </c>
      <c r="C2585" t="s">
        <v>47</v>
      </c>
      <c r="D2585">
        <v>6</v>
      </c>
      <c r="E2585">
        <v>0</v>
      </c>
      <c r="F2585">
        <v>0</v>
      </c>
      <c r="G2585">
        <v>1</v>
      </c>
      <c r="H2585">
        <v>7</v>
      </c>
      <c r="I2585" s="1">
        <v>45323</v>
      </c>
      <c r="J2585">
        <v>1</v>
      </c>
      <c r="K2585" t="s">
        <v>26</v>
      </c>
    </row>
    <row r="2586" spans="1:11">
      <c r="A2586" s="1">
        <v>45351</v>
      </c>
      <c r="B2586" t="s">
        <v>21</v>
      </c>
      <c r="C2586" t="s">
        <v>54</v>
      </c>
      <c r="D2586">
        <v>68</v>
      </c>
      <c r="E2586">
        <v>63</v>
      </c>
      <c r="F2586">
        <v>17</v>
      </c>
      <c r="G2586">
        <v>3</v>
      </c>
      <c r="H2586">
        <v>151</v>
      </c>
      <c r="I2586" s="1">
        <v>45323</v>
      </c>
      <c r="J2586">
        <v>20</v>
      </c>
      <c r="K2586" t="s">
        <v>26</v>
      </c>
    </row>
    <row r="2587" spans="1:11">
      <c r="A2587" s="1">
        <v>45351</v>
      </c>
      <c r="B2587" t="s">
        <v>21</v>
      </c>
      <c r="C2587" t="s">
        <v>61</v>
      </c>
      <c r="D2587">
        <v>252</v>
      </c>
      <c r="E2587">
        <v>30</v>
      </c>
      <c r="F2587">
        <v>4</v>
      </c>
      <c r="G2587">
        <v>4</v>
      </c>
      <c r="H2587">
        <v>291</v>
      </c>
      <c r="I2587" s="1">
        <v>45323</v>
      </c>
      <c r="J2587">
        <v>8</v>
      </c>
      <c r="K2587" t="s">
        <v>26</v>
      </c>
    </row>
    <row r="2588" spans="1:11">
      <c r="A2588" s="1">
        <v>45351</v>
      </c>
      <c r="B2588" t="s">
        <v>21</v>
      </c>
      <c r="C2588" t="s">
        <v>67</v>
      </c>
      <c r="D2588">
        <v>279</v>
      </c>
      <c r="E2588">
        <v>94</v>
      </c>
      <c r="F2588">
        <v>18</v>
      </c>
      <c r="G2588">
        <v>6</v>
      </c>
      <c r="H2588">
        <v>396</v>
      </c>
      <c r="I2588" s="1">
        <v>45323</v>
      </c>
      <c r="J2588">
        <v>24</v>
      </c>
      <c r="K2588" t="s">
        <v>26</v>
      </c>
    </row>
    <row r="2589" spans="1:11">
      <c r="A2589" s="1">
        <v>45379</v>
      </c>
      <c r="B2589" t="s">
        <v>21</v>
      </c>
      <c r="C2589" t="s">
        <v>64</v>
      </c>
      <c r="D2589">
        <v>2952</v>
      </c>
      <c r="E2589">
        <v>1606</v>
      </c>
      <c r="F2589">
        <v>909</v>
      </c>
      <c r="G2589">
        <v>945</v>
      </c>
      <c r="H2589">
        <v>6412</v>
      </c>
      <c r="I2589" s="1">
        <v>45352</v>
      </c>
      <c r="J2589">
        <v>1854</v>
      </c>
      <c r="K2589" t="s">
        <v>26</v>
      </c>
    </row>
    <row r="2590" spans="1:11">
      <c r="A2590" s="1">
        <v>45379</v>
      </c>
      <c r="B2590" t="s">
        <v>21</v>
      </c>
      <c r="C2590" t="s">
        <v>65</v>
      </c>
      <c r="D2590">
        <v>121</v>
      </c>
      <c r="E2590">
        <v>78</v>
      </c>
      <c r="F2590">
        <v>43</v>
      </c>
      <c r="G2590">
        <v>16</v>
      </c>
      <c r="H2590">
        <v>258</v>
      </c>
      <c r="I2590" s="1">
        <v>45352</v>
      </c>
      <c r="J2590">
        <v>59</v>
      </c>
      <c r="K2590" t="s">
        <v>26</v>
      </c>
    </row>
    <row r="2591" spans="1:11">
      <c r="A2591" s="1">
        <v>45379</v>
      </c>
      <c r="B2591" t="s">
        <v>21</v>
      </c>
      <c r="C2591" t="s">
        <v>66</v>
      </c>
      <c r="D2591">
        <v>399</v>
      </c>
      <c r="E2591">
        <v>213</v>
      </c>
      <c r="F2591">
        <v>58</v>
      </c>
      <c r="G2591">
        <v>68</v>
      </c>
      <c r="H2591">
        <v>738</v>
      </c>
      <c r="I2591" s="1">
        <v>45352</v>
      </c>
      <c r="J2591">
        <v>126</v>
      </c>
      <c r="K2591" t="s">
        <v>26</v>
      </c>
    </row>
    <row r="2592" spans="1:11">
      <c r="A2592" s="1">
        <v>45379</v>
      </c>
      <c r="B2592" t="s">
        <v>21</v>
      </c>
      <c r="C2592" t="s">
        <v>63</v>
      </c>
      <c r="D2592">
        <v>63</v>
      </c>
      <c r="E2592">
        <v>50</v>
      </c>
      <c r="F2592">
        <v>8</v>
      </c>
      <c r="G2592">
        <v>5</v>
      </c>
      <c r="H2592">
        <v>126</v>
      </c>
      <c r="I2592" s="1">
        <v>45352</v>
      </c>
      <c r="J2592">
        <v>13</v>
      </c>
      <c r="K2592" t="s">
        <v>26</v>
      </c>
    </row>
    <row r="2593" spans="1:11">
      <c r="A2593" s="1">
        <v>45379</v>
      </c>
      <c r="B2593" t="s">
        <v>21</v>
      </c>
      <c r="C2593" t="s">
        <v>67</v>
      </c>
      <c r="D2593">
        <v>262</v>
      </c>
      <c r="E2593">
        <v>100</v>
      </c>
      <c r="F2593">
        <v>14</v>
      </c>
      <c r="G2593">
        <v>5</v>
      </c>
      <c r="H2593">
        <v>381</v>
      </c>
      <c r="I2593" s="1">
        <v>45352</v>
      </c>
      <c r="J2593">
        <v>19</v>
      </c>
      <c r="K2593" t="s">
        <v>26</v>
      </c>
    </row>
    <row r="2594" spans="1:11">
      <c r="A2594" s="1">
        <v>45407</v>
      </c>
      <c r="B2594" t="s">
        <v>21</v>
      </c>
      <c r="C2594" t="s">
        <v>64</v>
      </c>
      <c r="D2594">
        <v>2852</v>
      </c>
      <c r="E2594">
        <v>1604</v>
      </c>
      <c r="F2594">
        <v>917</v>
      </c>
      <c r="G2594">
        <v>998</v>
      </c>
      <c r="H2594">
        <v>6371</v>
      </c>
      <c r="I2594" s="1">
        <v>45383</v>
      </c>
      <c r="J2594">
        <v>1915</v>
      </c>
      <c r="K2594" t="s">
        <v>26</v>
      </c>
    </row>
    <row r="2595" spans="1:11">
      <c r="A2595" s="1">
        <v>45407</v>
      </c>
      <c r="B2595" t="s">
        <v>21</v>
      </c>
      <c r="C2595" t="s">
        <v>65</v>
      </c>
      <c r="D2595">
        <v>135</v>
      </c>
      <c r="E2595">
        <v>73</v>
      </c>
      <c r="F2595">
        <v>49</v>
      </c>
      <c r="G2595">
        <v>17</v>
      </c>
      <c r="H2595">
        <v>274</v>
      </c>
      <c r="I2595" s="1">
        <v>45383</v>
      </c>
      <c r="J2595">
        <v>66</v>
      </c>
      <c r="K2595" t="s">
        <v>26</v>
      </c>
    </row>
    <row r="2596" spans="1:11">
      <c r="A2596" s="1">
        <v>45407</v>
      </c>
      <c r="B2596" t="s">
        <v>21</v>
      </c>
      <c r="C2596" t="s">
        <v>66</v>
      </c>
      <c r="D2596">
        <v>416</v>
      </c>
      <c r="E2596">
        <v>227</v>
      </c>
      <c r="F2596">
        <v>57</v>
      </c>
      <c r="G2596">
        <v>67</v>
      </c>
      <c r="H2596">
        <v>768</v>
      </c>
      <c r="I2596" s="1">
        <v>45383</v>
      </c>
      <c r="J2596">
        <v>124</v>
      </c>
      <c r="K2596" t="s">
        <v>26</v>
      </c>
    </row>
    <row r="2597" spans="1:11">
      <c r="A2597" s="1">
        <v>45407</v>
      </c>
      <c r="B2597" t="s">
        <v>21</v>
      </c>
      <c r="C2597" t="s">
        <v>57</v>
      </c>
      <c r="D2597">
        <v>19</v>
      </c>
      <c r="E2597">
        <v>0</v>
      </c>
      <c r="F2597">
        <v>2</v>
      </c>
      <c r="G2597">
        <v>4</v>
      </c>
      <c r="H2597">
        <v>25</v>
      </c>
      <c r="I2597" s="1">
        <v>45383</v>
      </c>
      <c r="J2597">
        <v>6</v>
      </c>
      <c r="K2597" t="s">
        <v>26</v>
      </c>
    </row>
    <row r="2598" spans="1:11">
      <c r="A2598" s="1">
        <v>45407</v>
      </c>
      <c r="B2598" t="s">
        <v>21</v>
      </c>
      <c r="C2598" t="s">
        <v>63</v>
      </c>
      <c r="D2598">
        <v>55</v>
      </c>
      <c r="E2598">
        <v>39</v>
      </c>
      <c r="F2598">
        <v>10</v>
      </c>
      <c r="G2598">
        <v>7</v>
      </c>
      <c r="H2598">
        <v>111</v>
      </c>
      <c r="I2598" s="1">
        <v>45383</v>
      </c>
      <c r="J2598">
        <v>17</v>
      </c>
      <c r="K2598" t="s">
        <v>26</v>
      </c>
    </row>
    <row r="2599" spans="1:11">
      <c r="A2599" s="1">
        <v>45407</v>
      </c>
      <c r="B2599" t="s">
        <v>21</v>
      </c>
      <c r="C2599" t="s">
        <v>60</v>
      </c>
      <c r="D2599">
        <v>82</v>
      </c>
      <c r="E2599">
        <v>35</v>
      </c>
      <c r="F2599">
        <v>0</v>
      </c>
      <c r="G2599">
        <v>1</v>
      </c>
      <c r="H2599">
        <v>118</v>
      </c>
      <c r="I2599" s="1">
        <v>45383</v>
      </c>
      <c r="J2599">
        <v>1</v>
      </c>
      <c r="K2599" t="s">
        <v>26</v>
      </c>
    </row>
    <row r="2600" spans="1:11">
      <c r="A2600" s="1">
        <v>45407</v>
      </c>
      <c r="B2600" t="s">
        <v>21</v>
      </c>
      <c r="C2600" t="s">
        <v>67</v>
      </c>
      <c r="D2600">
        <v>229</v>
      </c>
      <c r="E2600">
        <v>119</v>
      </c>
      <c r="F2600">
        <v>23</v>
      </c>
      <c r="G2600">
        <v>7</v>
      </c>
      <c r="H2600">
        <v>378</v>
      </c>
      <c r="I2600" s="1">
        <v>45383</v>
      </c>
      <c r="J2600">
        <v>30</v>
      </c>
      <c r="K2600" t="s">
        <v>26</v>
      </c>
    </row>
    <row r="2601" spans="1:11">
      <c r="A2601" s="1">
        <v>45442</v>
      </c>
      <c r="B2601" t="s">
        <v>21</v>
      </c>
      <c r="C2601" t="s">
        <v>41</v>
      </c>
      <c r="D2601">
        <v>93</v>
      </c>
      <c r="E2601">
        <v>3</v>
      </c>
      <c r="F2601">
        <v>3</v>
      </c>
      <c r="G2601">
        <v>20</v>
      </c>
      <c r="H2601">
        <v>119</v>
      </c>
      <c r="I2601" s="1">
        <v>45413</v>
      </c>
      <c r="J2601">
        <v>23</v>
      </c>
      <c r="K2601" t="s">
        <v>26</v>
      </c>
    </row>
    <row r="2602" spans="1:11">
      <c r="A2602" s="1">
        <v>45442</v>
      </c>
      <c r="B2602" t="s">
        <v>21</v>
      </c>
      <c r="C2602" t="s">
        <v>64</v>
      </c>
      <c r="D2602">
        <v>2881</v>
      </c>
      <c r="E2602">
        <v>1575</v>
      </c>
      <c r="F2602">
        <v>1001</v>
      </c>
      <c r="G2602">
        <v>1004</v>
      </c>
      <c r="H2602">
        <v>6460</v>
      </c>
      <c r="I2602" s="1">
        <v>45413</v>
      </c>
      <c r="J2602">
        <v>2005</v>
      </c>
      <c r="K2602" t="s">
        <v>26</v>
      </c>
    </row>
    <row r="2603" spans="1:11">
      <c r="A2603" s="1">
        <v>45442</v>
      </c>
      <c r="B2603" t="s">
        <v>21</v>
      </c>
      <c r="C2603" t="s">
        <v>65</v>
      </c>
      <c r="D2603">
        <v>126</v>
      </c>
      <c r="E2603">
        <v>65</v>
      </c>
      <c r="F2603">
        <v>54</v>
      </c>
      <c r="G2603">
        <v>21</v>
      </c>
      <c r="H2603">
        <v>266</v>
      </c>
      <c r="I2603" s="1">
        <v>45413</v>
      </c>
      <c r="J2603">
        <v>75</v>
      </c>
      <c r="K2603" t="s">
        <v>26</v>
      </c>
    </row>
    <row r="2604" spans="1:11">
      <c r="A2604" s="1">
        <v>45442</v>
      </c>
      <c r="B2604" t="s">
        <v>21</v>
      </c>
      <c r="C2604" t="s">
        <v>66</v>
      </c>
      <c r="D2604">
        <v>400</v>
      </c>
      <c r="E2604">
        <v>251</v>
      </c>
      <c r="F2604">
        <v>52</v>
      </c>
      <c r="G2604">
        <v>62</v>
      </c>
      <c r="H2604">
        <v>765</v>
      </c>
      <c r="I2604" s="1">
        <v>45413</v>
      </c>
      <c r="J2604">
        <v>114</v>
      </c>
      <c r="K2604" t="s">
        <v>26</v>
      </c>
    </row>
    <row r="2605" spans="1:11">
      <c r="A2605" s="1">
        <v>45442</v>
      </c>
      <c r="B2605" t="s">
        <v>21</v>
      </c>
      <c r="C2605" t="s">
        <v>57</v>
      </c>
      <c r="D2605">
        <v>15</v>
      </c>
      <c r="E2605">
        <v>0</v>
      </c>
      <c r="F2605">
        <v>2</v>
      </c>
      <c r="G2605">
        <v>1</v>
      </c>
      <c r="H2605">
        <v>18</v>
      </c>
      <c r="I2605" s="1">
        <v>45413</v>
      </c>
      <c r="J2605">
        <v>3</v>
      </c>
      <c r="K2605" t="s">
        <v>26</v>
      </c>
    </row>
    <row r="2606" spans="1:11">
      <c r="A2606" s="1">
        <v>45442</v>
      </c>
      <c r="B2606" t="s">
        <v>21</v>
      </c>
      <c r="C2606" t="s">
        <v>52</v>
      </c>
      <c r="D2606">
        <v>107</v>
      </c>
      <c r="E2606">
        <v>27</v>
      </c>
      <c r="F2606">
        <v>4</v>
      </c>
      <c r="G2606">
        <v>1</v>
      </c>
      <c r="H2606">
        <v>140</v>
      </c>
      <c r="I2606" s="1">
        <v>45413</v>
      </c>
      <c r="J2606">
        <v>5</v>
      </c>
      <c r="K2606" t="s">
        <v>26</v>
      </c>
    </row>
    <row r="2607" spans="1:11">
      <c r="A2607" s="1">
        <v>45442</v>
      </c>
      <c r="B2607" t="s">
        <v>21</v>
      </c>
      <c r="C2607" t="s">
        <v>63</v>
      </c>
      <c r="D2607">
        <v>48</v>
      </c>
      <c r="E2607">
        <v>32</v>
      </c>
      <c r="F2607">
        <v>17</v>
      </c>
      <c r="G2607">
        <v>8</v>
      </c>
      <c r="H2607">
        <v>105</v>
      </c>
      <c r="I2607" s="1">
        <v>45413</v>
      </c>
      <c r="J2607">
        <v>25</v>
      </c>
      <c r="K2607" t="s">
        <v>26</v>
      </c>
    </row>
    <row r="2608" spans="1:11">
      <c r="A2608" s="1">
        <v>45442</v>
      </c>
      <c r="B2608" t="s">
        <v>21</v>
      </c>
      <c r="C2608" t="s">
        <v>61</v>
      </c>
      <c r="D2608">
        <v>319</v>
      </c>
      <c r="E2608">
        <v>38</v>
      </c>
      <c r="F2608">
        <v>5</v>
      </c>
      <c r="G2608">
        <v>5</v>
      </c>
      <c r="H2608">
        <v>366</v>
      </c>
      <c r="I2608" s="1">
        <v>45413</v>
      </c>
      <c r="J2608">
        <v>10</v>
      </c>
      <c r="K2608" t="s">
        <v>26</v>
      </c>
    </row>
    <row r="2609" spans="1:11">
      <c r="A2609" s="1">
        <v>45442</v>
      </c>
      <c r="B2609" t="s">
        <v>21</v>
      </c>
      <c r="C2609" t="s">
        <v>67</v>
      </c>
      <c r="D2609">
        <v>235</v>
      </c>
      <c r="E2609">
        <v>133</v>
      </c>
      <c r="F2609">
        <v>22</v>
      </c>
      <c r="G2609">
        <v>11</v>
      </c>
      <c r="H2609">
        <v>400</v>
      </c>
      <c r="I2609" s="1">
        <v>45413</v>
      </c>
      <c r="J2609">
        <v>33</v>
      </c>
      <c r="K2609" t="s">
        <v>26</v>
      </c>
    </row>
    <row r="2610" spans="1:11">
      <c r="A2610" s="1">
        <v>45470</v>
      </c>
      <c r="B2610" t="s">
        <v>21</v>
      </c>
      <c r="C2610" t="s">
        <v>64</v>
      </c>
      <c r="D2610">
        <v>2895</v>
      </c>
      <c r="E2610">
        <v>1529</v>
      </c>
      <c r="F2610">
        <v>970</v>
      </c>
      <c r="G2610">
        <v>1029</v>
      </c>
      <c r="H2610">
        <v>6423</v>
      </c>
      <c r="I2610" s="1">
        <v>45444</v>
      </c>
      <c r="J2610">
        <v>1999</v>
      </c>
      <c r="K2610" t="s">
        <v>26</v>
      </c>
    </row>
    <row r="2611" spans="1:11">
      <c r="A2611" s="1">
        <v>45470</v>
      </c>
      <c r="B2611" t="s">
        <v>21</v>
      </c>
      <c r="C2611" t="s">
        <v>65</v>
      </c>
      <c r="D2611">
        <v>129</v>
      </c>
      <c r="E2611">
        <v>74</v>
      </c>
      <c r="F2611">
        <v>47</v>
      </c>
      <c r="G2611">
        <v>24</v>
      </c>
      <c r="H2611">
        <v>274</v>
      </c>
      <c r="I2611" s="1">
        <v>45444</v>
      </c>
      <c r="J2611">
        <v>71</v>
      </c>
      <c r="K2611" t="s">
        <v>26</v>
      </c>
    </row>
    <row r="2612" spans="1:11">
      <c r="A2612" s="1">
        <v>45470</v>
      </c>
      <c r="B2612" t="s">
        <v>21</v>
      </c>
      <c r="C2612" t="s">
        <v>66</v>
      </c>
      <c r="D2612">
        <v>397</v>
      </c>
      <c r="E2612">
        <v>254</v>
      </c>
      <c r="F2612">
        <v>50</v>
      </c>
      <c r="G2612">
        <v>63</v>
      </c>
      <c r="H2612">
        <v>764</v>
      </c>
      <c r="I2612" s="1">
        <v>45444</v>
      </c>
      <c r="J2612">
        <v>113</v>
      </c>
      <c r="K2612" t="s">
        <v>26</v>
      </c>
    </row>
    <row r="2613" spans="1:11">
      <c r="A2613" s="1">
        <v>45470</v>
      </c>
      <c r="B2613" t="s">
        <v>21</v>
      </c>
      <c r="C2613" t="s">
        <v>35</v>
      </c>
      <c r="D2613">
        <v>2</v>
      </c>
      <c r="E2613">
        <v>2</v>
      </c>
      <c r="F2613">
        <v>1</v>
      </c>
      <c r="G2613">
        <v>1</v>
      </c>
      <c r="H2613">
        <v>6</v>
      </c>
      <c r="I2613" s="1">
        <v>45444</v>
      </c>
      <c r="J2613">
        <v>2</v>
      </c>
      <c r="K2613" t="s">
        <v>26</v>
      </c>
    </row>
    <row r="2614" spans="1:11">
      <c r="A2614" s="1">
        <v>45470</v>
      </c>
      <c r="B2614" t="s">
        <v>21</v>
      </c>
      <c r="C2614" t="s">
        <v>61</v>
      </c>
      <c r="D2614">
        <v>341</v>
      </c>
      <c r="E2614">
        <v>39</v>
      </c>
      <c r="F2614">
        <v>2</v>
      </c>
      <c r="G2614">
        <v>6</v>
      </c>
      <c r="H2614">
        <v>387</v>
      </c>
      <c r="I2614" s="1">
        <v>45444</v>
      </c>
      <c r="J2614">
        <v>8</v>
      </c>
      <c r="K2614" t="s">
        <v>26</v>
      </c>
    </row>
    <row r="2615" spans="1:11">
      <c r="A2615" s="1">
        <v>45470</v>
      </c>
      <c r="B2615" t="s">
        <v>21</v>
      </c>
      <c r="C2615" t="s">
        <v>59</v>
      </c>
      <c r="D2615">
        <v>206</v>
      </c>
      <c r="E2615">
        <v>197</v>
      </c>
      <c r="F2615">
        <v>79</v>
      </c>
      <c r="G2615">
        <v>4</v>
      </c>
      <c r="H2615">
        <v>487</v>
      </c>
      <c r="I2615" s="1">
        <v>45444</v>
      </c>
      <c r="J2615">
        <v>83</v>
      </c>
      <c r="K2615" t="s">
        <v>26</v>
      </c>
    </row>
    <row r="2616" spans="1:11">
      <c r="A2616" s="1">
        <v>45470</v>
      </c>
      <c r="B2616" t="s">
        <v>21</v>
      </c>
      <c r="C2616" t="s">
        <v>67</v>
      </c>
      <c r="D2616">
        <v>237</v>
      </c>
      <c r="E2616">
        <v>128</v>
      </c>
      <c r="F2616">
        <v>30</v>
      </c>
      <c r="G2616">
        <v>10</v>
      </c>
      <c r="H2616">
        <v>404</v>
      </c>
      <c r="I2616" s="1">
        <v>45444</v>
      </c>
      <c r="J2616">
        <v>40</v>
      </c>
      <c r="K2616" t="s">
        <v>26</v>
      </c>
    </row>
    <row r="2617" spans="1:11">
      <c r="A2617" s="1">
        <v>45498</v>
      </c>
      <c r="B2617" t="s">
        <v>21</v>
      </c>
      <c r="C2617" t="s">
        <v>64</v>
      </c>
      <c r="D2617">
        <v>2997</v>
      </c>
      <c r="E2617">
        <v>1415</v>
      </c>
      <c r="F2617">
        <v>987</v>
      </c>
      <c r="G2617">
        <v>986</v>
      </c>
      <c r="H2617">
        <v>6385</v>
      </c>
      <c r="I2617" s="1">
        <v>45474</v>
      </c>
      <c r="J2617">
        <v>1973</v>
      </c>
      <c r="K2617" t="s">
        <v>26</v>
      </c>
    </row>
    <row r="2618" spans="1:11">
      <c r="A2618" s="1">
        <v>45498</v>
      </c>
      <c r="B2618" t="s">
        <v>21</v>
      </c>
      <c r="C2618" t="s">
        <v>65</v>
      </c>
      <c r="D2618">
        <v>170</v>
      </c>
      <c r="E2618">
        <v>98</v>
      </c>
      <c r="F2618">
        <v>52</v>
      </c>
      <c r="G2618">
        <v>26</v>
      </c>
      <c r="H2618">
        <v>346</v>
      </c>
      <c r="I2618" s="1">
        <v>45474</v>
      </c>
      <c r="J2618">
        <v>78</v>
      </c>
      <c r="K2618" t="s">
        <v>26</v>
      </c>
    </row>
    <row r="2619" spans="1:11">
      <c r="A2619" s="1">
        <v>45498</v>
      </c>
      <c r="B2619" t="s">
        <v>21</v>
      </c>
      <c r="C2619" t="s">
        <v>66</v>
      </c>
      <c r="D2619">
        <v>391</v>
      </c>
      <c r="E2619">
        <v>233</v>
      </c>
      <c r="F2619">
        <v>57</v>
      </c>
      <c r="G2619">
        <v>61</v>
      </c>
      <c r="H2619">
        <v>742</v>
      </c>
      <c r="I2619" s="1">
        <v>45474</v>
      </c>
      <c r="J2619">
        <v>118</v>
      </c>
      <c r="K2619" t="s">
        <v>26</v>
      </c>
    </row>
    <row r="2620" spans="1:11">
      <c r="A2620" s="1">
        <v>45498</v>
      </c>
      <c r="B2620" t="s">
        <v>21</v>
      </c>
      <c r="C2620" t="s">
        <v>35</v>
      </c>
      <c r="D2620">
        <v>2</v>
      </c>
      <c r="E2620">
        <v>1</v>
      </c>
      <c r="F2620">
        <v>0</v>
      </c>
      <c r="G2620">
        <v>1</v>
      </c>
      <c r="H2620">
        <v>4</v>
      </c>
      <c r="I2620" s="1">
        <v>45474</v>
      </c>
      <c r="J2620">
        <v>1</v>
      </c>
      <c r="K2620" t="s">
        <v>26</v>
      </c>
    </row>
    <row r="2621" spans="1:11">
      <c r="A2621" s="1">
        <v>45498</v>
      </c>
      <c r="B2621" t="s">
        <v>21</v>
      </c>
      <c r="C2621" t="s">
        <v>63</v>
      </c>
      <c r="D2621">
        <v>41</v>
      </c>
      <c r="E2621">
        <v>21</v>
      </c>
      <c r="F2621">
        <v>18</v>
      </c>
      <c r="G2621">
        <v>3</v>
      </c>
      <c r="H2621">
        <v>82</v>
      </c>
      <c r="I2621" s="1">
        <v>45474</v>
      </c>
      <c r="J2621">
        <v>21</v>
      </c>
      <c r="K2621" t="s">
        <v>26</v>
      </c>
    </row>
    <row r="2622" spans="1:11">
      <c r="A2622" s="1">
        <v>45498</v>
      </c>
      <c r="B2622" t="s">
        <v>21</v>
      </c>
      <c r="C2622" t="s">
        <v>61</v>
      </c>
      <c r="D2622">
        <v>335</v>
      </c>
      <c r="E2622">
        <v>56</v>
      </c>
      <c r="F2622">
        <v>4</v>
      </c>
      <c r="G2622">
        <v>4</v>
      </c>
      <c r="H2622">
        <v>400</v>
      </c>
      <c r="I2622" s="1">
        <v>45474</v>
      </c>
      <c r="J2622">
        <v>8</v>
      </c>
      <c r="K2622" t="s">
        <v>26</v>
      </c>
    </row>
    <row r="2623" spans="1:11">
      <c r="A2623" s="1">
        <v>45498</v>
      </c>
      <c r="B2623" t="s">
        <v>21</v>
      </c>
      <c r="C2623" t="s">
        <v>67</v>
      </c>
      <c r="D2623">
        <v>239</v>
      </c>
      <c r="E2623">
        <v>116</v>
      </c>
      <c r="F2623">
        <v>30</v>
      </c>
      <c r="G2623">
        <v>13</v>
      </c>
      <c r="H2623">
        <v>399</v>
      </c>
      <c r="I2623" s="1">
        <v>45474</v>
      </c>
      <c r="J2623">
        <v>43</v>
      </c>
      <c r="K2623" t="s">
        <v>26</v>
      </c>
    </row>
    <row r="2624" spans="1:11">
      <c r="A2624" s="1">
        <v>45533</v>
      </c>
      <c r="B2624" t="s">
        <v>21</v>
      </c>
      <c r="C2624" t="s">
        <v>64</v>
      </c>
      <c r="D2624">
        <v>2912</v>
      </c>
      <c r="E2624">
        <v>1431</v>
      </c>
      <c r="F2624">
        <v>937</v>
      </c>
      <c r="G2624">
        <v>967</v>
      </c>
      <c r="H2624">
        <v>6246</v>
      </c>
      <c r="I2624" s="1">
        <v>45505</v>
      </c>
      <c r="J2624">
        <v>1904</v>
      </c>
      <c r="K2624" t="s">
        <v>26</v>
      </c>
    </row>
    <row r="2625" spans="1:11">
      <c r="A2625" s="1">
        <v>45533</v>
      </c>
      <c r="B2625" t="s">
        <v>21</v>
      </c>
      <c r="C2625" t="s">
        <v>65</v>
      </c>
      <c r="D2625">
        <v>155</v>
      </c>
      <c r="E2625">
        <v>105</v>
      </c>
      <c r="F2625">
        <v>45</v>
      </c>
      <c r="G2625">
        <v>30</v>
      </c>
      <c r="H2625">
        <v>335</v>
      </c>
      <c r="I2625" s="1">
        <v>45505</v>
      </c>
      <c r="J2625">
        <v>75</v>
      </c>
      <c r="K2625" t="s">
        <v>26</v>
      </c>
    </row>
    <row r="2626" spans="1:11">
      <c r="A2626" s="1">
        <v>45533</v>
      </c>
      <c r="B2626" t="s">
        <v>21</v>
      </c>
      <c r="C2626" t="s">
        <v>66</v>
      </c>
      <c r="D2626">
        <v>352</v>
      </c>
      <c r="E2626">
        <v>233</v>
      </c>
      <c r="F2626">
        <v>100</v>
      </c>
      <c r="G2626">
        <v>61</v>
      </c>
      <c r="H2626">
        <v>746</v>
      </c>
      <c r="I2626" s="1">
        <v>45505</v>
      </c>
      <c r="J2626">
        <v>161</v>
      </c>
      <c r="K2626" t="s">
        <v>26</v>
      </c>
    </row>
    <row r="2627" spans="1:11">
      <c r="A2627" s="1">
        <v>45533</v>
      </c>
      <c r="B2627" t="s">
        <v>21</v>
      </c>
      <c r="C2627" t="s">
        <v>57</v>
      </c>
      <c r="D2627">
        <v>30</v>
      </c>
      <c r="E2627">
        <v>3</v>
      </c>
      <c r="F2627">
        <v>1</v>
      </c>
      <c r="G2627">
        <v>1</v>
      </c>
      <c r="H2627">
        <v>36</v>
      </c>
      <c r="I2627" s="1">
        <v>45505</v>
      </c>
      <c r="J2627">
        <v>2</v>
      </c>
      <c r="K2627" t="s">
        <v>26</v>
      </c>
    </row>
    <row r="2628" spans="1:11">
      <c r="A2628" s="1">
        <v>45533</v>
      </c>
      <c r="B2628" t="s">
        <v>21</v>
      </c>
      <c r="C2628" t="s">
        <v>35</v>
      </c>
      <c r="D2628">
        <v>2</v>
      </c>
      <c r="E2628">
        <v>1</v>
      </c>
      <c r="F2628">
        <v>0</v>
      </c>
      <c r="G2628">
        <v>1</v>
      </c>
      <c r="H2628">
        <v>4</v>
      </c>
      <c r="I2628" s="1">
        <v>45505</v>
      </c>
      <c r="J2628">
        <v>1</v>
      </c>
      <c r="K2628" t="s">
        <v>26</v>
      </c>
    </row>
    <row r="2629" spans="1:11">
      <c r="A2629" s="1">
        <v>45533</v>
      </c>
      <c r="B2629" t="s">
        <v>21</v>
      </c>
      <c r="C2629" t="s">
        <v>63</v>
      </c>
      <c r="D2629">
        <v>58</v>
      </c>
      <c r="E2629">
        <v>20</v>
      </c>
      <c r="F2629">
        <v>10</v>
      </c>
      <c r="G2629">
        <v>3</v>
      </c>
      <c r="H2629">
        <v>90</v>
      </c>
      <c r="I2629" s="1">
        <v>45505</v>
      </c>
      <c r="J2629">
        <v>13</v>
      </c>
      <c r="K2629" t="s">
        <v>26</v>
      </c>
    </row>
    <row r="2630" spans="1:11">
      <c r="A2630" s="1">
        <v>45533</v>
      </c>
      <c r="B2630" t="s">
        <v>21</v>
      </c>
      <c r="C2630" t="s">
        <v>61</v>
      </c>
      <c r="D2630">
        <v>302</v>
      </c>
      <c r="E2630">
        <v>67</v>
      </c>
      <c r="F2630">
        <v>3</v>
      </c>
      <c r="G2630">
        <v>5</v>
      </c>
      <c r="H2630">
        <v>377</v>
      </c>
      <c r="I2630" s="1">
        <v>45505</v>
      </c>
      <c r="J2630">
        <v>8</v>
      </c>
      <c r="K2630" t="s">
        <v>26</v>
      </c>
    </row>
    <row r="2631" spans="1:11">
      <c r="A2631" s="1">
        <v>45533</v>
      </c>
      <c r="B2631" t="s">
        <v>21</v>
      </c>
      <c r="C2631" t="s">
        <v>59</v>
      </c>
      <c r="D2631">
        <v>170</v>
      </c>
      <c r="E2631">
        <v>161</v>
      </c>
      <c r="F2631">
        <v>56</v>
      </c>
      <c r="G2631">
        <v>8</v>
      </c>
      <c r="H2631">
        <v>395</v>
      </c>
      <c r="I2631" s="1">
        <v>45505</v>
      </c>
      <c r="J2631">
        <v>64</v>
      </c>
      <c r="K2631" t="s">
        <v>26</v>
      </c>
    </row>
    <row r="2632" spans="1:11">
      <c r="A2632" s="1">
        <v>45533</v>
      </c>
      <c r="B2632" t="s">
        <v>21</v>
      </c>
      <c r="C2632" t="s">
        <v>67</v>
      </c>
      <c r="D2632">
        <v>182</v>
      </c>
      <c r="E2632">
        <v>143</v>
      </c>
      <c r="F2632">
        <v>32</v>
      </c>
      <c r="G2632">
        <v>14</v>
      </c>
      <c r="H2632">
        <v>370</v>
      </c>
      <c r="I2632" s="1">
        <v>45505</v>
      </c>
      <c r="J2632">
        <v>46</v>
      </c>
      <c r="K2632" t="s">
        <v>26</v>
      </c>
    </row>
    <row r="2633" spans="1:11">
      <c r="A2633" s="1">
        <v>45561</v>
      </c>
      <c r="B2633" t="s">
        <v>21</v>
      </c>
      <c r="C2633" t="s">
        <v>64</v>
      </c>
      <c r="D2633">
        <v>2770</v>
      </c>
      <c r="E2633">
        <v>1406</v>
      </c>
      <c r="F2633">
        <v>887</v>
      </c>
      <c r="G2633">
        <v>965</v>
      </c>
      <c r="H2633">
        <v>6027</v>
      </c>
      <c r="I2633" s="1">
        <v>45536</v>
      </c>
      <c r="J2633">
        <v>1852</v>
      </c>
      <c r="K2633" t="s">
        <v>26</v>
      </c>
    </row>
    <row r="2634" spans="1:11">
      <c r="A2634" s="1">
        <v>45561</v>
      </c>
      <c r="B2634" t="s">
        <v>21</v>
      </c>
      <c r="C2634" t="s">
        <v>65</v>
      </c>
      <c r="D2634">
        <v>161</v>
      </c>
      <c r="E2634">
        <v>112</v>
      </c>
      <c r="F2634">
        <v>54</v>
      </c>
      <c r="G2634">
        <v>29</v>
      </c>
      <c r="H2634">
        <v>355</v>
      </c>
      <c r="I2634" s="1">
        <v>45536</v>
      </c>
      <c r="J2634">
        <v>83</v>
      </c>
      <c r="K2634" t="s">
        <v>26</v>
      </c>
    </row>
    <row r="2635" spans="1:11">
      <c r="A2635" s="1">
        <v>45561</v>
      </c>
      <c r="B2635" t="s">
        <v>21</v>
      </c>
      <c r="C2635" t="s">
        <v>66</v>
      </c>
      <c r="D2635">
        <v>325</v>
      </c>
      <c r="E2635">
        <v>222</v>
      </c>
      <c r="F2635">
        <v>115</v>
      </c>
      <c r="G2635">
        <v>65</v>
      </c>
      <c r="H2635">
        <v>727</v>
      </c>
      <c r="I2635" s="1">
        <v>45536</v>
      </c>
      <c r="J2635">
        <v>180</v>
      </c>
      <c r="K2635" t="s">
        <v>26</v>
      </c>
    </row>
    <row r="2636" spans="1:11">
      <c r="A2636" s="1">
        <v>45561</v>
      </c>
      <c r="B2636" t="s">
        <v>21</v>
      </c>
      <c r="C2636" t="s">
        <v>35</v>
      </c>
      <c r="D2636">
        <v>2</v>
      </c>
      <c r="E2636">
        <v>2</v>
      </c>
      <c r="F2636">
        <v>0</v>
      </c>
      <c r="G2636">
        <v>1</v>
      </c>
      <c r="H2636">
        <v>6</v>
      </c>
      <c r="I2636" s="1">
        <v>45536</v>
      </c>
      <c r="J2636">
        <v>1</v>
      </c>
      <c r="K2636" t="s">
        <v>26</v>
      </c>
    </row>
    <row r="2637" spans="1:11">
      <c r="A2637" s="1">
        <v>45561</v>
      </c>
      <c r="B2637" t="s">
        <v>21</v>
      </c>
      <c r="C2637" t="s">
        <v>61</v>
      </c>
      <c r="D2637">
        <v>262</v>
      </c>
      <c r="E2637">
        <v>75</v>
      </c>
      <c r="F2637">
        <v>5</v>
      </c>
      <c r="G2637">
        <v>5</v>
      </c>
      <c r="H2637">
        <v>347</v>
      </c>
      <c r="I2637" s="1">
        <v>45536</v>
      </c>
      <c r="J2637">
        <v>10</v>
      </c>
      <c r="K2637" t="s">
        <v>26</v>
      </c>
    </row>
    <row r="2638" spans="1:11">
      <c r="A2638" s="1">
        <v>45561</v>
      </c>
      <c r="B2638" t="s">
        <v>21</v>
      </c>
      <c r="C2638" t="s">
        <v>59</v>
      </c>
      <c r="D2638">
        <v>199</v>
      </c>
      <c r="E2638">
        <v>110</v>
      </c>
      <c r="F2638">
        <v>35</v>
      </c>
      <c r="G2638">
        <v>20</v>
      </c>
      <c r="H2638">
        <v>364</v>
      </c>
      <c r="I2638" s="1">
        <v>45536</v>
      </c>
      <c r="J2638">
        <v>55</v>
      </c>
      <c r="K2638" t="s">
        <v>26</v>
      </c>
    </row>
    <row r="2639" spans="1:11">
      <c r="A2639" s="1">
        <v>45561</v>
      </c>
      <c r="B2639" t="s">
        <v>21</v>
      </c>
      <c r="C2639" t="s">
        <v>67</v>
      </c>
      <c r="D2639">
        <v>184</v>
      </c>
      <c r="E2639">
        <v>126</v>
      </c>
      <c r="F2639">
        <v>38</v>
      </c>
      <c r="G2639">
        <v>12</v>
      </c>
      <c r="H2639">
        <v>360</v>
      </c>
      <c r="I2639" s="1">
        <v>45536</v>
      </c>
      <c r="J2639">
        <v>50</v>
      </c>
      <c r="K2639" t="s">
        <v>26</v>
      </c>
    </row>
    <row r="2640" spans="1:11">
      <c r="A2640" s="1">
        <v>45596</v>
      </c>
      <c r="B2640" t="s">
        <v>21</v>
      </c>
      <c r="C2640" t="s">
        <v>64</v>
      </c>
      <c r="D2640">
        <v>2785</v>
      </c>
      <c r="E2640">
        <v>1375</v>
      </c>
      <c r="F2640">
        <v>814</v>
      </c>
      <c r="G2640">
        <v>899</v>
      </c>
      <c r="H2640">
        <v>5874</v>
      </c>
      <c r="I2640" s="1">
        <v>45566</v>
      </c>
      <c r="J2640">
        <v>1713</v>
      </c>
      <c r="K2640" t="s">
        <v>26</v>
      </c>
    </row>
    <row r="2641" spans="1:11">
      <c r="A2641" s="1">
        <v>45596</v>
      </c>
      <c r="B2641" t="s">
        <v>21</v>
      </c>
      <c r="C2641" t="s">
        <v>65</v>
      </c>
      <c r="D2641">
        <v>155</v>
      </c>
      <c r="E2641">
        <v>111</v>
      </c>
      <c r="F2641">
        <v>50</v>
      </c>
      <c r="G2641">
        <v>32</v>
      </c>
      <c r="H2641">
        <v>348</v>
      </c>
      <c r="I2641" s="1">
        <v>45566</v>
      </c>
      <c r="J2641">
        <v>82</v>
      </c>
      <c r="K2641" t="s">
        <v>26</v>
      </c>
    </row>
    <row r="2642" spans="1:11">
      <c r="A2642" s="1">
        <v>45596</v>
      </c>
      <c r="B2642" t="s">
        <v>21</v>
      </c>
      <c r="C2642" t="s">
        <v>66</v>
      </c>
      <c r="D2642">
        <v>328</v>
      </c>
      <c r="E2642">
        <v>232</v>
      </c>
      <c r="F2642">
        <v>127</v>
      </c>
      <c r="G2642">
        <v>64</v>
      </c>
      <c r="H2642">
        <v>751</v>
      </c>
      <c r="I2642" s="1">
        <v>45566</v>
      </c>
      <c r="J2642">
        <v>191</v>
      </c>
      <c r="K2642" t="s">
        <v>26</v>
      </c>
    </row>
    <row r="2643" spans="1:11">
      <c r="A2643" s="1">
        <v>45596</v>
      </c>
      <c r="B2643" t="s">
        <v>21</v>
      </c>
      <c r="C2643" t="s">
        <v>60</v>
      </c>
      <c r="D2643">
        <v>97</v>
      </c>
      <c r="E2643">
        <v>9</v>
      </c>
      <c r="F2643">
        <v>3</v>
      </c>
      <c r="G2643">
        <v>1</v>
      </c>
      <c r="H2643">
        <v>110</v>
      </c>
      <c r="I2643" s="1">
        <v>45566</v>
      </c>
      <c r="J2643">
        <v>4</v>
      </c>
      <c r="K2643" t="s">
        <v>26</v>
      </c>
    </row>
    <row r="2644" spans="1:11">
      <c r="A2644" s="1">
        <v>45596</v>
      </c>
      <c r="B2644" t="s">
        <v>21</v>
      </c>
      <c r="C2644" t="s">
        <v>61</v>
      </c>
      <c r="D2644">
        <v>236</v>
      </c>
      <c r="E2644">
        <v>72</v>
      </c>
      <c r="F2644">
        <v>5</v>
      </c>
      <c r="G2644">
        <v>4</v>
      </c>
      <c r="H2644">
        <v>316</v>
      </c>
      <c r="I2644" s="1">
        <v>45566</v>
      </c>
      <c r="J2644">
        <v>9</v>
      </c>
      <c r="K2644" t="s">
        <v>26</v>
      </c>
    </row>
    <row r="2645" spans="1:11">
      <c r="A2645" s="1">
        <v>45596</v>
      </c>
      <c r="B2645" t="s">
        <v>21</v>
      </c>
      <c r="C2645" t="s">
        <v>59</v>
      </c>
      <c r="D2645">
        <v>176</v>
      </c>
      <c r="E2645">
        <v>94</v>
      </c>
      <c r="F2645">
        <v>47</v>
      </c>
      <c r="G2645">
        <v>13</v>
      </c>
      <c r="H2645">
        <v>329</v>
      </c>
      <c r="I2645" s="1">
        <v>45566</v>
      </c>
      <c r="J2645">
        <v>60</v>
      </c>
      <c r="K2645" t="s">
        <v>26</v>
      </c>
    </row>
    <row r="2646" spans="1:11">
      <c r="A2646" s="1">
        <v>45596</v>
      </c>
      <c r="B2646" t="s">
        <v>21</v>
      </c>
      <c r="C2646" t="s">
        <v>67</v>
      </c>
      <c r="D2646">
        <v>176</v>
      </c>
      <c r="E2646">
        <v>131</v>
      </c>
      <c r="F2646">
        <v>41</v>
      </c>
      <c r="G2646">
        <v>14</v>
      </c>
      <c r="H2646">
        <v>361</v>
      </c>
      <c r="I2646" s="1">
        <v>45566</v>
      </c>
      <c r="J2646">
        <v>55</v>
      </c>
      <c r="K2646" t="s">
        <v>26</v>
      </c>
    </row>
    <row r="2647" spans="1:11">
      <c r="A2647" s="1">
        <v>45624</v>
      </c>
      <c r="B2647" t="s">
        <v>21</v>
      </c>
      <c r="C2647" t="s">
        <v>64</v>
      </c>
      <c r="D2647">
        <v>2892</v>
      </c>
      <c r="E2647">
        <v>1346</v>
      </c>
      <c r="F2647">
        <v>757</v>
      </c>
      <c r="G2647">
        <v>830</v>
      </c>
      <c r="H2647">
        <v>5825</v>
      </c>
      <c r="I2647" s="1">
        <v>45597</v>
      </c>
      <c r="J2647">
        <v>1587</v>
      </c>
      <c r="K2647" t="s">
        <v>26</v>
      </c>
    </row>
    <row r="2648" spans="1:11">
      <c r="A2648" s="1">
        <v>45624</v>
      </c>
      <c r="B2648" t="s">
        <v>21</v>
      </c>
      <c r="C2648" t="s">
        <v>65</v>
      </c>
      <c r="D2648">
        <v>159</v>
      </c>
      <c r="E2648">
        <v>107</v>
      </c>
      <c r="F2648">
        <v>55</v>
      </c>
      <c r="G2648">
        <v>38</v>
      </c>
      <c r="H2648">
        <v>359</v>
      </c>
      <c r="I2648" s="1">
        <v>45597</v>
      </c>
      <c r="J2648">
        <v>93</v>
      </c>
      <c r="K2648" t="s">
        <v>26</v>
      </c>
    </row>
    <row r="2649" spans="1:11">
      <c r="A2649" s="1">
        <v>45624</v>
      </c>
      <c r="B2649" t="s">
        <v>21</v>
      </c>
      <c r="C2649" t="s">
        <v>66</v>
      </c>
      <c r="D2649">
        <v>320</v>
      </c>
      <c r="E2649">
        <v>204</v>
      </c>
      <c r="F2649">
        <v>134</v>
      </c>
      <c r="G2649">
        <v>64</v>
      </c>
      <c r="H2649">
        <v>722</v>
      </c>
      <c r="I2649" s="1">
        <v>45597</v>
      </c>
      <c r="J2649">
        <v>198</v>
      </c>
      <c r="K2649" t="s">
        <v>26</v>
      </c>
    </row>
    <row r="2650" spans="1:11">
      <c r="A2650" s="1">
        <v>45624</v>
      </c>
      <c r="B2650" t="s">
        <v>21</v>
      </c>
      <c r="C2650" t="s">
        <v>35</v>
      </c>
      <c r="D2650">
        <v>7</v>
      </c>
      <c r="E2650">
        <v>2</v>
      </c>
      <c r="F2650">
        <v>0</v>
      </c>
      <c r="G2650">
        <v>1</v>
      </c>
      <c r="H2650">
        <v>10</v>
      </c>
      <c r="I2650" s="1">
        <v>45597</v>
      </c>
      <c r="J2650">
        <v>1</v>
      </c>
      <c r="K2650" t="s">
        <v>26</v>
      </c>
    </row>
    <row r="2651" spans="1:11">
      <c r="A2651" s="1">
        <v>45624</v>
      </c>
      <c r="B2651" t="s">
        <v>21</v>
      </c>
      <c r="C2651" t="s">
        <v>61</v>
      </c>
      <c r="D2651">
        <v>189</v>
      </c>
      <c r="E2651">
        <v>64</v>
      </c>
      <c r="F2651">
        <v>3</v>
      </c>
      <c r="G2651">
        <v>3</v>
      </c>
      <c r="H2651">
        <v>259</v>
      </c>
      <c r="I2651" s="1">
        <v>45597</v>
      </c>
      <c r="J2651">
        <v>6</v>
      </c>
      <c r="K2651" t="s">
        <v>26</v>
      </c>
    </row>
    <row r="2652" spans="1:11">
      <c r="A2652" s="1">
        <v>45624</v>
      </c>
      <c r="B2652" t="s">
        <v>21</v>
      </c>
      <c r="C2652" t="s">
        <v>59</v>
      </c>
      <c r="D2652">
        <v>187</v>
      </c>
      <c r="E2652">
        <v>82</v>
      </c>
      <c r="F2652">
        <v>52</v>
      </c>
      <c r="G2652">
        <v>9</v>
      </c>
      <c r="H2652">
        <v>330</v>
      </c>
      <c r="I2652" s="1">
        <v>45597</v>
      </c>
      <c r="J2652">
        <v>61</v>
      </c>
      <c r="K2652" t="s">
        <v>26</v>
      </c>
    </row>
    <row r="2653" spans="1:11">
      <c r="A2653" s="1">
        <v>45624</v>
      </c>
      <c r="B2653" t="s">
        <v>21</v>
      </c>
      <c r="C2653" t="s">
        <v>67</v>
      </c>
      <c r="D2653">
        <v>162</v>
      </c>
      <c r="E2653">
        <v>121</v>
      </c>
      <c r="F2653">
        <v>54</v>
      </c>
      <c r="G2653">
        <v>19</v>
      </c>
      <c r="H2653">
        <v>356</v>
      </c>
      <c r="I2653" s="1">
        <v>45597</v>
      </c>
      <c r="J2653">
        <v>73</v>
      </c>
      <c r="K2653" t="s">
        <v>26</v>
      </c>
    </row>
    <row r="2654" spans="1:11">
      <c r="A2654" s="1">
        <v>45645</v>
      </c>
      <c r="B2654" t="s">
        <v>21</v>
      </c>
      <c r="C2654" t="s">
        <v>64</v>
      </c>
      <c r="D2654">
        <v>3281</v>
      </c>
      <c r="E2654">
        <v>1412</v>
      </c>
      <c r="F2654">
        <v>754</v>
      </c>
      <c r="G2654">
        <v>802</v>
      </c>
      <c r="H2654">
        <v>6249</v>
      </c>
      <c r="I2654" s="1">
        <v>45627</v>
      </c>
      <c r="J2654">
        <v>1556</v>
      </c>
      <c r="K2654" t="s">
        <v>26</v>
      </c>
    </row>
    <row r="2655" spans="1:11">
      <c r="A2655" s="1">
        <v>45645</v>
      </c>
      <c r="B2655" t="s">
        <v>21</v>
      </c>
      <c r="C2655" t="s">
        <v>65</v>
      </c>
      <c r="D2655">
        <v>200</v>
      </c>
      <c r="E2655">
        <v>106</v>
      </c>
      <c r="F2655">
        <v>69</v>
      </c>
      <c r="G2655">
        <v>35</v>
      </c>
      <c r="H2655">
        <v>409</v>
      </c>
      <c r="I2655" s="1">
        <v>45627</v>
      </c>
      <c r="J2655">
        <v>104</v>
      </c>
      <c r="K2655" t="s">
        <v>26</v>
      </c>
    </row>
    <row r="2656" spans="1:11">
      <c r="A2656" s="1">
        <v>45645</v>
      </c>
      <c r="B2656" t="s">
        <v>21</v>
      </c>
      <c r="C2656" t="s">
        <v>66</v>
      </c>
      <c r="D2656">
        <v>388</v>
      </c>
      <c r="E2656">
        <v>187</v>
      </c>
      <c r="F2656">
        <v>132</v>
      </c>
      <c r="G2656">
        <v>64</v>
      </c>
      <c r="H2656">
        <v>770</v>
      </c>
      <c r="I2656" s="1">
        <v>45627</v>
      </c>
      <c r="J2656">
        <v>196</v>
      </c>
      <c r="K2656" t="s">
        <v>26</v>
      </c>
    </row>
    <row r="2657" spans="1:11">
      <c r="A2657" s="1">
        <v>45645</v>
      </c>
      <c r="B2657" t="s">
        <v>21</v>
      </c>
      <c r="C2657" t="s">
        <v>63</v>
      </c>
      <c r="D2657">
        <v>63</v>
      </c>
      <c r="E2657">
        <v>23</v>
      </c>
      <c r="F2657">
        <v>13</v>
      </c>
      <c r="G2657">
        <v>3</v>
      </c>
      <c r="H2657">
        <v>101</v>
      </c>
      <c r="I2657" s="1">
        <v>45627</v>
      </c>
      <c r="J2657">
        <v>16</v>
      </c>
      <c r="K2657" t="s">
        <v>26</v>
      </c>
    </row>
    <row r="2658" spans="1:11">
      <c r="A2658" s="1">
        <v>45645</v>
      </c>
      <c r="B2658" t="s">
        <v>21</v>
      </c>
      <c r="C2658" t="s">
        <v>61</v>
      </c>
      <c r="D2658">
        <v>208</v>
      </c>
      <c r="E2658">
        <v>68</v>
      </c>
      <c r="F2658">
        <v>8</v>
      </c>
      <c r="G2658">
        <v>4</v>
      </c>
      <c r="H2658">
        <v>288</v>
      </c>
      <c r="I2658" s="1">
        <v>45627</v>
      </c>
      <c r="J2658">
        <v>12</v>
      </c>
      <c r="K2658" t="s">
        <v>26</v>
      </c>
    </row>
    <row r="2659" spans="1:11">
      <c r="A2659" s="1">
        <v>45645</v>
      </c>
      <c r="B2659" t="s">
        <v>21</v>
      </c>
      <c r="C2659" t="s">
        <v>67</v>
      </c>
      <c r="D2659">
        <v>177</v>
      </c>
      <c r="E2659">
        <v>110</v>
      </c>
      <c r="F2659">
        <v>60</v>
      </c>
      <c r="G2659">
        <v>24</v>
      </c>
      <c r="H2659">
        <v>370</v>
      </c>
      <c r="I2659" s="1">
        <v>45627</v>
      </c>
      <c r="J2659">
        <v>84</v>
      </c>
      <c r="K2659" t="s">
        <v>26</v>
      </c>
    </row>
    <row r="2660" spans="1:11">
      <c r="A2660" s="1">
        <v>45687</v>
      </c>
      <c r="B2660" t="s">
        <v>21</v>
      </c>
      <c r="C2660" t="s">
        <v>64</v>
      </c>
      <c r="D2660">
        <v>3075</v>
      </c>
      <c r="E2660">
        <v>1434</v>
      </c>
      <c r="F2660">
        <v>781</v>
      </c>
      <c r="G2660">
        <v>877</v>
      </c>
      <c r="H2660">
        <v>6167</v>
      </c>
      <c r="I2660" s="1">
        <v>45658</v>
      </c>
      <c r="J2660">
        <v>1658</v>
      </c>
      <c r="K2660" t="s">
        <v>26</v>
      </c>
    </row>
    <row r="2661" spans="1:11">
      <c r="A2661" s="1">
        <v>45687</v>
      </c>
      <c r="B2661" t="s">
        <v>21</v>
      </c>
      <c r="C2661" t="s">
        <v>65</v>
      </c>
      <c r="D2661">
        <v>215</v>
      </c>
      <c r="E2661">
        <v>111</v>
      </c>
      <c r="F2661">
        <v>59</v>
      </c>
      <c r="G2661">
        <v>30</v>
      </c>
      <c r="H2661">
        <v>414</v>
      </c>
      <c r="I2661" s="1">
        <v>45658</v>
      </c>
      <c r="J2661">
        <v>89</v>
      </c>
      <c r="K2661" t="s">
        <v>26</v>
      </c>
    </row>
    <row r="2662" spans="1:11">
      <c r="A2662" s="1">
        <v>45687</v>
      </c>
      <c r="B2662" t="s">
        <v>21</v>
      </c>
      <c r="C2662" t="s">
        <v>66</v>
      </c>
      <c r="D2662">
        <v>401</v>
      </c>
      <c r="E2662">
        <v>209</v>
      </c>
      <c r="F2662">
        <v>138</v>
      </c>
      <c r="G2662">
        <v>80</v>
      </c>
      <c r="H2662">
        <v>827</v>
      </c>
      <c r="I2662" s="1">
        <v>45658</v>
      </c>
      <c r="J2662">
        <v>218</v>
      </c>
      <c r="K2662" t="s">
        <v>26</v>
      </c>
    </row>
    <row r="2663" spans="1:11">
      <c r="A2663" s="1">
        <v>45687</v>
      </c>
      <c r="B2663" t="s">
        <v>21</v>
      </c>
      <c r="C2663" t="s">
        <v>63</v>
      </c>
      <c r="D2663">
        <v>67</v>
      </c>
      <c r="E2663">
        <v>27</v>
      </c>
      <c r="F2663">
        <v>13</v>
      </c>
      <c r="G2663">
        <v>7</v>
      </c>
      <c r="H2663">
        <v>113</v>
      </c>
      <c r="I2663" s="1">
        <v>45658</v>
      </c>
      <c r="J2663">
        <v>20</v>
      </c>
      <c r="K2663" t="s">
        <v>26</v>
      </c>
    </row>
    <row r="2664" spans="1:11">
      <c r="A2664" s="1">
        <v>45687</v>
      </c>
      <c r="B2664" t="s">
        <v>21</v>
      </c>
      <c r="C2664" t="s">
        <v>61</v>
      </c>
      <c r="D2664">
        <v>183</v>
      </c>
      <c r="E2664">
        <v>83</v>
      </c>
      <c r="F2664">
        <v>14</v>
      </c>
      <c r="G2664">
        <v>4</v>
      </c>
      <c r="H2664">
        <v>284</v>
      </c>
      <c r="I2664" s="1">
        <v>45658</v>
      </c>
      <c r="J2664">
        <v>18</v>
      </c>
      <c r="K2664" t="s">
        <v>26</v>
      </c>
    </row>
    <row r="2665" spans="1:11">
      <c r="A2665" s="1">
        <v>45687</v>
      </c>
      <c r="B2665" t="s">
        <v>21</v>
      </c>
      <c r="C2665" t="s">
        <v>59</v>
      </c>
      <c r="D2665">
        <v>223</v>
      </c>
      <c r="E2665">
        <v>51</v>
      </c>
      <c r="F2665">
        <v>58</v>
      </c>
      <c r="G2665">
        <v>4</v>
      </c>
      <c r="H2665">
        <v>335</v>
      </c>
      <c r="I2665" s="1">
        <v>45658</v>
      </c>
      <c r="J2665">
        <v>62</v>
      </c>
      <c r="K2665" t="s">
        <v>26</v>
      </c>
    </row>
    <row r="2666" spans="1:11">
      <c r="A2666" s="1">
        <v>45687</v>
      </c>
      <c r="B2666" t="s">
        <v>21</v>
      </c>
      <c r="C2666" t="s">
        <v>67</v>
      </c>
      <c r="D2666">
        <v>164</v>
      </c>
      <c r="E2666">
        <v>104</v>
      </c>
      <c r="F2666">
        <v>54</v>
      </c>
      <c r="G2666">
        <v>24</v>
      </c>
      <c r="H2666">
        <v>346</v>
      </c>
      <c r="I2666" s="1">
        <v>45658</v>
      </c>
      <c r="J2666">
        <v>78</v>
      </c>
      <c r="K2666" t="s">
        <v>26</v>
      </c>
    </row>
    <row r="2667" spans="1:11">
      <c r="A2667" s="1">
        <v>45715</v>
      </c>
      <c r="B2667" t="s">
        <v>21</v>
      </c>
      <c r="C2667" t="s">
        <v>64</v>
      </c>
      <c r="D2667">
        <v>3081</v>
      </c>
      <c r="E2667">
        <v>1359</v>
      </c>
      <c r="F2667">
        <v>756</v>
      </c>
      <c r="G2667">
        <v>893</v>
      </c>
      <c r="H2667">
        <v>6089</v>
      </c>
      <c r="I2667" s="1">
        <v>45689</v>
      </c>
      <c r="J2667">
        <v>1649</v>
      </c>
      <c r="K2667" t="s">
        <v>26</v>
      </c>
    </row>
    <row r="2668" spans="1:11">
      <c r="A2668" s="1">
        <v>45715</v>
      </c>
      <c r="B2668" t="s">
        <v>21</v>
      </c>
      <c r="C2668" t="s">
        <v>65</v>
      </c>
      <c r="D2668">
        <v>246</v>
      </c>
      <c r="E2668">
        <v>113</v>
      </c>
      <c r="F2668">
        <v>70</v>
      </c>
      <c r="G2668">
        <v>32</v>
      </c>
      <c r="H2668">
        <v>461</v>
      </c>
      <c r="I2668" s="1">
        <v>45689</v>
      </c>
      <c r="J2668">
        <v>102</v>
      </c>
      <c r="K2668" t="s">
        <v>26</v>
      </c>
    </row>
    <row r="2669" spans="1:11">
      <c r="A2669" s="1">
        <v>45715</v>
      </c>
      <c r="B2669" t="s">
        <v>21</v>
      </c>
      <c r="C2669" t="s">
        <v>66</v>
      </c>
      <c r="D2669">
        <v>400</v>
      </c>
      <c r="E2669">
        <v>193</v>
      </c>
      <c r="F2669">
        <v>138</v>
      </c>
      <c r="G2669">
        <v>95</v>
      </c>
      <c r="H2669">
        <v>827</v>
      </c>
      <c r="I2669" s="1">
        <v>45689</v>
      </c>
      <c r="J2669">
        <v>233</v>
      </c>
      <c r="K2669" t="s">
        <v>26</v>
      </c>
    </row>
    <row r="2670" spans="1:11">
      <c r="A2670" s="1">
        <v>45715</v>
      </c>
      <c r="B2670" t="s">
        <v>21</v>
      </c>
      <c r="C2670" t="s">
        <v>47</v>
      </c>
      <c r="D2670">
        <v>5</v>
      </c>
      <c r="E2670">
        <v>1</v>
      </c>
      <c r="F2670">
        <v>0</v>
      </c>
      <c r="G2670">
        <v>1</v>
      </c>
      <c r="H2670">
        <v>8</v>
      </c>
      <c r="I2670" s="1">
        <v>45689</v>
      </c>
      <c r="J2670">
        <v>1</v>
      </c>
      <c r="K2670" t="s">
        <v>26</v>
      </c>
    </row>
    <row r="2671" spans="1:11">
      <c r="A2671" s="1">
        <v>45715</v>
      </c>
      <c r="B2671" t="s">
        <v>21</v>
      </c>
      <c r="C2671" t="s">
        <v>63</v>
      </c>
      <c r="D2671">
        <v>57</v>
      </c>
      <c r="E2671">
        <v>29</v>
      </c>
      <c r="F2671">
        <v>16</v>
      </c>
      <c r="G2671">
        <v>8</v>
      </c>
      <c r="H2671">
        <v>110</v>
      </c>
      <c r="I2671" s="1">
        <v>45689</v>
      </c>
      <c r="J2671">
        <v>24</v>
      </c>
      <c r="K2671" t="s">
        <v>26</v>
      </c>
    </row>
    <row r="2672" spans="1:11">
      <c r="A2672" s="1">
        <v>45715</v>
      </c>
      <c r="B2672" t="s">
        <v>21</v>
      </c>
      <c r="C2672" t="s">
        <v>61</v>
      </c>
      <c r="D2672">
        <v>200</v>
      </c>
      <c r="E2672">
        <v>73</v>
      </c>
      <c r="F2672">
        <v>16</v>
      </c>
      <c r="G2672">
        <v>4</v>
      </c>
      <c r="H2672">
        <v>292</v>
      </c>
      <c r="I2672" s="1">
        <v>45689</v>
      </c>
      <c r="J2672">
        <v>20</v>
      </c>
      <c r="K2672" t="s">
        <v>26</v>
      </c>
    </row>
    <row r="2673" spans="1:11">
      <c r="A2673" s="1">
        <v>45715</v>
      </c>
      <c r="B2673" t="s">
        <v>21</v>
      </c>
      <c r="C2673" t="s">
        <v>59</v>
      </c>
      <c r="D2673">
        <v>247</v>
      </c>
      <c r="E2673">
        <v>48</v>
      </c>
      <c r="F2673">
        <v>50</v>
      </c>
      <c r="G2673">
        <v>4</v>
      </c>
      <c r="H2673">
        <v>349</v>
      </c>
      <c r="I2673" s="1">
        <v>45689</v>
      </c>
      <c r="J2673">
        <v>54</v>
      </c>
      <c r="K2673" t="s">
        <v>26</v>
      </c>
    </row>
    <row r="2674" spans="1:11">
      <c r="A2674" s="1">
        <v>45715</v>
      </c>
      <c r="B2674" t="s">
        <v>21</v>
      </c>
      <c r="C2674" t="s">
        <v>67</v>
      </c>
      <c r="D2674">
        <v>168</v>
      </c>
      <c r="E2674">
        <v>89</v>
      </c>
      <c r="F2674">
        <v>57</v>
      </c>
      <c r="G2674">
        <v>26</v>
      </c>
      <c r="H2674">
        <v>340</v>
      </c>
      <c r="I2674" s="1">
        <v>45689</v>
      </c>
      <c r="J2674">
        <v>83</v>
      </c>
      <c r="K2674" t="s">
        <v>26</v>
      </c>
    </row>
    <row r="2675" spans="1:11">
      <c r="A2675" s="1">
        <v>45743</v>
      </c>
      <c r="B2675" t="s">
        <v>21</v>
      </c>
      <c r="C2675" t="s">
        <v>64</v>
      </c>
      <c r="D2675">
        <v>3134</v>
      </c>
      <c r="E2675">
        <v>1472</v>
      </c>
      <c r="F2675">
        <v>817</v>
      </c>
      <c r="G2675">
        <v>921</v>
      </c>
      <c r="H2675">
        <v>6344</v>
      </c>
      <c r="I2675" s="1">
        <v>45717</v>
      </c>
      <c r="J2675">
        <v>1738</v>
      </c>
      <c r="K2675" t="s">
        <v>26</v>
      </c>
    </row>
    <row r="2676" spans="1:11">
      <c r="A2676" s="1">
        <v>45743</v>
      </c>
      <c r="B2676" t="s">
        <v>21</v>
      </c>
      <c r="C2676" t="s">
        <v>65</v>
      </c>
      <c r="D2676">
        <v>228</v>
      </c>
      <c r="E2676">
        <v>114</v>
      </c>
      <c r="F2676">
        <v>71</v>
      </c>
      <c r="G2676">
        <v>33</v>
      </c>
      <c r="H2676">
        <v>446</v>
      </c>
      <c r="I2676" s="1">
        <v>45717</v>
      </c>
      <c r="J2676">
        <v>104</v>
      </c>
      <c r="K2676" t="s">
        <v>26</v>
      </c>
    </row>
    <row r="2677" spans="1:11">
      <c r="A2677" s="1">
        <v>45743</v>
      </c>
      <c r="B2677" t="s">
        <v>21</v>
      </c>
      <c r="C2677" t="s">
        <v>66</v>
      </c>
      <c r="D2677">
        <v>426</v>
      </c>
      <c r="E2677">
        <v>202</v>
      </c>
      <c r="F2677">
        <v>140</v>
      </c>
      <c r="G2677">
        <v>107</v>
      </c>
      <c r="H2677">
        <v>876</v>
      </c>
      <c r="I2677" s="1">
        <v>45717</v>
      </c>
      <c r="J2677">
        <v>247</v>
      </c>
      <c r="K2677" t="s">
        <v>26</v>
      </c>
    </row>
    <row r="2678" spans="1:11">
      <c r="A2678" s="1">
        <v>45743</v>
      </c>
      <c r="B2678" t="s">
        <v>21</v>
      </c>
      <c r="C2678" t="s">
        <v>57</v>
      </c>
      <c r="D2678">
        <v>45</v>
      </c>
      <c r="E2678">
        <v>14</v>
      </c>
      <c r="F2678">
        <v>1</v>
      </c>
      <c r="G2678">
        <v>1</v>
      </c>
      <c r="H2678">
        <v>61</v>
      </c>
      <c r="I2678" s="1">
        <v>45717</v>
      </c>
      <c r="J2678">
        <v>2</v>
      </c>
      <c r="K2678" t="s">
        <v>26</v>
      </c>
    </row>
    <row r="2679" spans="1:11">
      <c r="A2679" s="1">
        <v>45743</v>
      </c>
      <c r="B2679" t="s">
        <v>21</v>
      </c>
      <c r="C2679" t="s">
        <v>47</v>
      </c>
      <c r="D2679">
        <v>4</v>
      </c>
      <c r="E2679">
        <v>1</v>
      </c>
      <c r="F2679">
        <v>0</v>
      </c>
      <c r="G2679">
        <v>1</v>
      </c>
      <c r="H2679">
        <v>6</v>
      </c>
      <c r="I2679" s="1">
        <v>45717</v>
      </c>
      <c r="J2679">
        <v>1</v>
      </c>
      <c r="K2679" t="s">
        <v>26</v>
      </c>
    </row>
    <row r="2680" spans="1:11">
      <c r="A2680" s="1">
        <v>45743</v>
      </c>
      <c r="B2680" t="s">
        <v>21</v>
      </c>
      <c r="C2680" t="s">
        <v>63</v>
      </c>
      <c r="D2680">
        <v>48</v>
      </c>
      <c r="E2680">
        <v>23</v>
      </c>
      <c r="F2680">
        <v>17</v>
      </c>
      <c r="G2680">
        <v>8</v>
      </c>
      <c r="H2680">
        <v>97</v>
      </c>
      <c r="I2680" s="1">
        <v>45717</v>
      </c>
      <c r="J2680">
        <v>25</v>
      </c>
      <c r="K2680" t="s">
        <v>26</v>
      </c>
    </row>
    <row r="2681" spans="1:11">
      <c r="A2681" s="1">
        <v>45743</v>
      </c>
      <c r="B2681" t="s">
        <v>21</v>
      </c>
      <c r="C2681" t="s">
        <v>60</v>
      </c>
      <c r="D2681">
        <v>145</v>
      </c>
      <c r="E2681">
        <v>20</v>
      </c>
      <c r="F2681">
        <v>14</v>
      </c>
      <c r="G2681">
        <v>4</v>
      </c>
      <c r="H2681">
        <v>183</v>
      </c>
      <c r="I2681" s="1">
        <v>45717</v>
      </c>
      <c r="J2681">
        <v>18</v>
      </c>
      <c r="K2681" t="s">
        <v>26</v>
      </c>
    </row>
    <row r="2682" spans="1:11">
      <c r="A2682" s="1">
        <v>45743</v>
      </c>
      <c r="B2682" t="s">
        <v>21</v>
      </c>
      <c r="C2682" t="s">
        <v>61</v>
      </c>
      <c r="D2682">
        <v>186</v>
      </c>
      <c r="E2682">
        <v>61</v>
      </c>
      <c r="F2682">
        <v>15</v>
      </c>
      <c r="G2682">
        <v>4</v>
      </c>
      <c r="H2682">
        <v>266</v>
      </c>
      <c r="I2682" s="1">
        <v>45717</v>
      </c>
      <c r="J2682">
        <v>19</v>
      </c>
      <c r="K2682" t="s">
        <v>26</v>
      </c>
    </row>
    <row r="2683" spans="1:11">
      <c r="A2683" s="1">
        <v>45743</v>
      </c>
      <c r="B2683" t="s">
        <v>21</v>
      </c>
      <c r="C2683" t="s">
        <v>59</v>
      </c>
      <c r="D2683">
        <v>279</v>
      </c>
      <c r="E2683">
        <v>50</v>
      </c>
      <c r="F2683">
        <v>45</v>
      </c>
      <c r="G2683">
        <v>5</v>
      </c>
      <c r="H2683">
        <v>378</v>
      </c>
      <c r="I2683" s="1">
        <v>45717</v>
      </c>
      <c r="J2683">
        <v>50</v>
      </c>
      <c r="K2683" t="s">
        <v>26</v>
      </c>
    </row>
    <row r="2684" spans="1:11">
      <c r="A2684" s="1">
        <v>45743</v>
      </c>
      <c r="B2684" t="s">
        <v>21</v>
      </c>
      <c r="C2684" t="s">
        <v>67</v>
      </c>
      <c r="D2684">
        <v>176</v>
      </c>
      <c r="E2684">
        <v>98</v>
      </c>
      <c r="F2684">
        <v>51</v>
      </c>
      <c r="G2684">
        <v>33</v>
      </c>
      <c r="H2684">
        <v>358</v>
      </c>
      <c r="I2684" s="1">
        <v>45717</v>
      </c>
      <c r="J2684">
        <v>84</v>
      </c>
      <c r="K2684" t="s">
        <v>26</v>
      </c>
    </row>
    <row r="2685" spans="1:11">
      <c r="A2685" s="1">
        <v>45771</v>
      </c>
      <c r="B2685" t="s">
        <v>21</v>
      </c>
      <c r="C2685" t="s">
        <v>64</v>
      </c>
      <c r="D2685">
        <v>3120</v>
      </c>
      <c r="E2685">
        <v>1557</v>
      </c>
      <c r="F2685">
        <v>814</v>
      </c>
      <c r="G2685">
        <v>941</v>
      </c>
      <c r="H2685">
        <v>6432</v>
      </c>
      <c r="I2685" s="1">
        <v>45748</v>
      </c>
      <c r="J2685">
        <v>1755</v>
      </c>
      <c r="K2685" t="s">
        <v>26</v>
      </c>
    </row>
    <row r="2686" spans="1:11">
      <c r="A2686" s="1">
        <v>45771</v>
      </c>
      <c r="B2686" t="s">
        <v>21</v>
      </c>
      <c r="C2686" t="s">
        <v>65</v>
      </c>
      <c r="D2686">
        <v>192</v>
      </c>
      <c r="E2686">
        <v>112</v>
      </c>
      <c r="F2686">
        <v>79</v>
      </c>
      <c r="G2686">
        <v>35</v>
      </c>
      <c r="H2686">
        <v>418</v>
      </c>
      <c r="I2686" s="1">
        <v>45748</v>
      </c>
      <c r="J2686">
        <v>114</v>
      </c>
      <c r="K2686" t="s">
        <v>26</v>
      </c>
    </row>
    <row r="2687" spans="1:11">
      <c r="A2687" s="1">
        <v>45771</v>
      </c>
      <c r="B2687" t="s">
        <v>21</v>
      </c>
      <c r="C2687" t="s">
        <v>66</v>
      </c>
      <c r="D2687">
        <v>438</v>
      </c>
      <c r="E2687">
        <v>214</v>
      </c>
      <c r="F2687">
        <v>140</v>
      </c>
      <c r="G2687">
        <v>113</v>
      </c>
      <c r="H2687">
        <v>905</v>
      </c>
      <c r="I2687" s="1">
        <v>45748</v>
      </c>
      <c r="J2687">
        <v>253</v>
      </c>
      <c r="K2687" t="s">
        <v>26</v>
      </c>
    </row>
    <row r="2688" spans="1:11">
      <c r="A2688" s="1">
        <v>45771</v>
      </c>
      <c r="B2688" t="s">
        <v>21</v>
      </c>
      <c r="C2688" t="s">
        <v>57</v>
      </c>
      <c r="D2688">
        <v>37</v>
      </c>
      <c r="E2688">
        <v>24</v>
      </c>
      <c r="F2688">
        <v>0</v>
      </c>
      <c r="G2688">
        <v>1</v>
      </c>
      <c r="H2688">
        <v>63</v>
      </c>
      <c r="I2688" s="1">
        <v>45748</v>
      </c>
      <c r="J2688">
        <v>1</v>
      </c>
      <c r="K2688" t="s">
        <v>26</v>
      </c>
    </row>
    <row r="2689" spans="1:11">
      <c r="A2689" s="1">
        <v>45771</v>
      </c>
      <c r="B2689" t="s">
        <v>21</v>
      </c>
      <c r="C2689" t="s">
        <v>47</v>
      </c>
      <c r="D2689">
        <v>3</v>
      </c>
      <c r="E2689">
        <v>0</v>
      </c>
      <c r="F2689">
        <v>0</v>
      </c>
      <c r="G2689">
        <v>1</v>
      </c>
      <c r="H2689">
        <v>4</v>
      </c>
      <c r="I2689" s="1">
        <v>45748</v>
      </c>
      <c r="J2689">
        <v>1</v>
      </c>
      <c r="K2689" t="s">
        <v>26</v>
      </c>
    </row>
    <row r="2690" spans="1:11">
      <c r="A2690" s="1">
        <v>45771</v>
      </c>
      <c r="B2690" t="s">
        <v>21</v>
      </c>
      <c r="C2690" t="s">
        <v>63</v>
      </c>
      <c r="D2690">
        <v>53</v>
      </c>
      <c r="E2690">
        <v>30</v>
      </c>
      <c r="F2690">
        <v>14</v>
      </c>
      <c r="G2690">
        <v>10</v>
      </c>
      <c r="H2690">
        <v>107</v>
      </c>
      <c r="I2690" s="1">
        <v>45748</v>
      </c>
      <c r="J2690">
        <v>24</v>
      </c>
      <c r="K2690" t="s">
        <v>26</v>
      </c>
    </row>
    <row r="2691" spans="1:11">
      <c r="A2691" s="1">
        <v>45771</v>
      </c>
      <c r="B2691" t="s">
        <v>21</v>
      </c>
      <c r="C2691" t="s">
        <v>60</v>
      </c>
      <c r="D2691">
        <v>156</v>
      </c>
      <c r="E2691">
        <v>26</v>
      </c>
      <c r="F2691">
        <v>14</v>
      </c>
      <c r="G2691">
        <v>4</v>
      </c>
      <c r="H2691">
        <v>200</v>
      </c>
      <c r="I2691" s="1">
        <v>45748</v>
      </c>
      <c r="J2691">
        <v>18</v>
      </c>
      <c r="K2691" t="s">
        <v>26</v>
      </c>
    </row>
    <row r="2692" spans="1:11">
      <c r="A2692" s="1">
        <v>45771</v>
      </c>
      <c r="B2692" t="s">
        <v>21</v>
      </c>
      <c r="C2692" t="s">
        <v>61</v>
      </c>
      <c r="D2692">
        <v>181</v>
      </c>
      <c r="E2692">
        <v>52</v>
      </c>
      <c r="F2692">
        <v>18</v>
      </c>
      <c r="G2692">
        <v>4</v>
      </c>
      <c r="H2692">
        <v>254</v>
      </c>
      <c r="I2692" s="1">
        <v>45748</v>
      </c>
      <c r="J2692">
        <v>22</v>
      </c>
      <c r="K2692" t="s">
        <v>26</v>
      </c>
    </row>
    <row r="2693" spans="1:11">
      <c r="A2693" s="1">
        <v>45771</v>
      </c>
      <c r="B2693" t="s">
        <v>21</v>
      </c>
      <c r="C2693" t="s">
        <v>59</v>
      </c>
      <c r="D2693">
        <v>307</v>
      </c>
      <c r="E2693">
        <v>55</v>
      </c>
      <c r="F2693">
        <v>39</v>
      </c>
      <c r="G2693">
        <v>5</v>
      </c>
      <c r="H2693">
        <v>406</v>
      </c>
      <c r="I2693" s="1">
        <v>45748</v>
      </c>
      <c r="J2693">
        <v>44</v>
      </c>
      <c r="K2693" t="s">
        <v>26</v>
      </c>
    </row>
    <row r="2694" spans="1:11">
      <c r="A2694" s="1">
        <v>45771</v>
      </c>
      <c r="B2694" t="s">
        <v>21</v>
      </c>
      <c r="C2694" t="s">
        <v>67</v>
      </c>
      <c r="D2694">
        <v>172</v>
      </c>
      <c r="E2694">
        <v>91</v>
      </c>
      <c r="F2694">
        <v>53</v>
      </c>
      <c r="G2694">
        <v>37</v>
      </c>
      <c r="H2694">
        <v>352</v>
      </c>
      <c r="I2694" s="1">
        <v>45748</v>
      </c>
      <c r="J2694">
        <v>90</v>
      </c>
      <c r="K2694" t="s">
        <v>26</v>
      </c>
    </row>
    <row r="2695" spans="1:11">
      <c r="A2695" s="1">
        <v>45806</v>
      </c>
      <c r="B2695" t="s">
        <v>21</v>
      </c>
      <c r="C2695" t="s">
        <v>64</v>
      </c>
      <c r="D2695">
        <v>3188</v>
      </c>
      <c r="E2695">
        <v>1575</v>
      </c>
      <c r="F2695">
        <v>844</v>
      </c>
      <c r="G2695">
        <v>934</v>
      </c>
      <c r="H2695">
        <v>6541</v>
      </c>
      <c r="I2695" s="1">
        <v>45778</v>
      </c>
      <c r="J2695">
        <v>1778</v>
      </c>
      <c r="K2695" t="s">
        <v>26</v>
      </c>
    </row>
    <row r="2696" spans="1:11">
      <c r="A2696" s="1">
        <v>45806</v>
      </c>
      <c r="B2696" t="s">
        <v>21</v>
      </c>
      <c r="C2696" t="s">
        <v>65</v>
      </c>
      <c r="D2696">
        <v>185</v>
      </c>
      <c r="E2696">
        <v>96</v>
      </c>
      <c r="F2696">
        <v>69</v>
      </c>
      <c r="G2696">
        <v>37</v>
      </c>
      <c r="H2696">
        <v>387</v>
      </c>
      <c r="I2696" s="1">
        <v>45778</v>
      </c>
      <c r="J2696">
        <v>106</v>
      </c>
      <c r="K2696" t="s">
        <v>26</v>
      </c>
    </row>
    <row r="2697" spans="1:11">
      <c r="A2697" s="1">
        <v>45806</v>
      </c>
      <c r="B2697" t="s">
        <v>21</v>
      </c>
      <c r="C2697" t="s">
        <v>66</v>
      </c>
      <c r="D2697">
        <v>350</v>
      </c>
      <c r="E2697">
        <v>172</v>
      </c>
      <c r="F2697">
        <v>126</v>
      </c>
      <c r="G2697">
        <v>128</v>
      </c>
      <c r="H2697">
        <v>776</v>
      </c>
      <c r="I2697" s="1">
        <v>45778</v>
      </c>
      <c r="J2697">
        <v>254</v>
      </c>
      <c r="K2697" t="s">
        <v>26</v>
      </c>
    </row>
    <row r="2698" spans="1:11">
      <c r="A2698" s="1">
        <v>45806</v>
      </c>
      <c r="B2698" t="s">
        <v>21</v>
      </c>
      <c r="C2698" t="s">
        <v>47</v>
      </c>
      <c r="D2698">
        <v>5</v>
      </c>
      <c r="E2698">
        <v>1</v>
      </c>
      <c r="F2698">
        <v>0</v>
      </c>
      <c r="G2698">
        <v>1</v>
      </c>
      <c r="H2698">
        <v>8</v>
      </c>
      <c r="I2698" s="1">
        <v>45778</v>
      </c>
      <c r="J2698">
        <v>1</v>
      </c>
      <c r="K2698" t="s">
        <v>26</v>
      </c>
    </row>
    <row r="2699" spans="1:11">
      <c r="A2699" s="1">
        <v>45806</v>
      </c>
      <c r="B2699" t="s">
        <v>21</v>
      </c>
      <c r="C2699" t="s">
        <v>63</v>
      </c>
      <c r="D2699">
        <v>52</v>
      </c>
      <c r="E2699">
        <v>22</v>
      </c>
      <c r="F2699">
        <v>16</v>
      </c>
      <c r="G2699">
        <v>11</v>
      </c>
      <c r="H2699">
        <v>102</v>
      </c>
      <c r="I2699" s="1">
        <v>45778</v>
      </c>
      <c r="J2699">
        <v>27</v>
      </c>
      <c r="K2699" t="s">
        <v>26</v>
      </c>
    </row>
    <row r="2700" spans="1:11">
      <c r="A2700" s="1">
        <v>45806</v>
      </c>
      <c r="B2700" t="s">
        <v>21</v>
      </c>
      <c r="C2700" t="s">
        <v>60</v>
      </c>
      <c r="D2700">
        <v>139</v>
      </c>
      <c r="E2700">
        <v>38</v>
      </c>
      <c r="F2700">
        <v>15</v>
      </c>
      <c r="G2700">
        <v>4</v>
      </c>
      <c r="H2700">
        <v>196</v>
      </c>
      <c r="I2700" s="1">
        <v>45778</v>
      </c>
      <c r="J2700">
        <v>19</v>
      </c>
      <c r="K2700" t="s">
        <v>26</v>
      </c>
    </row>
    <row r="2701" spans="1:11">
      <c r="A2701" s="1">
        <v>45806</v>
      </c>
      <c r="B2701" t="s">
        <v>21</v>
      </c>
      <c r="C2701" t="s">
        <v>61</v>
      </c>
      <c r="D2701">
        <v>177</v>
      </c>
      <c r="E2701">
        <v>31</v>
      </c>
      <c r="F2701">
        <v>16</v>
      </c>
      <c r="G2701">
        <v>4</v>
      </c>
      <c r="H2701">
        <v>228</v>
      </c>
      <c r="I2701" s="1">
        <v>45778</v>
      </c>
      <c r="J2701">
        <v>20</v>
      </c>
      <c r="K2701" t="s">
        <v>26</v>
      </c>
    </row>
    <row r="2702" spans="1:11">
      <c r="A2702" s="1">
        <v>45806</v>
      </c>
      <c r="B2702" t="s">
        <v>21</v>
      </c>
      <c r="C2702" t="s">
        <v>59</v>
      </c>
      <c r="D2702">
        <v>294</v>
      </c>
      <c r="E2702">
        <v>70</v>
      </c>
      <c r="F2702">
        <v>23</v>
      </c>
      <c r="G2702">
        <v>3</v>
      </c>
      <c r="H2702">
        <v>391</v>
      </c>
      <c r="I2702" s="1">
        <v>45778</v>
      </c>
      <c r="J2702">
        <v>26</v>
      </c>
      <c r="K2702" t="s">
        <v>26</v>
      </c>
    </row>
    <row r="2703" spans="1:11">
      <c r="A2703" s="1">
        <v>45806</v>
      </c>
      <c r="B2703" t="s">
        <v>21</v>
      </c>
      <c r="C2703" t="s">
        <v>67</v>
      </c>
      <c r="D2703">
        <v>182</v>
      </c>
      <c r="E2703">
        <v>87</v>
      </c>
      <c r="F2703">
        <v>53</v>
      </c>
      <c r="G2703">
        <v>37</v>
      </c>
      <c r="H2703">
        <v>359</v>
      </c>
      <c r="I2703" s="1">
        <v>45778</v>
      </c>
      <c r="J2703">
        <v>90</v>
      </c>
      <c r="K2703" t="s">
        <v>26</v>
      </c>
    </row>
    <row r="2704" spans="1:11">
      <c r="A2704" s="1">
        <v>45834</v>
      </c>
      <c r="B2704" t="s">
        <v>21</v>
      </c>
      <c r="C2704" t="s">
        <v>64</v>
      </c>
      <c r="D2704">
        <v>3129</v>
      </c>
      <c r="E2704">
        <v>1649</v>
      </c>
      <c r="F2704">
        <v>822</v>
      </c>
      <c r="G2704">
        <v>827</v>
      </c>
      <c r="H2704">
        <v>6427</v>
      </c>
      <c r="I2704" s="1">
        <v>45809</v>
      </c>
      <c r="J2704">
        <v>1649</v>
      </c>
      <c r="K2704" t="s">
        <v>26</v>
      </c>
    </row>
    <row r="2705" spans="1:11">
      <c r="A2705" s="1">
        <v>45834</v>
      </c>
      <c r="B2705" t="s">
        <v>21</v>
      </c>
      <c r="C2705" t="s">
        <v>65</v>
      </c>
      <c r="D2705">
        <v>176</v>
      </c>
      <c r="E2705">
        <v>99</v>
      </c>
      <c r="F2705">
        <v>48</v>
      </c>
      <c r="G2705">
        <v>34</v>
      </c>
      <c r="H2705">
        <v>357</v>
      </c>
      <c r="I2705" s="1">
        <v>45809</v>
      </c>
      <c r="J2705">
        <v>82</v>
      </c>
      <c r="K2705" t="s">
        <v>26</v>
      </c>
    </row>
    <row r="2706" spans="1:11">
      <c r="A2706" s="1">
        <v>45834</v>
      </c>
      <c r="B2706" t="s">
        <v>21</v>
      </c>
      <c r="C2706" t="s">
        <v>66</v>
      </c>
      <c r="D2706">
        <v>289</v>
      </c>
      <c r="E2706">
        <v>208</v>
      </c>
      <c r="F2706">
        <v>109</v>
      </c>
      <c r="G2706">
        <v>143</v>
      </c>
      <c r="H2706">
        <v>748</v>
      </c>
      <c r="I2706" s="1">
        <v>45809</v>
      </c>
      <c r="J2706">
        <v>252</v>
      </c>
      <c r="K2706" t="s">
        <v>26</v>
      </c>
    </row>
    <row r="2707" spans="1:11">
      <c r="A2707" s="1">
        <v>45834</v>
      </c>
      <c r="B2707" t="s">
        <v>21</v>
      </c>
      <c r="C2707" t="s">
        <v>52</v>
      </c>
      <c r="D2707">
        <v>43</v>
      </c>
      <c r="E2707">
        <v>19</v>
      </c>
      <c r="F2707">
        <v>15</v>
      </c>
      <c r="G2707">
        <v>5</v>
      </c>
      <c r="H2707">
        <v>82</v>
      </c>
      <c r="I2707" s="1">
        <v>45809</v>
      </c>
      <c r="J2707">
        <v>20</v>
      </c>
      <c r="K2707" t="s">
        <v>26</v>
      </c>
    </row>
    <row r="2708" spans="1:11">
      <c r="A2708" s="1">
        <v>45834</v>
      </c>
      <c r="B2708" t="s">
        <v>21</v>
      </c>
      <c r="C2708" t="s">
        <v>63</v>
      </c>
      <c r="D2708">
        <v>40</v>
      </c>
      <c r="E2708">
        <v>30</v>
      </c>
      <c r="F2708">
        <v>13</v>
      </c>
      <c r="G2708">
        <v>12</v>
      </c>
      <c r="H2708">
        <v>95</v>
      </c>
      <c r="I2708" s="1">
        <v>45809</v>
      </c>
      <c r="J2708">
        <v>25</v>
      </c>
      <c r="K2708" t="s">
        <v>26</v>
      </c>
    </row>
    <row r="2709" spans="1:11">
      <c r="A2709" s="1">
        <v>45834</v>
      </c>
      <c r="B2709" t="s">
        <v>21</v>
      </c>
      <c r="C2709" t="s">
        <v>60</v>
      </c>
      <c r="D2709">
        <v>108</v>
      </c>
      <c r="E2709">
        <v>41</v>
      </c>
      <c r="F2709">
        <v>15</v>
      </c>
      <c r="G2709">
        <v>5</v>
      </c>
      <c r="H2709">
        <v>169</v>
      </c>
      <c r="I2709" s="1">
        <v>45809</v>
      </c>
      <c r="J2709">
        <v>20</v>
      </c>
      <c r="K2709" t="s">
        <v>26</v>
      </c>
    </row>
    <row r="2710" spans="1:11">
      <c r="A2710" s="1">
        <v>45834</v>
      </c>
      <c r="B2710" t="s">
        <v>21</v>
      </c>
      <c r="C2710" t="s">
        <v>61</v>
      </c>
      <c r="D2710">
        <v>190</v>
      </c>
      <c r="E2710">
        <v>20</v>
      </c>
      <c r="F2710">
        <v>19</v>
      </c>
      <c r="G2710">
        <v>4</v>
      </c>
      <c r="H2710">
        <v>233</v>
      </c>
      <c r="I2710" s="1">
        <v>45809</v>
      </c>
      <c r="J2710">
        <v>23</v>
      </c>
      <c r="K2710" t="s">
        <v>26</v>
      </c>
    </row>
    <row r="2711" spans="1:11">
      <c r="A2711" s="1">
        <v>45834</v>
      </c>
      <c r="B2711" t="s">
        <v>21</v>
      </c>
      <c r="C2711" t="s">
        <v>59</v>
      </c>
      <c r="D2711">
        <v>277</v>
      </c>
      <c r="E2711">
        <v>63</v>
      </c>
      <c r="F2711">
        <v>20</v>
      </c>
      <c r="G2711">
        <v>4</v>
      </c>
      <c r="H2711">
        <v>364</v>
      </c>
      <c r="I2711" s="1">
        <v>45809</v>
      </c>
      <c r="J2711">
        <v>24</v>
      </c>
      <c r="K2711" t="s">
        <v>26</v>
      </c>
    </row>
    <row r="2712" spans="1:11">
      <c r="A2712" s="1">
        <v>45834</v>
      </c>
      <c r="B2712" t="s">
        <v>21</v>
      </c>
      <c r="C2712" t="s">
        <v>67</v>
      </c>
      <c r="D2712">
        <v>190</v>
      </c>
      <c r="E2712">
        <v>73</v>
      </c>
      <c r="F2712">
        <v>52</v>
      </c>
      <c r="G2712">
        <v>41</v>
      </c>
      <c r="H2712">
        <v>355</v>
      </c>
      <c r="I2712" s="1">
        <v>45809</v>
      </c>
      <c r="J2712">
        <v>93</v>
      </c>
      <c r="K2712" t="s">
        <v>26</v>
      </c>
    </row>
    <row r="2713" spans="1:11">
      <c r="A2713" s="1">
        <v>45869</v>
      </c>
      <c r="B2713" t="s">
        <v>21</v>
      </c>
      <c r="C2713" t="s">
        <v>64</v>
      </c>
      <c r="D2713">
        <v>3146</v>
      </c>
      <c r="E2713">
        <v>1532</v>
      </c>
      <c r="F2713">
        <v>779</v>
      </c>
      <c r="G2713">
        <v>762</v>
      </c>
      <c r="H2713">
        <v>6219</v>
      </c>
      <c r="I2713" s="1">
        <v>45839</v>
      </c>
      <c r="J2713">
        <v>1541</v>
      </c>
      <c r="K2713" t="s">
        <v>26</v>
      </c>
    </row>
    <row r="2714" spans="1:11">
      <c r="A2714" s="1">
        <v>45869</v>
      </c>
      <c r="B2714" t="s">
        <v>21</v>
      </c>
      <c r="C2714" t="s">
        <v>65</v>
      </c>
      <c r="D2714">
        <v>168</v>
      </c>
      <c r="E2714">
        <v>111</v>
      </c>
      <c r="F2714">
        <v>30</v>
      </c>
      <c r="G2714">
        <v>20</v>
      </c>
      <c r="H2714">
        <v>329</v>
      </c>
      <c r="I2714" s="1">
        <v>45839</v>
      </c>
      <c r="J2714">
        <v>50</v>
      </c>
      <c r="K2714" t="s">
        <v>26</v>
      </c>
    </row>
    <row r="2715" spans="1:11">
      <c r="A2715" s="1">
        <v>45869</v>
      </c>
      <c r="B2715" t="s">
        <v>21</v>
      </c>
      <c r="C2715" t="s">
        <v>66</v>
      </c>
      <c r="D2715">
        <v>295</v>
      </c>
      <c r="E2715">
        <v>183</v>
      </c>
      <c r="F2715">
        <v>112</v>
      </c>
      <c r="G2715">
        <v>147</v>
      </c>
      <c r="H2715">
        <v>736</v>
      </c>
      <c r="I2715" s="1">
        <v>45839</v>
      </c>
      <c r="J2715">
        <v>259</v>
      </c>
      <c r="K2715" t="s">
        <v>26</v>
      </c>
    </row>
    <row r="2716" spans="1:11">
      <c r="A2716" s="1">
        <v>45869</v>
      </c>
      <c r="B2716" t="s">
        <v>21</v>
      </c>
      <c r="C2716" t="s">
        <v>54</v>
      </c>
      <c r="D2716">
        <v>38</v>
      </c>
      <c r="E2716">
        <v>5</v>
      </c>
      <c r="F2716">
        <v>5</v>
      </c>
      <c r="G2716">
        <v>5</v>
      </c>
      <c r="H2716">
        <v>53</v>
      </c>
      <c r="I2716" s="1">
        <v>45839</v>
      </c>
      <c r="J2716">
        <v>10</v>
      </c>
      <c r="K2716" t="s">
        <v>26</v>
      </c>
    </row>
    <row r="2717" spans="1:11">
      <c r="A2717" s="1">
        <v>45869</v>
      </c>
      <c r="B2717" t="s">
        <v>21</v>
      </c>
      <c r="C2717" t="s">
        <v>52</v>
      </c>
      <c r="D2717">
        <v>46</v>
      </c>
      <c r="E2717">
        <v>14</v>
      </c>
      <c r="F2717">
        <v>15</v>
      </c>
      <c r="G2717">
        <v>6</v>
      </c>
      <c r="H2717">
        <v>81</v>
      </c>
      <c r="I2717" s="1">
        <v>45839</v>
      </c>
      <c r="J2717">
        <v>21</v>
      </c>
      <c r="K2717" t="s">
        <v>26</v>
      </c>
    </row>
    <row r="2718" spans="1:11">
      <c r="A2718" s="1">
        <v>45869</v>
      </c>
      <c r="B2718" t="s">
        <v>21</v>
      </c>
      <c r="C2718" t="s">
        <v>63</v>
      </c>
      <c r="D2718">
        <v>42</v>
      </c>
      <c r="E2718">
        <v>25</v>
      </c>
      <c r="F2718">
        <v>12</v>
      </c>
      <c r="G2718">
        <v>13</v>
      </c>
      <c r="H2718">
        <v>92</v>
      </c>
      <c r="I2718" s="1">
        <v>45839</v>
      </c>
      <c r="J2718">
        <v>25</v>
      </c>
      <c r="K2718" t="s">
        <v>26</v>
      </c>
    </row>
    <row r="2719" spans="1:11">
      <c r="A2719" s="1">
        <v>45869</v>
      </c>
      <c r="B2719" t="s">
        <v>21</v>
      </c>
      <c r="C2719" t="s">
        <v>60</v>
      </c>
      <c r="D2719">
        <v>115</v>
      </c>
      <c r="E2719">
        <v>32</v>
      </c>
      <c r="F2719">
        <v>7</v>
      </c>
      <c r="G2719">
        <v>7</v>
      </c>
      <c r="H2719">
        <v>161</v>
      </c>
      <c r="I2719" s="1">
        <v>45839</v>
      </c>
      <c r="J2719">
        <v>14</v>
      </c>
      <c r="K2719" t="s">
        <v>26</v>
      </c>
    </row>
    <row r="2720" spans="1:11">
      <c r="A2720" s="1">
        <v>45869</v>
      </c>
      <c r="B2720" t="s">
        <v>21</v>
      </c>
      <c r="C2720" t="s">
        <v>61</v>
      </c>
      <c r="D2720">
        <v>203</v>
      </c>
      <c r="E2720">
        <v>29</v>
      </c>
      <c r="F2720">
        <v>23</v>
      </c>
      <c r="G2720">
        <v>3</v>
      </c>
      <c r="H2720">
        <v>259</v>
      </c>
      <c r="I2720" s="1">
        <v>45839</v>
      </c>
      <c r="J2720">
        <v>26</v>
      </c>
      <c r="K2720" t="s">
        <v>26</v>
      </c>
    </row>
    <row r="2721" spans="1:11">
      <c r="A2721" s="1">
        <v>45869</v>
      </c>
      <c r="B2721" t="s">
        <v>21</v>
      </c>
      <c r="C2721" t="s">
        <v>59</v>
      </c>
      <c r="D2721">
        <v>281</v>
      </c>
      <c r="E2721">
        <v>72</v>
      </c>
      <c r="F2721">
        <v>18</v>
      </c>
      <c r="G2721">
        <v>4</v>
      </c>
      <c r="H2721">
        <v>375</v>
      </c>
      <c r="I2721" s="1">
        <v>45839</v>
      </c>
      <c r="J2721">
        <v>22</v>
      </c>
      <c r="K2721" t="s">
        <v>26</v>
      </c>
    </row>
    <row r="2722" spans="1:11">
      <c r="A2722" s="1">
        <v>45869</v>
      </c>
      <c r="B2722" t="s">
        <v>21</v>
      </c>
      <c r="C2722" t="s">
        <v>67</v>
      </c>
      <c r="D2722">
        <v>212</v>
      </c>
      <c r="E2722">
        <v>64</v>
      </c>
      <c r="F2722">
        <v>51</v>
      </c>
      <c r="G2722">
        <v>39</v>
      </c>
      <c r="H2722">
        <v>367</v>
      </c>
      <c r="I2722" s="1">
        <v>45839</v>
      </c>
      <c r="J2722">
        <v>90</v>
      </c>
      <c r="K2722" t="s">
        <v>26</v>
      </c>
    </row>
    <row r="2723" spans="1:11">
      <c r="A2723" s="1">
        <v>45897</v>
      </c>
      <c r="B2723" t="s">
        <v>21</v>
      </c>
      <c r="C2723" t="s">
        <v>64</v>
      </c>
      <c r="D2723">
        <v>2925</v>
      </c>
      <c r="E2723">
        <v>1395</v>
      </c>
      <c r="F2723">
        <v>646</v>
      </c>
      <c r="G2723">
        <v>667</v>
      </c>
      <c r="H2723">
        <v>5633</v>
      </c>
      <c r="I2723" s="1">
        <v>45870</v>
      </c>
      <c r="J2723">
        <v>1313</v>
      </c>
      <c r="K2723" t="s">
        <v>26</v>
      </c>
    </row>
    <row r="2724" spans="1:11">
      <c r="A2724" s="1">
        <v>45897</v>
      </c>
      <c r="B2724" t="s">
        <v>21</v>
      </c>
      <c r="C2724" t="s">
        <v>65</v>
      </c>
      <c r="D2724">
        <v>147</v>
      </c>
      <c r="E2724">
        <v>123</v>
      </c>
      <c r="F2724">
        <v>17</v>
      </c>
      <c r="G2724">
        <v>12</v>
      </c>
      <c r="H2724">
        <v>299</v>
      </c>
      <c r="I2724" s="1">
        <v>45870</v>
      </c>
      <c r="J2724">
        <v>29</v>
      </c>
      <c r="K2724" t="s">
        <v>26</v>
      </c>
    </row>
    <row r="2725" spans="1:11">
      <c r="A2725" s="1">
        <v>45897</v>
      </c>
      <c r="B2725" t="s">
        <v>21</v>
      </c>
      <c r="C2725" t="s">
        <v>66</v>
      </c>
      <c r="D2725">
        <v>250</v>
      </c>
      <c r="E2725">
        <v>205</v>
      </c>
      <c r="F2725">
        <v>92</v>
      </c>
      <c r="G2725">
        <v>148</v>
      </c>
      <c r="H2725">
        <v>694</v>
      </c>
      <c r="I2725" s="1">
        <v>45870</v>
      </c>
      <c r="J2725">
        <v>240</v>
      </c>
      <c r="K2725" t="s">
        <v>26</v>
      </c>
    </row>
    <row r="2726" spans="1:11">
      <c r="A2726" s="1">
        <v>45897</v>
      </c>
      <c r="B2726" t="s">
        <v>21</v>
      </c>
      <c r="C2726" t="s">
        <v>54</v>
      </c>
      <c r="D2726">
        <v>45</v>
      </c>
      <c r="E2726">
        <v>11</v>
      </c>
      <c r="F2726">
        <v>4</v>
      </c>
      <c r="G2726">
        <v>6</v>
      </c>
      <c r="H2726">
        <v>66</v>
      </c>
      <c r="I2726" s="1">
        <v>45870</v>
      </c>
      <c r="J2726">
        <v>10</v>
      </c>
      <c r="K2726" t="s">
        <v>26</v>
      </c>
    </row>
    <row r="2727" spans="1:11">
      <c r="A2727" s="1">
        <v>45897</v>
      </c>
      <c r="B2727" t="s">
        <v>21</v>
      </c>
      <c r="C2727" t="s">
        <v>52</v>
      </c>
      <c r="D2727">
        <v>35</v>
      </c>
      <c r="E2727">
        <v>20</v>
      </c>
      <c r="F2727">
        <v>17</v>
      </c>
      <c r="G2727">
        <v>9</v>
      </c>
      <c r="H2727">
        <v>81</v>
      </c>
      <c r="I2727" s="1">
        <v>45870</v>
      </c>
      <c r="J2727">
        <v>26</v>
      </c>
      <c r="K2727" t="s">
        <v>26</v>
      </c>
    </row>
    <row r="2728" spans="1:11">
      <c r="A2728" s="1">
        <v>45897</v>
      </c>
      <c r="B2728" t="s">
        <v>21</v>
      </c>
      <c r="C2728" t="s">
        <v>63</v>
      </c>
      <c r="D2728">
        <v>43</v>
      </c>
      <c r="E2728">
        <v>27</v>
      </c>
      <c r="F2728">
        <v>10</v>
      </c>
      <c r="G2728">
        <v>16</v>
      </c>
      <c r="H2728">
        <v>96</v>
      </c>
      <c r="I2728" s="1">
        <v>45870</v>
      </c>
      <c r="J2728">
        <v>26</v>
      </c>
      <c r="K2728" t="s">
        <v>26</v>
      </c>
    </row>
    <row r="2729" spans="1:11">
      <c r="A2729" s="1">
        <v>45897</v>
      </c>
      <c r="B2729" t="s">
        <v>21</v>
      </c>
      <c r="C2729" t="s">
        <v>60</v>
      </c>
      <c r="D2729">
        <v>98</v>
      </c>
      <c r="E2729">
        <v>39</v>
      </c>
      <c r="F2729">
        <v>7</v>
      </c>
      <c r="G2729">
        <v>9</v>
      </c>
      <c r="H2729">
        <v>152</v>
      </c>
      <c r="I2729" s="1">
        <v>45870</v>
      </c>
      <c r="J2729">
        <v>16</v>
      </c>
      <c r="K2729" t="s">
        <v>26</v>
      </c>
    </row>
    <row r="2730" spans="1:11">
      <c r="A2730" s="1">
        <v>45897</v>
      </c>
      <c r="B2730" t="s">
        <v>21</v>
      </c>
      <c r="C2730" t="s">
        <v>61</v>
      </c>
      <c r="D2730">
        <v>210</v>
      </c>
      <c r="E2730">
        <v>37</v>
      </c>
      <c r="F2730">
        <v>13</v>
      </c>
      <c r="G2730">
        <v>7</v>
      </c>
      <c r="H2730">
        <v>268</v>
      </c>
      <c r="I2730" s="1">
        <v>45870</v>
      </c>
      <c r="J2730">
        <v>20</v>
      </c>
      <c r="K2730" t="s">
        <v>26</v>
      </c>
    </row>
    <row r="2731" spans="1:11">
      <c r="A2731" s="1">
        <v>45897</v>
      </c>
      <c r="B2731" t="s">
        <v>21</v>
      </c>
      <c r="C2731" t="s">
        <v>59</v>
      </c>
      <c r="D2731">
        <v>247</v>
      </c>
      <c r="E2731">
        <v>75</v>
      </c>
      <c r="F2731">
        <v>18</v>
      </c>
      <c r="G2731">
        <v>6</v>
      </c>
      <c r="H2731">
        <v>346</v>
      </c>
      <c r="I2731" s="1">
        <v>45870</v>
      </c>
      <c r="J2731">
        <v>24</v>
      </c>
      <c r="K2731" t="s">
        <v>26</v>
      </c>
    </row>
    <row r="2732" spans="1:11">
      <c r="A2732" s="1">
        <v>45897</v>
      </c>
      <c r="B2732" t="s">
        <v>21</v>
      </c>
      <c r="C2732" t="s">
        <v>67</v>
      </c>
      <c r="D2732">
        <v>205</v>
      </c>
      <c r="E2732">
        <v>61</v>
      </c>
      <c r="F2732">
        <v>44</v>
      </c>
      <c r="G2732">
        <v>44</v>
      </c>
      <c r="H2732">
        <v>353</v>
      </c>
      <c r="I2732" s="1">
        <v>45870</v>
      </c>
      <c r="J2732">
        <v>88</v>
      </c>
      <c r="K2732" t="s">
        <v>26</v>
      </c>
    </row>
    <row r="2733" spans="1:11">
      <c r="A2733" s="1">
        <v>45925</v>
      </c>
      <c r="B2733" t="s">
        <v>21</v>
      </c>
      <c r="C2733" t="s">
        <v>64</v>
      </c>
      <c r="D2733">
        <v>2923</v>
      </c>
      <c r="E2733">
        <v>1383</v>
      </c>
      <c r="F2733">
        <v>648</v>
      </c>
      <c r="G2733">
        <v>578</v>
      </c>
      <c r="H2733">
        <v>5532</v>
      </c>
      <c r="I2733" s="1">
        <v>45901</v>
      </c>
      <c r="J2733">
        <v>1226</v>
      </c>
      <c r="K2733" t="s">
        <v>26</v>
      </c>
    </row>
    <row r="2734" spans="1:11">
      <c r="A2734" s="1">
        <v>45925</v>
      </c>
      <c r="B2734" t="s">
        <v>21</v>
      </c>
      <c r="C2734" t="s">
        <v>65</v>
      </c>
      <c r="D2734">
        <v>167</v>
      </c>
      <c r="E2734">
        <v>120</v>
      </c>
      <c r="F2734">
        <v>26</v>
      </c>
      <c r="G2734">
        <v>9</v>
      </c>
      <c r="H2734">
        <v>322</v>
      </c>
      <c r="I2734" s="1">
        <v>45901</v>
      </c>
      <c r="J2734">
        <v>35</v>
      </c>
      <c r="K2734" t="s">
        <v>26</v>
      </c>
    </row>
    <row r="2735" spans="1:11">
      <c r="A2735" s="1">
        <v>45925</v>
      </c>
      <c r="B2735" t="s">
        <v>21</v>
      </c>
      <c r="C2735" t="s">
        <v>66</v>
      </c>
      <c r="D2735">
        <v>218</v>
      </c>
      <c r="E2735">
        <v>153</v>
      </c>
      <c r="F2735">
        <v>102</v>
      </c>
      <c r="G2735">
        <v>141</v>
      </c>
      <c r="H2735">
        <v>615</v>
      </c>
      <c r="I2735" s="1">
        <v>45901</v>
      </c>
      <c r="J2735">
        <v>243</v>
      </c>
      <c r="K2735" t="s">
        <v>26</v>
      </c>
    </row>
    <row r="2736" spans="1:11">
      <c r="A2736" s="1">
        <v>45925</v>
      </c>
      <c r="B2736" t="s">
        <v>21</v>
      </c>
      <c r="C2736" t="s">
        <v>57</v>
      </c>
      <c r="D2736">
        <v>17</v>
      </c>
      <c r="E2736">
        <v>4</v>
      </c>
      <c r="F2736">
        <v>4</v>
      </c>
      <c r="G2736">
        <v>1</v>
      </c>
      <c r="H2736">
        <v>27</v>
      </c>
      <c r="I2736" s="1">
        <v>45901</v>
      </c>
      <c r="J2736">
        <v>5</v>
      </c>
      <c r="K2736" t="s">
        <v>26</v>
      </c>
    </row>
    <row r="2737" spans="1:11">
      <c r="A2737" s="1">
        <v>45925</v>
      </c>
      <c r="B2737" t="s">
        <v>21</v>
      </c>
      <c r="C2737" t="s">
        <v>54</v>
      </c>
      <c r="D2737">
        <v>43</v>
      </c>
      <c r="E2737">
        <v>5</v>
      </c>
      <c r="F2737">
        <v>5</v>
      </c>
      <c r="G2737">
        <v>3</v>
      </c>
      <c r="H2737">
        <v>55</v>
      </c>
      <c r="I2737" s="1">
        <v>45901</v>
      </c>
      <c r="J2737">
        <v>8</v>
      </c>
      <c r="K2737" t="s">
        <v>26</v>
      </c>
    </row>
    <row r="2738" spans="1:11">
      <c r="A2738" s="1">
        <v>45925</v>
      </c>
      <c r="B2738" t="s">
        <v>21</v>
      </c>
      <c r="C2738" t="s">
        <v>52</v>
      </c>
      <c r="D2738">
        <v>36</v>
      </c>
      <c r="E2738">
        <v>18</v>
      </c>
      <c r="F2738">
        <v>18</v>
      </c>
      <c r="G2738">
        <v>9</v>
      </c>
      <c r="H2738">
        <v>82</v>
      </c>
      <c r="I2738" s="1">
        <v>45901</v>
      </c>
      <c r="J2738">
        <v>27</v>
      </c>
      <c r="K2738" t="s">
        <v>26</v>
      </c>
    </row>
    <row r="2739" spans="1:11">
      <c r="A2739" s="1">
        <v>45925</v>
      </c>
      <c r="B2739" t="s">
        <v>21</v>
      </c>
      <c r="C2739" t="s">
        <v>63</v>
      </c>
      <c r="D2739">
        <v>48</v>
      </c>
      <c r="E2739">
        <v>22</v>
      </c>
      <c r="F2739">
        <v>15</v>
      </c>
      <c r="G2739">
        <v>16</v>
      </c>
      <c r="H2739">
        <v>101</v>
      </c>
      <c r="I2739" s="1">
        <v>45901</v>
      </c>
      <c r="J2739">
        <v>31</v>
      </c>
      <c r="K2739" t="s">
        <v>26</v>
      </c>
    </row>
    <row r="2740" spans="1:11">
      <c r="A2740" s="1">
        <v>45925</v>
      </c>
      <c r="B2740" t="s">
        <v>21</v>
      </c>
      <c r="C2740" t="s">
        <v>60</v>
      </c>
      <c r="D2740">
        <v>99</v>
      </c>
      <c r="E2740">
        <v>31</v>
      </c>
      <c r="F2740">
        <v>9</v>
      </c>
      <c r="G2740">
        <v>7</v>
      </c>
      <c r="H2740">
        <v>145</v>
      </c>
      <c r="I2740" s="1">
        <v>45901</v>
      </c>
      <c r="J2740">
        <v>16</v>
      </c>
      <c r="K2740" t="s">
        <v>26</v>
      </c>
    </row>
    <row r="2741" spans="1:11">
      <c r="A2741" s="1">
        <v>45925</v>
      </c>
      <c r="B2741" t="s">
        <v>21</v>
      </c>
      <c r="C2741" t="s">
        <v>61</v>
      </c>
      <c r="D2741">
        <v>218</v>
      </c>
      <c r="E2741">
        <v>37</v>
      </c>
      <c r="F2741">
        <v>10</v>
      </c>
      <c r="G2741">
        <v>4</v>
      </c>
      <c r="H2741">
        <v>270</v>
      </c>
      <c r="I2741" s="1">
        <v>45901</v>
      </c>
      <c r="J2741">
        <v>14</v>
      </c>
      <c r="K2741" t="s">
        <v>26</v>
      </c>
    </row>
    <row r="2742" spans="1:11">
      <c r="A2742" s="1">
        <v>45925</v>
      </c>
      <c r="B2742" t="s">
        <v>21</v>
      </c>
      <c r="C2742" t="s">
        <v>59</v>
      </c>
      <c r="D2742">
        <v>241</v>
      </c>
      <c r="E2742">
        <v>89</v>
      </c>
      <c r="F2742">
        <v>21</v>
      </c>
      <c r="G2742">
        <v>6</v>
      </c>
      <c r="H2742">
        <v>357</v>
      </c>
      <c r="I2742" s="1">
        <v>45901</v>
      </c>
      <c r="J2742">
        <v>27</v>
      </c>
      <c r="K2742" t="s">
        <v>26</v>
      </c>
    </row>
    <row r="2743" spans="1:11">
      <c r="A2743" s="1">
        <v>45925</v>
      </c>
      <c r="B2743" t="s">
        <v>21</v>
      </c>
      <c r="C2743" t="s">
        <v>67</v>
      </c>
      <c r="D2743">
        <v>229</v>
      </c>
      <c r="E2743">
        <v>52</v>
      </c>
      <c r="F2743">
        <v>46</v>
      </c>
      <c r="G2743">
        <v>43</v>
      </c>
      <c r="H2743">
        <v>370</v>
      </c>
      <c r="I2743" s="1">
        <v>45901</v>
      </c>
      <c r="J2743">
        <v>89</v>
      </c>
      <c r="K2743" t="s">
        <v>26</v>
      </c>
    </row>
    <row r="2744" spans="1:11">
      <c r="A2744" s="1">
        <v>45960</v>
      </c>
      <c r="B2744" t="s">
        <v>21</v>
      </c>
      <c r="C2744" t="s">
        <v>64</v>
      </c>
      <c r="D2744">
        <v>3030</v>
      </c>
      <c r="E2744">
        <v>1349</v>
      </c>
      <c r="F2744">
        <v>625</v>
      </c>
      <c r="G2744">
        <v>470</v>
      </c>
      <c r="H2744">
        <v>5474</v>
      </c>
      <c r="I2744" s="1">
        <v>45931</v>
      </c>
      <c r="J2744">
        <v>1095</v>
      </c>
      <c r="K2744" t="s">
        <v>26</v>
      </c>
    </row>
    <row r="2745" spans="1:11">
      <c r="A2745" s="1">
        <v>45960</v>
      </c>
      <c r="B2745" t="s">
        <v>21</v>
      </c>
      <c r="C2745" t="s">
        <v>65</v>
      </c>
      <c r="D2745">
        <v>170</v>
      </c>
      <c r="E2745">
        <v>90</v>
      </c>
      <c r="F2745">
        <v>45</v>
      </c>
      <c r="G2745">
        <v>9</v>
      </c>
      <c r="H2745">
        <v>314</v>
      </c>
      <c r="I2745" s="1">
        <v>45931</v>
      </c>
      <c r="J2745">
        <v>54</v>
      </c>
      <c r="K2745" t="s">
        <v>26</v>
      </c>
    </row>
    <row r="2746" spans="1:11">
      <c r="A2746" s="1">
        <v>45960</v>
      </c>
      <c r="B2746" t="s">
        <v>21</v>
      </c>
      <c r="C2746" t="s">
        <v>66</v>
      </c>
      <c r="D2746">
        <v>224</v>
      </c>
      <c r="E2746">
        <v>155</v>
      </c>
      <c r="F2746">
        <v>99</v>
      </c>
      <c r="G2746">
        <v>149</v>
      </c>
      <c r="H2746">
        <v>627</v>
      </c>
      <c r="I2746" s="1">
        <v>45931</v>
      </c>
      <c r="J2746">
        <v>248</v>
      </c>
      <c r="K2746" t="s">
        <v>26</v>
      </c>
    </row>
    <row r="2747" spans="1:11">
      <c r="A2747" s="1">
        <v>45960</v>
      </c>
      <c r="B2747" t="s">
        <v>21</v>
      </c>
      <c r="C2747" t="s">
        <v>52</v>
      </c>
      <c r="D2747">
        <v>48</v>
      </c>
      <c r="E2747">
        <v>21</v>
      </c>
      <c r="F2747">
        <v>17</v>
      </c>
      <c r="G2747">
        <v>6</v>
      </c>
      <c r="H2747">
        <v>92</v>
      </c>
      <c r="I2747" s="1">
        <v>45931</v>
      </c>
      <c r="J2747">
        <v>23</v>
      </c>
      <c r="K2747" t="s">
        <v>26</v>
      </c>
    </row>
    <row r="2748" spans="1:11">
      <c r="A2748" s="1">
        <v>45960</v>
      </c>
      <c r="B2748" t="s">
        <v>21</v>
      </c>
      <c r="C2748" t="s">
        <v>63</v>
      </c>
      <c r="D2748">
        <v>45</v>
      </c>
      <c r="E2748">
        <v>24</v>
      </c>
      <c r="F2748">
        <v>14</v>
      </c>
      <c r="G2748">
        <v>14</v>
      </c>
      <c r="H2748">
        <v>97</v>
      </c>
      <c r="I2748" s="1">
        <v>45931</v>
      </c>
      <c r="J2748">
        <v>28</v>
      </c>
      <c r="K2748" t="s">
        <v>26</v>
      </c>
    </row>
    <row r="2749" spans="1:11">
      <c r="A2749" s="1">
        <v>45960</v>
      </c>
      <c r="B2749" t="s">
        <v>21</v>
      </c>
      <c r="C2749" t="s">
        <v>60</v>
      </c>
      <c r="D2749">
        <v>132</v>
      </c>
      <c r="E2749">
        <v>35</v>
      </c>
      <c r="F2749">
        <v>13</v>
      </c>
      <c r="G2749">
        <v>5</v>
      </c>
      <c r="H2749">
        <v>185</v>
      </c>
      <c r="I2749" s="1">
        <v>45931</v>
      </c>
      <c r="J2749">
        <v>18</v>
      </c>
      <c r="K2749" t="s">
        <v>26</v>
      </c>
    </row>
    <row r="2750" spans="1:11">
      <c r="A2750" s="1">
        <v>45960</v>
      </c>
      <c r="B2750" t="s">
        <v>21</v>
      </c>
      <c r="C2750" t="s">
        <v>61</v>
      </c>
      <c r="D2750">
        <v>223</v>
      </c>
      <c r="E2750">
        <v>34</v>
      </c>
      <c r="F2750">
        <v>9</v>
      </c>
      <c r="G2750">
        <v>7</v>
      </c>
      <c r="H2750">
        <v>274</v>
      </c>
      <c r="I2750" s="1">
        <v>45931</v>
      </c>
      <c r="J2750">
        <v>16</v>
      </c>
      <c r="K2750" t="s">
        <v>26</v>
      </c>
    </row>
    <row r="2751" spans="1:11">
      <c r="A2751" s="1">
        <v>45960</v>
      </c>
      <c r="B2751" t="s">
        <v>21</v>
      </c>
      <c r="C2751" t="s">
        <v>59</v>
      </c>
      <c r="D2751">
        <v>231</v>
      </c>
      <c r="E2751">
        <v>88</v>
      </c>
      <c r="F2751">
        <v>17</v>
      </c>
      <c r="G2751">
        <v>5</v>
      </c>
      <c r="H2751">
        <v>341</v>
      </c>
      <c r="I2751" s="1">
        <v>45931</v>
      </c>
      <c r="J2751">
        <v>22</v>
      </c>
      <c r="K2751" t="s">
        <v>26</v>
      </c>
    </row>
    <row r="2752" spans="1:11">
      <c r="A2752" s="1">
        <v>45960</v>
      </c>
      <c r="B2752" t="s">
        <v>21</v>
      </c>
      <c r="C2752" t="s">
        <v>67</v>
      </c>
      <c r="D2752">
        <v>199</v>
      </c>
      <c r="E2752">
        <v>62</v>
      </c>
      <c r="F2752">
        <v>44</v>
      </c>
      <c r="G2752">
        <v>41</v>
      </c>
      <c r="H2752">
        <v>346</v>
      </c>
      <c r="I2752" s="1">
        <v>45931</v>
      </c>
      <c r="J2752">
        <v>85</v>
      </c>
      <c r="K2752" t="s">
        <v>26</v>
      </c>
    </row>
    <row r="2753" spans="1:11">
      <c r="A2753" s="1">
        <v>45988</v>
      </c>
      <c r="B2753" t="s">
        <v>21</v>
      </c>
      <c r="C2753" t="s">
        <v>64</v>
      </c>
      <c r="D2753">
        <v>3103</v>
      </c>
      <c r="E2753">
        <v>1388</v>
      </c>
      <c r="F2753">
        <v>597</v>
      </c>
      <c r="G2753">
        <v>426</v>
      </c>
      <c r="H2753">
        <v>5514</v>
      </c>
      <c r="I2753" s="1">
        <v>45962</v>
      </c>
      <c r="J2753">
        <v>1023</v>
      </c>
      <c r="K2753" t="s">
        <v>26</v>
      </c>
    </row>
    <row r="2754" spans="1:11">
      <c r="A2754" s="1">
        <v>45988</v>
      </c>
      <c r="B2754" t="s">
        <v>21</v>
      </c>
      <c r="C2754" t="s">
        <v>65</v>
      </c>
      <c r="D2754">
        <v>167</v>
      </c>
      <c r="E2754">
        <v>103</v>
      </c>
      <c r="F2754">
        <v>50</v>
      </c>
      <c r="G2754">
        <v>10</v>
      </c>
      <c r="H2754">
        <v>330</v>
      </c>
      <c r="I2754" s="1">
        <v>45962</v>
      </c>
      <c r="J2754">
        <v>60</v>
      </c>
      <c r="K2754" t="s">
        <v>26</v>
      </c>
    </row>
    <row r="2755" spans="1:11">
      <c r="A2755" s="1">
        <v>45988</v>
      </c>
      <c r="B2755" t="s">
        <v>21</v>
      </c>
      <c r="C2755" t="s">
        <v>66</v>
      </c>
      <c r="D2755">
        <v>245</v>
      </c>
      <c r="E2755">
        <v>127</v>
      </c>
      <c r="F2755">
        <v>98</v>
      </c>
      <c r="G2755">
        <v>147</v>
      </c>
      <c r="H2755">
        <v>617</v>
      </c>
      <c r="I2755" s="1">
        <v>45962</v>
      </c>
      <c r="J2755">
        <v>245</v>
      </c>
      <c r="K2755" t="s">
        <v>26</v>
      </c>
    </row>
    <row r="2756" spans="1:11">
      <c r="A2756" s="1">
        <v>45988</v>
      </c>
      <c r="B2756" t="s">
        <v>21</v>
      </c>
      <c r="C2756" t="s">
        <v>52</v>
      </c>
      <c r="D2756">
        <v>56</v>
      </c>
      <c r="E2756">
        <v>16</v>
      </c>
      <c r="F2756">
        <v>12</v>
      </c>
      <c r="G2756">
        <v>6</v>
      </c>
      <c r="H2756">
        <v>90</v>
      </c>
      <c r="I2756" s="1">
        <v>45962</v>
      </c>
      <c r="J2756">
        <v>18</v>
      </c>
      <c r="K2756" t="s">
        <v>26</v>
      </c>
    </row>
    <row r="2757" spans="1:11">
      <c r="A2757" s="1">
        <v>45988</v>
      </c>
      <c r="B2757" t="s">
        <v>21</v>
      </c>
      <c r="C2757" t="s">
        <v>63</v>
      </c>
      <c r="D2757">
        <v>52</v>
      </c>
      <c r="E2757">
        <v>28</v>
      </c>
      <c r="F2757">
        <v>12</v>
      </c>
      <c r="G2757">
        <v>9</v>
      </c>
      <c r="H2757">
        <v>100</v>
      </c>
      <c r="I2757" s="1">
        <v>45962</v>
      </c>
      <c r="J2757">
        <v>21</v>
      </c>
      <c r="K2757" t="s">
        <v>26</v>
      </c>
    </row>
    <row r="2758" spans="1:11">
      <c r="A2758" s="1">
        <v>45988</v>
      </c>
      <c r="B2758" t="s">
        <v>21</v>
      </c>
      <c r="C2758" t="s">
        <v>60</v>
      </c>
      <c r="D2758">
        <v>123</v>
      </c>
      <c r="E2758">
        <v>24</v>
      </c>
      <c r="F2758">
        <v>17</v>
      </c>
      <c r="G2758">
        <v>5</v>
      </c>
      <c r="H2758">
        <v>169</v>
      </c>
      <c r="I2758" s="1">
        <v>45962</v>
      </c>
      <c r="J2758">
        <v>22</v>
      </c>
      <c r="K2758" t="s">
        <v>26</v>
      </c>
    </row>
    <row r="2759" spans="1:11">
      <c r="A2759" s="1">
        <v>45988</v>
      </c>
      <c r="B2759" t="s">
        <v>21</v>
      </c>
      <c r="C2759" t="s">
        <v>61</v>
      </c>
      <c r="D2759">
        <v>229</v>
      </c>
      <c r="E2759">
        <v>30</v>
      </c>
      <c r="F2759">
        <v>9</v>
      </c>
      <c r="G2759">
        <v>6</v>
      </c>
      <c r="H2759">
        <v>274</v>
      </c>
      <c r="I2759" s="1">
        <v>45962</v>
      </c>
      <c r="J2759">
        <v>15</v>
      </c>
      <c r="K2759" t="s">
        <v>26</v>
      </c>
    </row>
    <row r="2760" spans="1:11">
      <c r="A2760" s="1">
        <v>45988</v>
      </c>
      <c r="B2760" t="s">
        <v>21</v>
      </c>
      <c r="C2760" t="s">
        <v>59</v>
      </c>
      <c r="D2760">
        <v>223</v>
      </c>
      <c r="E2760">
        <v>92</v>
      </c>
      <c r="F2760">
        <v>26</v>
      </c>
      <c r="G2760">
        <v>6</v>
      </c>
      <c r="H2760">
        <v>347</v>
      </c>
      <c r="I2760" s="1">
        <v>45962</v>
      </c>
      <c r="J2760">
        <v>32</v>
      </c>
      <c r="K2760" t="s">
        <v>26</v>
      </c>
    </row>
    <row r="2761" spans="1:11">
      <c r="A2761" s="1">
        <v>45988</v>
      </c>
      <c r="B2761" t="s">
        <v>21</v>
      </c>
      <c r="C2761" t="s">
        <v>67</v>
      </c>
      <c r="D2761">
        <v>188</v>
      </c>
      <c r="E2761">
        <v>70</v>
      </c>
      <c r="F2761">
        <v>43</v>
      </c>
      <c r="G2761">
        <v>43</v>
      </c>
      <c r="H2761">
        <v>345</v>
      </c>
      <c r="I2761" s="1">
        <v>45962</v>
      </c>
      <c r="J2761">
        <v>86</v>
      </c>
      <c r="K2761" t="s">
        <v>26</v>
      </c>
    </row>
    <row r="2762" spans="1:11">
      <c r="A2762" s="1">
        <v>46009</v>
      </c>
      <c r="B2762" t="s">
        <v>21</v>
      </c>
      <c r="C2762" t="s">
        <v>64</v>
      </c>
      <c r="D2762">
        <v>3319</v>
      </c>
      <c r="E2762">
        <v>1295</v>
      </c>
      <c r="F2762">
        <v>638</v>
      </c>
      <c r="G2762">
        <v>285</v>
      </c>
      <c r="H2762">
        <v>5538</v>
      </c>
      <c r="I2762" s="1">
        <v>45992</v>
      </c>
      <c r="J2762">
        <v>923</v>
      </c>
      <c r="K2762" t="s">
        <v>26</v>
      </c>
    </row>
    <row r="2763" spans="1:11">
      <c r="A2763" s="1">
        <v>46009</v>
      </c>
      <c r="B2763" t="s">
        <v>21</v>
      </c>
      <c r="C2763" t="s">
        <v>65</v>
      </c>
      <c r="D2763">
        <v>159</v>
      </c>
      <c r="E2763">
        <v>105</v>
      </c>
      <c r="F2763">
        <v>58</v>
      </c>
      <c r="G2763">
        <v>7</v>
      </c>
      <c r="H2763">
        <v>329</v>
      </c>
      <c r="I2763" s="1">
        <v>45992</v>
      </c>
      <c r="J2763">
        <v>65</v>
      </c>
      <c r="K2763" t="s">
        <v>26</v>
      </c>
    </row>
    <row r="2764" spans="1:11">
      <c r="A2764" s="1">
        <v>46009</v>
      </c>
      <c r="B2764" t="s">
        <v>21</v>
      </c>
      <c r="C2764" t="s">
        <v>66</v>
      </c>
      <c r="D2764">
        <v>268</v>
      </c>
      <c r="E2764">
        <v>105</v>
      </c>
      <c r="F2764">
        <v>104</v>
      </c>
      <c r="G2764">
        <v>141</v>
      </c>
      <c r="H2764">
        <v>618</v>
      </c>
      <c r="I2764" s="1">
        <v>45992</v>
      </c>
      <c r="J2764">
        <v>245</v>
      </c>
      <c r="K2764" t="s">
        <v>26</v>
      </c>
    </row>
    <row r="2765" spans="1:11">
      <c r="A2765" s="1">
        <v>46009</v>
      </c>
      <c r="B2765" t="s">
        <v>21</v>
      </c>
      <c r="C2765" t="s">
        <v>52</v>
      </c>
      <c r="D2765">
        <v>61</v>
      </c>
      <c r="E2765">
        <v>21</v>
      </c>
      <c r="F2765">
        <v>7</v>
      </c>
      <c r="G2765">
        <v>6</v>
      </c>
      <c r="H2765">
        <v>95</v>
      </c>
      <c r="I2765" s="1">
        <v>45992</v>
      </c>
      <c r="J2765">
        <v>13</v>
      </c>
      <c r="K2765" t="s">
        <v>26</v>
      </c>
    </row>
    <row r="2766" spans="1:11">
      <c r="A2766" s="1">
        <v>46009</v>
      </c>
      <c r="B2766" t="s">
        <v>21</v>
      </c>
      <c r="C2766" t="s">
        <v>63</v>
      </c>
      <c r="D2766">
        <v>51</v>
      </c>
      <c r="E2766">
        <v>32</v>
      </c>
      <c r="F2766">
        <v>10</v>
      </c>
      <c r="G2766">
        <v>7</v>
      </c>
      <c r="H2766">
        <v>100</v>
      </c>
      <c r="I2766" s="1">
        <v>45992</v>
      </c>
      <c r="J2766">
        <v>17</v>
      </c>
      <c r="K2766" t="s">
        <v>26</v>
      </c>
    </row>
    <row r="2767" spans="1:11">
      <c r="A2767" s="1">
        <v>46009</v>
      </c>
      <c r="B2767" t="s">
        <v>21</v>
      </c>
      <c r="C2767" t="s">
        <v>60</v>
      </c>
      <c r="D2767">
        <v>134</v>
      </c>
      <c r="E2767">
        <v>30</v>
      </c>
      <c r="F2767">
        <v>16</v>
      </c>
      <c r="G2767">
        <v>7</v>
      </c>
      <c r="H2767">
        <v>187</v>
      </c>
      <c r="I2767" s="1">
        <v>45992</v>
      </c>
      <c r="J2767">
        <v>23</v>
      </c>
      <c r="K2767" t="s">
        <v>26</v>
      </c>
    </row>
    <row r="2768" spans="1:11">
      <c r="A2768" s="1">
        <v>46009</v>
      </c>
      <c r="B2768" t="s">
        <v>21</v>
      </c>
      <c r="C2768" t="s">
        <v>61</v>
      </c>
      <c r="D2768">
        <v>242</v>
      </c>
      <c r="E2768">
        <v>30</v>
      </c>
      <c r="F2768">
        <v>8</v>
      </c>
      <c r="G2768">
        <v>6</v>
      </c>
      <c r="H2768">
        <v>287</v>
      </c>
      <c r="I2768" s="1">
        <v>45992</v>
      </c>
      <c r="J2768">
        <v>14</v>
      </c>
      <c r="K2768" t="s">
        <v>26</v>
      </c>
    </row>
    <row r="2769" spans="1:11">
      <c r="A2769" s="1">
        <v>46009</v>
      </c>
      <c r="B2769" t="s">
        <v>21</v>
      </c>
      <c r="C2769" t="s">
        <v>59</v>
      </c>
      <c r="D2769">
        <v>237</v>
      </c>
      <c r="E2769">
        <v>91</v>
      </c>
      <c r="F2769">
        <v>23</v>
      </c>
      <c r="G2769">
        <v>4</v>
      </c>
      <c r="H2769">
        <v>354</v>
      </c>
      <c r="I2769" s="1">
        <v>45992</v>
      </c>
      <c r="J2769">
        <v>27</v>
      </c>
      <c r="K2769" t="s">
        <v>26</v>
      </c>
    </row>
    <row r="2770" spans="1:11">
      <c r="A2770" s="1">
        <v>46009</v>
      </c>
      <c r="B2770" t="s">
        <v>21</v>
      </c>
      <c r="C2770" t="s">
        <v>67</v>
      </c>
      <c r="D2770">
        <v>211</v>
      </c>
      <c r="E2770">
        <v>75</v>
      </c>
      <c r="F2770">
        <v>37</v>
      </c>
      <c r="G2770">
        <v>48</v>
      </c>
      <c r="H2770">
        <v>371</v>
      </c>
      <c r="I2770" s="1">
        <v>45992</v>
      </c>
      <c r="J2770">
        <v>85</v>
      </c>
      <c r="K2770" t="s">
        <v>26</v>
      </c>
    </row>
    <row r="2771" spans="1:11">
      <c r="A2771" s="1">
        <v>46051</v>
      </c>
      <c r="B2771" t="s">
        <v>21</v>
      </c>
      <c r="C2771" t="s">
        <v>64</v>
      </c>
      <c r="D2771">
        <v>3256</v>
      </c>
      <c r="E2771">
        <v>1502</v>
      </c>
      <c r="F2771">
        <v>618</v>
      </c>
      <c r="G2771">
        <v>363</v>
      </c>
      <c r="H2771">
        <v>5739</v>
      </c>
      <c r="I2771" s="1">
        <v>46023</v>
      </c>
      <c r="J2771">
        <v>981</v>
      </c>
      <c r="K2771" t="s">
        <v>26</v>
      </c>
    </row>
    <row r="2772" spans="1:11">
      <c r="A2772" s="1">
        <v>46051</v>
      </c>
      <c r="B2772" t="s">
        <v>21</v>
      </c>
      <c r="C2772" t="s">
        <v>65</v>
      </c>
      <c r="D2772">
        <v>150</v>
      </c>
      <c r="E2772">
        <v>109</v>
      </c>
      <c r="F2772">
        <v>65</v>
      </c>
      <c r="G2772">
        <v>10</v>
      </c>
      <c r="H2772">
        <v>334</v>
      </c>
      <c r="I2772" s="1">
        <v>46023</v>
      </c>
      <c r="J2772">
        <v>75</v>
      </c>
      <c r="K2772" t="s">
        <v>26</v>
      </c>
    </row>
    <row r="2773" spans="1:11">
      <c r="A2773" s="1">
        <v>46051</v>
      </c>
      <c r="B2773" t="s">
        <v>21</v>
      </c>
      <c r="C2773" t="s">
        <v>66</v>
      </c>
      <c r="D2773">
        <v>287</v>
      </c>
      <c r="E2773">
        <v>119</v>
      </c>
      <c r="F2773">
        <v>88</v>
      </c>
      <c r="G2773">
        <v>149</v>
      </c>
      <c r="H2773">
        <v>643</v>
      </c>
      <c r="I2773" s="1">
        <v>46023</v>
      </c>
      <c r="J2773">
        <v>237</v>
      </c>
      <c r="K2773" t="s">
        <v>26</v>
      </c>
    </row>
    <row r="2774" spans="1:11">
      <c r="A2774" s="1">
        <v>46051</v>
      </c>
      <c r="B2774" t="s">
        <v>21</v>
      </c>
      <c r="C2774" t="s">
        <v>52</v>
      </c>
      <c r="D2774">
        <v>66</v>
      </c>
      <c r="E2774">
        <v>20</v>
      </c>
      <c r="F2774">
        <v>4</v>
      </c>
      <c r="G2774">
        <v>7</v>
      </c>
      <c r="H2774">
        <v>96</v>
      </c>
      <c r="I2774" s="1">
        <v>46023</v>
      </c>
      <c r="J2774">
        <v>11</v>
      </c>
      <c r="K2774" t="s">
        <v>26</v>
      </c>
    </row>
    <row r="2775" spans="1:11">
      <c r="A2775" s="1">
        <v>46051</v>
      </c>
      <c r="B2775" t="s">
        <v>21</v>
      </c>
      <c r="C2775" t="s">
        <v>63</v>
      </c>
      <c r="D2775">
        <v>49</v>
      </c>
      <c r="E2775">
        <v>29</v>
      </c>
      <c r="F2775">
        <v>15</v>
      </c>
      <c r="G2775">
        <v>8</v>
      </c>
      <c r="H2775">
        <v>101</v>
      </c>
      <c r="I2775" s="1">
        <v>46023</v>
      </c>
      <c r="J2775">
        <v>23</v>
      </c>
      <c r="K2775" t="s">
        <v>26</v>
      </c>
    </row>
    <row r="2776" spans="1:11">
      <c r="A2776" s="1">
        <v>46051</v>
      </c>
      <c r="B2776" t="s">
        <v>21</v>
      </c>
      <c r="C2776" t="s">
        <v>60</v>
      </c>
      <c r="D2776">
        <v>107</v>
      </c>
      <c r="E2776">
        <v>14</v>
      </c>
      <c r="F2776">
        <v>16</v>
      </c>
      <c r="G2776">
        <v>7</v>
      </c>
      <c r="H2776">
        <v>144</v>
      </c>
      <c r="I2776" s="1">
        <v>46023</v>
      </c>
      <c r="J2776">
        <v>23</v>
      </c>
      <c r="K2776" t="s">
        <v>26</v>
      </c>
    </row>
    <row r="2777" spans="1:11">
      <c r="A2777" s="1">
        <v>46051</v>
      </c>
      <c r="B2777" t="s">
        <v>21</v>
      </c>
      <c r="C2777" t="s">
        <v>61</v>
      </c>
      <c r="D2777">
        <v>247</v>
      </c>
      <c r="E2777">
        <v>49</v>
      </c>
      <c r="F2777">
        <v>9</v>
      </c>
      <c r="G2777">
        <v>6</v>
      </c>
      <c r="H2777">
        <v>311</v>
      </c>
      <c r="I2777" s="1">
        <v>46023</v>
      </c>
      <c r="J2777">
        <v>15</v>
      </c>
      <c r="K2777" t="s">
        <v>26</v>
      </c>
    </row>
    <row r="2778" spans="1:11">
      <c r="A2778" s="1">
        <v>46051</v>
      </c>
      <c r="B2778" t="s">
        <v>21</v>
      </c>
      <c r="C2778" t="s">
        <v>67</v>
      </c>
      <c r="D2778">
        <v>183</v>
      </c>
      <c r="E2778">
        <v>92</v>
      </c>
      <c r="F2778">
        <v>27</v>
      </c>
      <c r="G2778">
        <v>52</v>
      </c>
      <c r="H2778">
        <v>354</v>
      </c>
      <c r="I2778" s="1">
        <v>46023</v>
      </c>
      <c r="J2778">
        <v>79</v>
      </c>
      <c r="K2778" t="s">
        <v>26</v>
      </c>
    </row>
    <row r="2779" spans="1:11">
      <c r="A2779" s="1">
        <v>46079</v>
      </c>
      <c r="B2779" t="s">
        <v>21</v>
      </c>
      <c r="C2779" t="s">
        <v>64</v>
      </c>
      <c r="D2779">
        <v>3375</v>
      </c>
      <c r="E2779">
        <v>1466</v>
      </c>
      <c r="F2779">
        <v>689</v>
      </c>
      <c r="G2779">
        <v>351</v>
      </c>
      <c r="H2779">
        <v>5881</v>
      </c>
      <c r="I2779" s="1">
        <v>46054</v>
      </c>
      <c r="J2779">
        <v>1040</v>
      </c>
      <c r="K2779" t="s">
        <v>26</v>
      </c>
    </row>
    <row r="2780" spans="1:11">
      <c r="A2780" s="1">
        <v>46079</v>
      </c>
      <c r="B2780" t="s">
        <v>21</v>
      </c>
      <c r="C2780" t="s">
        <v>65</v>
      </c>
      <c r="D2780">
        <v>163</v>
      </c>
      <c r="E2780">
        <v>103</v>
      </c>
      <c r="F2780">
        <v>83</v>
      </c>
      <c r="G2780">
        <v>13</v>
      </c>
      <c r="H2780">
        <v>362</v>
      </c>
      <c r="I2780" s="1">
        <v>46054</v>
      </c>
      <c r="J2780">
        <v>96</v>
      </c>
      <c r="K2780" t="s">
        <v>26</v>
      </c>
    </row>
    <row r="2781" spans="1:11">
      <c r="A2781" s="1">
        <v>46079</v>
      </c>
      <c r="B2781" t="s">
        <v>21</v>
      </c>
      <c r="C2781" t="s">
        <v>66</v>
      </c>
      <c r="D2781">
        <v>304</v>
      </c>
      <c r="E2781">
        <v>104</v>
      </c>
      <c r="F2781">
        <v>84</v>
      </c>
      <c r="G2781">
        <v>146</v>
      </c>
      <c r="H2781">
        <v>638</v>
      </c>
      <c r="I2781" s="1">
        <v>46054</v>
      </c>
      <c r="J2781">
        <v>230</v>
      </c>
      <c r="K2781" t="s">
        <v>26</v>
      </c>
    </row>
    <row r="2782" spans="1:11">
      <c r="A2782" s="1">
        <v>46079</v>
      </c>
      <c r="B2782" t="s">
        <v>21</v>
      </c>
      <c r="C2782" t="s">
        <v>52</v>
      </c>
      <c r="D2782">
        <v>61</v>
      </c>
      <c r="E2782">
        <v>14</v>
      </c>
      <c r="F2782">
        <v>14</v>
      </c>
      <c r="G2782">
        <v>11</v>
      </c>
      <c r="H2782">
        <v>99</v>
      </c>
      <c r="I2782" s="1">
        <v>46054</v>
      </c>
      <c r="J2782">
        <v>25</v>
      </c>
      <c r="K2782" t="s">
        <v>26</v>
      </c>
    </row>
    <row r="2783" spans="1:11">
      <c r="A2783" s="1">
        <v>46079</v>
      </c>
      <c r="B2783" t="s">
        <v>21</v>
      </c>
      <c r="C2783" t="s">
        <v>63</v>
      </c>
      <c r="D2783">
        <v>55</v>
      </c>
      <c r="E2783">
        <v>29</v>
      </c>
      <c r="F2783">
        <v>16</v>
      </c>
      <c r="G2783">
        <v>7</v>
      </c>
      <c r="H2783">
        <v>108</v>
      </c>
      <c r="I2783" s="1">
        <v>46054</v>
      </c>
      <c r="J2783">
        <v>23</v>
      </c>
      <c r="K2783" t="s">
        <v>26</v>
      </c>
    </row>
    <row r="2784" spans="1:11">
      <c r="A2784" s="1">
        <v>46079</v>
      </c>
      <c r="B2784" t="s">
        <v>21</v>
      </c>
      <c r="C2784" t="s">
        <v>60</v>
      </c>
      <c r="D2784">
        <v>94</v>
      </c>
      <c r="E2784">
        <v>20</v>
      </c>
      <c r="F2784">
        <v>17</v>
      </c>
      <c r="G2784">
        <v>7</v>
      </c>
      <c r="H2784">
        <v>138</v>
      </c>
      <c r="I2784" s="1">
        <v>46054</v>
      </c>
      <c r="J2784">
        <v>24</v>
      </c>
      <c r="K2784" t="s">
        <v>26</v>
      </c>
    </row>
    <row r="2785" spans="1:11">
      <c r="A2785" s="1">
        <v>46079</v>
      </c>
      <c r="B2785" t="s">
        <v>21</v>
      </c>
      <c r="C2785" t="s">
        <v>61</v>
      </c>
      <c r="D2785">
        <v>246</v>
      </c>
      <c r="E2785">
        <v>69</v>
      </c>
      <c r="F2785">
        <v>6</v>
      </c>
      <c r="G2785">
        <v>6</v>
      </c>
      <c r="H2785">
        <v>327</v>
      </c>
      <c r="I2785" s="1">
        <v>46054</v>
      </c>
      <c r="J2785">
        <v>12</v>
      </c>
      <c r="K2785" t="s">
        <v>26</v>
      </c>
    </row>
    <row r="2786" spans="1:11">
      <c r="A2786" s="1">
        <v>46079</v>
      </c>
      <c r="B2786" t="s">
        <v>21</v>
      </c>
      <c r="C2786" t="s">
        <v>67</v>
      </c>
      <c r="D2786">
        <v>196</v>
      </c>
      <c r="E2786">
        <v>86</v>
      </c>
      <c r="F2786">
        <v>32</v>
      </c>
      <c r="G2786">
        <v>51</v>
      </c>
      <c r="H2786">
        <v>365</v>
      </c>
      <c r="I2786" s="1">
        <v>46054</v>
      </c>
      <c r="J2786">
        <v>83</v>
      </c>
      <c r="K2786" t="s">
        <v>26</v>
      </c>
    </row>
    <row r="2787" spans="1:11">
      <c r="A2787" s="1">
        <v>46107</v>
      </c>
      <c r="B2787" t="s">
        <v>21</v>
      </c>
      <c r="C2787" t="s">
        <v>64</v>
      </c>
      <c r="D2787">
        <v>3334</v>
      </c>
      <c r="E2787">
        <v>1536</v>
      </c>
      <c r="F2787">
        <v>694</v>
      </c>
      <c r="G2787">
        <v>369</v>
      </c>
      <c r="H2787">
        <v>5933</v>
      </c>
      <c r="I2787" s="1">
        <v>46082</v>
      </c>
      <c r="J2787">
        <v>1063</v>
      </c>
      <c r="K2787" t="s">
        <v>26</v>
      </c>
    </row>
    <row r="2788" spans="1:11">
      <c r="A2788" s="1">
        <v>46107</v>
      </c>
      <c r="B2788" t="s">
        <v>21</v>
      </c>
      <c r="C2788" t="s">
        <v>65</v>
      </c>
      <c r="D2788">
        <v>152</v>
      </c>
      <c r="E2788">
        <v>129</v>
      </c>
      <c r="F2788">
        <v>80</v>
      </c>
      <c r="G2788">
        <v>21</v>
      </c>
      <c r="H2788">
        <v>382</v>
      </c>
      <c r="I2788" s="1">
        <v>46082</v>
      </c>
      <c r="J2788">
        <v>101</v>
      </c>
      <c r="K2788" t="s">
        <v>26</v>
      </c>
    </row>
    <row r="2789" spans="1:11">
      <c r="A2789" s="1">
        <v>46107</v>
      </c>
      <c r="B2789" t="s">
        <v>21</v>
      </c>
      <c r="C2789" t="s">
        <v>66</v>
      </c>
      <c r="D2789">
        <v>337</v>
      </c>
      <c r="E2789">
        <v>102</v>
      </c>
      <c r="F2789">
        <v>71</v>
      </c>
      <c r="G2789">
        <v>152</v>
      </c>
      <c r="H2789">
        <v>662</v>
      </c>
      <c r="I2789" s="1">
        <v>46082</v>
      </c>
      <c r="J2789">
        <v>223</v>
      </c>
      <c r="K2789" t="s">
        <v>26</v>
      </c>
    </row>
    <row r="2790" spans="1:11">
      <c r="A2790" s="1">
        <v>46107</v>
      </c>
      <c r="B2790" t="s">
        <v>21</v>
      </c>
      <c r="C2790" t="s">
        <v>52</v>
      </c>
      <c r="D2790">
        <v>75</v>
      </c>
      <c r="E2790">
        <v>12</v>
      </c>
      <c r="F2790">
        <v>13</v>
      </c>
      <c r="G2790">
        <v>7</v>
      </c>
      <c r="H2790">
        <v>107</v>
      </c>
      <c r="I2790" s="1">
        <v>46082</v>
      </c>
      <c r="J2790">
        <v>20</v>
      </c>
      <c r="K2790" t="s">
        <v>26</v>
      </c>
    </row>
    <row r="2791" spans="1:11">
      <c r="A2791" s="1">
        <v>46107</v>
      </c>
      <c r="B2791" t="s">
        <v>21</v>
      </c>
      <c r="C2791" t="s">
        <v>63</v>
      </c>
      <c r="D2791">
        <v>37</v>
      </c>
      <c r="E2791">
        <v>28</v>
      </c>
      <c r="F2791">
        <v>15</v>
      </c>
      <c r="G2791">
        <v>11</v>
      </c>
      <c r="H2791">
        <v>90</v>
      </c>
      <c r="I2791" s="1">
        <v>46082</v>
      </c>
      <c r="J2791">
        <v>26</v>
      </c>
      <c r="K2791" t="s">
        <v>26</v>
      </c>
    </row>
    <row r="2792" spans="1:11">
      <c r="A2792" s="1">
        <v>46107</v>
      </c>
      <c r="B2792" t="s">
        <v>21</v>
      </c>
      <c r="C2792" t="s">
        <v>60</v>
      </c>
      <c r="D2792">
        <v>102</v>
      </c>
      <c r="E2792">
        <v>26</v>
      </c>
      <c r="F2792">
        <v>17</v>
      </c>
      <c r="G2792">
        <v>7</v>
      </c>
      <c r="H2792">
        <v>152</v>
      </c>
      <c r="I2792" s="1">
        <v>46082</v>
      </c>
      <c r="J2792">
        <v>24</v>
      </c>
      <c r="K2792" t="s">
        <v>26</v>
      </c>
    </row>
    <row r="2793" spans="1:11">
      <c r="A2793" s="1">
        <v>46107</v>
      </c>
      <c r="B2793" t="s">
        <v>21</v>
      </c>
      <c r="C2793" t="s">
        <v>61</v>
      </c>
      <c r="D2793">
        <v>236</v>
      </c>
      <c r="E2793">
        <v>78</v>
      </c>
      <c r="F2793">
        <v>4</v>
      </c>
      <c r="G2793">
        <v>6</v>
      </c>
      <c r="H2793">
        <v>323</v>
      </c>
      <c r="I2793" s="1">
        <v>46082</v>
      </c>
      <c r="J2793">
        <v>10</v>
      </c>
      <c r="K2793" t="s">
        <v>26</v>
      </c>
    </row>
    <row r="2794" spans="1:11">
      <c r="A2794" s="1">
        <v>46107</v>
      </c>
      <c r="B2794" t="s">
        <v>21</v>
      </c>
      <c r="C2794" t="s">
        <v>67</v>
      </c>
      <c r="D2794">
        <v>183</v>
      </c>
      <c r="E2794">
        <v>84</v>
      </c>
      <c r="F2794">
        <v>27</v>
      </c>
      <c r="G2794">
        <v>53</v>
      </c>
      <c r="H2794">
        <v>347</v>
      </c>
      <c r="I2794" s="1">
        <v>46082</v>
      </c>
      <c r="J2794">
        <v>80</v>
      </c>
      <c r="K2794" t="s">
        <v>26</v>
      </c>
    </row>
    <row r="2795" spans="1:11">
      <c r="A2795" s="1">
        <v>46142</v>
      </c>
      <c r="B2795" t="s">
        <v>21</v>
      </c>
      <c r="C2795" t="s">
        <v>64</v>
      </c>
      <c r="D2795">
        <v>3228</v>
      </c>
      <c r="E2795">
        <v>1507</v>
      </c>
      <c r="F2795">
        <v>646</v>
      </c>
      <c r="G2795">
        <v>354</v>
      </c>
      <c r="H2795">
        <v>5736</v>
      </c>
      <c r="I2795" s="1">
        <v>46113</v>
      </c>
      <c r="J2795">
        <v>1000</v>
      </c>
      <c r="K2795" t="s">
        <v>26</v>
      </c>
    </row>
    <row r="2796" spans="1:11">
      <c r="A2796" s="1">
        <v>46142</v>
      </c>
      <c r="B2796" t="s">
        <v>21</v>
      </c>
      <c r="C2796" t="s">
        <v>65</v>
      </c>
      <c r="D2796">
        <v>154</v>
      </c>
      <c r="E2796">
        <v>124</v>
      </c>
      <c r="F2796">
        <v>68</v>
      </c>
      <c r="G2796">
        <v>31</v>
      </c>
      <c r="H2796">
        <v>378</v>
      </c>
      <c r="I2796" s="1">
        <v>46113</v>
      </c>
      <c r="J2796">
        <v>99</v>
      </c>
      <c r="K2796" t="s">
        <v>26</v>
      </c>
    </row>
    <row r="2797" spans="1:11">
      <c r="A2797" s="1">
        <v>46142</v>
      </c>
      <c r="B2797" t="s">
        <v>21</v>
      </c>
      <c r="C2797" t="s">
        <v>66</v>
      </c>
      <c r="D2797">
        <v>341</v>
      </c>
      <c r="E2797">
        <v>107</v>
      </c>
      <c r="F2797">
        <v>78</v>
      </c>
      <c r="G2797">
        <v>152</v>
      </c>
      <c r="H2797">
        <v>678</v>
      </c>
      <c r="I2797" s="1">
        <v>46113</v>
      </c>
      <c r="J2797">
        <v>230</v>
      </c>
      <c r="K2797" t="s">
        <v>26</v>
      </c>
    </row>
    <row r="2798" spans="1:11">
      <c r="A2798" s="1">
        <v>46142</v>
      </c>
      <c r="B2798" t="s">
        <v>21</v>
      </c>
      <c r="C2798" t="s">
        <v>52</v>
      </c>
      <c r="D2798">
        <v>62</v>
      </c>
      <c r="E2798">
        <v>16</v>
      </c>
      <c r="F2798">
        <v>5</v>
      </c>
      <c r="G2798">
        <v>7</v>
      </c>
      <c r="H2798">
        <v>90</v>
      </c>
      <c r="I2798" s="1">
        <v>46113</v>
      </c>
      <c r="J2798">
        <v>12</v>
      </c>
      <c r="K2798" t="s">
        <v>26</v>
      </c>
    </row>
    <row r="2799" spans="1:11">
      <c r="A2799" s="1">
        <v>46142</v>
      </c>
      <c r="B2799" t="s">
        <v>21</v>
      </c>
      <c r="C2799" t="s">
        <v>63</v>
      </c>
      <c r="D2799">
        <v>37</v>
      </c>
      <c r="E2799">
        <v>26</v>
      </c>
      <c r="F2799">
        <v>16</v>
      </c>
      <c r="G2799">
        <v>11</v>
      </c>
      <c r="H2799">
        <v>91</v>
      </c>
      <c r="I2799" s="1">
        <v>46113</v>
      </c>
      <c r="J2799">
        <v>27</v>
      </c>
      <c r="K2799" t="s">
        <v>26</v>
      </c>
    </row>
    <row r="2800" spans="1:11">
      <c r="A2800" s="1">
        <v>46142</v>
      </c>
      <c r="B2800" t="s">
        <v>21</v>
      </c>
      <c r="C2800" t="s">
        <v>60</v>
      </c>
      <c r="D2800">
        <v>116</v>
      </c>
      <c r="E2800">
        <v>22</v>
      </c>
      <c r="F2800">
        <v>12</v>
      </c>
      <c r="G2800">
        <v>10</v>
      </c>
      <c r="H2800">
        <v>159</v>
      </c>
      <c r="I2800" s="1">
        <v>46113</v>
      </c>
      <c r="J2800">
        <v>22</v>
      </c>
      <c r="K2800" t="s">
        <v>26</v>
      </c>
    </row>
    <row r="2801" spans="1:11">
      <c r="A2801" s="1">
        <v>46142</v>
      </c>
      <c r="B2801" t="s">
        <v>21</v>
      </c>
      <c r="C2801" t="s">
        <v>61</v>
      </c>
      <c r="D2801">
        <v>234</v>
      </c>
      <c r="E2801">
        <v>68</v>
      </c>
      <c r="F2801">
        <v>2</v>
      </c>
      <c r="G2801">
        <v>6</v>
      </c>
      <c r="H2801">
        <v>309</v>
      </c>
      <c r="I2801" s="1">
        <v>46113</v>
      </c>
      <c r="J2801">
        <v>8</v>
      </c>
      <c r="K2801" t="s">
        <v>26</v>
      </c>
    </row>
    <row r="2802" spans="1:11">
      <c r="A2802" s="1">
        <v>46142</v>
      </c>
      <c r="B2802" t="s">
        <v>21</v>
      </c>
      <c r="C2802" t="s">
        <v>67</v>
      </c>
      <c r="D2802">
        <v>206</v>
      </c>
      <c r="E2802">
        <v>74</v>
      </c>
      <c r="F2802">
        <v>28</v>
      </c>
      <c r="G2802">
        <v>43</v>
      </c>
      <c r="H2802">
        <v>351</v>
      </c>
      <c r="I2802" s="1">
        <v>46113</v>
      </c>
      <c r="J2802">
        <v>71</v>
      </c>
      <c r="K2802" t="s">
        <v>26</v>
      </c>
    </row>
    <row r="2803" spans="1:11">
      <c r="A2803" s="1">
        <v>46170</v>
      </c>
      <c r="B2803" t="s">
        <v>21</v>
      </c>
      <c r="C2803" t="s">
        <v>64</v>
      </c>
      <c r="D2803">
        <v>3044</v>
      </c>
      <c r="E2803">
        <v>1520</v>
      </c>
      <c r="F2803">
        <v>603</v>
      </c>
      <c r="G2803">
        <v>352</v>
      </c>
      <c r="H2803">
        <v>5519</v>
      </c>
      <c r="I2803" s="1">
        <v>46143</v>
      </c>
      <c r="J2803">
        <v>955</v>
      </c>
      <c r="K2803" t="s">
        <v>26</v>
      </c>
    </row>
    <row r="2804" spans="1:11">
      <c r="A2804" s="1">
        <v>46170</v>
      </c>
      <c r="B2804" t="s">
        <v>21</v>
      </c>
      <c r="C2804" t="s">
        <v>65</v>
      </c>
      <c r="D2804">
        <v>153</v>
      </c>
      <c r="E2804">
        <v>106</v>
      </c>
      <c r="F2804">
        <v>74</v>
      </c>
      <c r="G2804">
        <v>27</v>
      </c>
      <c r="H2804">
        <v>360</v>
      </c>
      <c r="I2804" s="1">
        <v>46143</v>
      </c>
      <c r="J2804">
        <v>101</v>
      </c>
      <c r="K2804" t="s">
        <v>26</v>
      </c>
    </row>
    <row r="2805" spans="1:11">
      <c r="A2805" s="1">
        <v>46170</v>
      </c>
      <c r="B2805" t="s">
        <v>21</v>
      </c>
      <c r="C2805" t="s">
        <v>66</v>
      </c>
      <c r="D2805">
        <v>312</v>
      </c>
      <c r="E2805">
        <v>139</v>
      </c>
      <c r="F2805">
        <v>58</v>
      </c>
      <c r="G2805">
        <v>133</v>
      </c>
      <c r="H2805">
        <v>641</v>
      </c>
      <c r="I2805" s="1">
        <v>46143</v>
      </c>
      <c r="J2805">
        <v>191</v>
      </c>
      <c r="K2805" t="s">
        <v>26</v>
      </c>
    </row>
    <row r="2806" spans="1:11">
      <c r="A2806" s="1">
        <v>46170</v>
      </c>
      <c r="B2806" t="s">
        <v>21</v>
      </c>
      <c r="C2806" t="s">
        <v>52</v>
      </c>
      <c r="D2806">
        <v>53</v>
      </c>
      <c r="E2806">
        <v>17</v>
      </c>
      <c r="F2806">
        <v>4</v>
      </c>
      <c r="G2806">
        <v>9</v>
      </c>
      <c r="H2806">
        <v>82</v>
      </c>
      <c r="I2806" s="1">
        <v>46143</v>
      </c>
      <c r="J2806">
        <v>13</v>
      </c>
      <c r="K2806" t="s">
        <v>26</v>
      </c>
    </row>
    <row r="2807" spans="1:11">
      <c r="A2807" s="1">
        <v>46170</v>
      </c>
      <c r="B2807" t="s">
        <v>21</v>
      </c>
      <c r="C2807" t="s">
        <v>63</v>
      </c>
      <c r="D2807">
        <v>43</v>
      </c>
      <c r="E2807">
        <v>18</v>
      </c>
      <c r="F2807">
        <v>14</v>
      </c>
      <c r="G2807">
        <v>10</v>
      </c>
      <c r="H2807">
        <v>85</v>
      </c>
      <c r="I2807" s="1">
        <v>46143</v>
      </c>
      <c r="J2807">
        <v>24</v>
      </c>
      <c r="K2807" t="s">
        <v>26</v>
      </c>
    </row>
    <row r="2808" spans="1:11">
      <c r="A2808" s="1">
        <v>46170</v>
      </c>
      <c r="B2808" t="s">
        <v>21</v>
      </c>
      <c r="C2808" t="s">
        <v>60</v>
      </c>
      <c r="D2808">
        <v>125</v>
      </c>
      <c r="E2808">
        <v>27</v>
      </c>
      <c r="F2808">
        <v>11</v>
      </c>
      <c r="G2808">
        <v>14</v>
      </c>
      <c r="H2808">
        <v>177</v>
      </c>
      <c r="I2808" s="1">
        <v>46143</v>
      </c>
      <c r="J2808">
        <v>25</v>
      </c>
      <c r="K2808" t="s">
        <v>26</v>
      </c>
    </row>
    <row r="2809" spans="1:11">
      <c r="A2809" s="1">
        <v>46170</v>
      </c>
      <c r="B2809" t="s">
        <v>21</v>
      </c>
      <c r="C2809" t="s">
        <v>61</v>
      </c>
      <c r="D2809">
        <v>249</v>
      </c>
      <c r="E2809">
        <v>63</v>
      </c>
      <c r="F2809">
        <v>2</v>
      </c>
      <c r="G2809">
        <v>6</v>
      </c>
      <c r="H2809">
        <v>320</v>
      </c>
      <c r="I2809" s="1">
        <v>46143</v>
      </c>
      <c r="J2809">
        <v>8</v>
      </c>
      <c r="K2809" t="s">
        <v>26</v>
      </c>
    </row>
    <row r="2810" spans="1:11">
      <c r="A2810" s="1">
        <v>46170</v>
      </c>
      <c r="B2810" t="s">
        <v>21</v>
      </c>
      <c r="C2810" t="s">
        <v>67</v>
      </c>
      <c r="D2810">
        <v>209</v>
      </c>
      <c r="E2810">
        <v>77</v>
      </c>
      <c r="F2810">
        <v>35</v>
      </c>
      <c r="G2810">
        <v>39</v>
      </c>
      <c r="H2810">
        <v>360</v>
      </c>
      <c r="I2810" s="1">
        <v>46143</v>
      </c>
      <c r="J2810">
        <v>74</v>
      </c>
      <c r="K2810" t="s">
        <v>26</v>
      </c>
    </row>
    <row r="2811" spans="1:11">
      <c r="A2811" s="1">
        <v>46198</v>
      </c>
      <c r="B2811" t="s">
        <v>21</v>
      </c>
      <c r="C2811" t="s">
        <v>64</v>
      </c>
      <c r="D2811">
        <v>3043</v>
      </c>
      <c r="E2811">
        <v>1510</v>
      </c>
      <c r="F2811">
        <v>552</v>
      </c>
      <c r="G2811">
        <v>373</v>
      </c>
      <c r="H2811">
        <v>5478</v>
      </c>
      <c r="I2811" s="1">
        <v>46174</v>
      </c>
      <c r="J2811">
        <v>925</v>
      </c>
      <c r="K2811" t="s">
        <v>26</v>
      </c>
    </row>
    <row r="2812" spans="1:11">
      <c r="A2812" s="1">
        <v>46198</v>
      </c>
      <c r="B2812" t="s">
        <v>21</v>
      </c>
      <c r="C2812" t="s">
        <v>65</v>
      </c>
      <c r="D2812">
        <v>138</v>
      </c>
      <c r="E2812">
        <v>112</v>
      </c>
      <c r="F2812">
        <v>55</v>
      </c>
      <c r="G2812">
        <v>29</v>
      </c>
      <c r="H2812">
        <v>333</v>
      </c>
      <c r="I2812" s="1">
        <v>46174</v>
      </c>
      <c r="J2812">
        <v>84</v>
      </c>
      <c r="K2812" t="s">
        <v>26</v>
      </c>
    </row>
    <row r="2813" spans="1:11">
      <c r="A2813" s="1">
        <v>46198</v>
      </c>
      <c r="B2813" t="s">
        <v>21</v>
      </c>
      <c r="C2813" t="s">
        <v>66</v>
      </c>
      <c r="D2813">
        <v>335</v>
      </c>
      <c r="E2813">
        <v>153</v>
      </c>
      <c r="F2813">
        <v>43</v>
      </c>
      <c r="G2813">
        <v>139</v>
      </c>
      <c r="H2813">
        <v>671</v>
      </c>
      <c r="I2813" s="1">
        <v>46174</v>
      </c>
      <c r="J2813">
        <v>182</v>
      </c>
      <c r="K2813" t="s">
        <v>26</v>
      </c>
    </row>
    <row r="2814" spans="1:11">
      <c r="A2814" s="1">
        <v>46198</v>
      </c>
      <c r="B2814" t="s">
        <v>21</v>
      </c>
      <c r="C2814" t="s">
        <v>52</v>
      </c>
      <c r="D2814">
        <v>46</v>
      </c>
      <c r="E2814">
        <v>21</v>
      </c>
      <c r="F2814">
        <v>5</v>
      </c>
      <c r="G2814">
        <v>9</v>
      </c>
      <c r="H2814">
        <v>81</v>
      </c>
      <c r="I2814" s="1">
        <v>46174</v>
      </c>
      <c r="J2814">
        <v>14</v>
      </c>
      <c r="K2814" t="s">
        <v>26</v>
      </c>
    </row>
    <row r="2815" spans="1:11">
      <c r="A2815" s="1">
        <v>46198</v>
      </c>
      <c r="B2815" t="s">
        <v>21</v>
      </c>
      <c r="C2815" t="s">
        <v>63</v>
      </c>
      <c r="D2815">
        <v>40</v>
      </c>
      <c r="E2815">
        <v>25</v>
      </c>
      <c r="F2815">
        <v>16</v>
      </c>
      <c r="G2815">
        <v>10</v>
      </c>
      <c r="H2815">
        <v>91</v>
      </c>
      <c r="I2815" s="1">
        <v>46174</v>
      </c>
      <c r="J2815">
        <v>26</v>
      </c>
      <c r="K2815" t="s">
        <v>26</v>
      </c>
    </row>
    <row r="2816" spans="1:11">
      <c r="A2816" s="1">
        <v>46198</v>
      </c>
      <c r="B2816" t="s">
        <v>21</v>
      </c>
      <c r="C2816" t="s">
        <v>61</v>
      </c>
      <c r="D2816">
        <v>265</v>
      </c>
      <c r="E2816">
        <v>64</v>
      </c>
      <c r="F2816">
        <v>3</v>
      </c>
      <c r="G2816">
        <v>6</v>
      </c>
      <c r="H2816">
        <v>338</v>
      </c>
      <c r="I2816" s="1">
        <v>46174</v>
      </c>
      <c r="J2816">
        <v>9</v>
      </c>
      <c r="K2816" t="s">
        <v>26</v>
      </c>
    </row>
    <row r="2817" spans="1:11">
      <c r="A2817" s="1">
        <v>46198</v>
      </c>
      <c r="B2817" t="s">
        <v>21</v>
      </c>
      <c r="C2817" t="s">
        <v>67</v>
      </c>
      <c r="D2817">
        <v>221</v>
      </c>
      <c r="E2817">
        <v>56</v>
      </c>
      <c r="F2817">
        <v>47</v>
      </c>
      <c r="G2817">
        <v>40</v>
      </c>
      <c r="H2817">
        <v>363</v>
      </c>
      <c r="I2817" s="1">
        <v>46174</v>
      </c>
      <c r="J2817">
        <v>87</v>
      </c>
      <c r="K2817" t="s">
        <v>26</v>
      </c>
    </row>
    <row r="2818" spans="1:11">
      <c r="A2818" s="1">
        <v>46233</v>
      </c>
      <c r="B2818" t="s">
        <v>21</v>
      </c>
      <c r="C2818" t="s">
        <v>64</v>
      </c>
      <c r="D2818">
        <v>3052</v>
      </c>
      <c r="E2818">
        <v>1350</v>
      </c>
      <c r="F2818">
        <v>606</v>
      </c>
      <c r="G2818">
        <v>332</v>
      </c>
      <c r="H2818">
        <v>5340</v>
      </c>
      <c r="I2818" s="1">
        <v>46204</v>
      </c>
      <c r="J2818">
        <v>938</v>
      </c>
      <c r="K2818" t="s">
        <v>26</v>
      </c>
    </row>
    <row r="2819" spans="1:11">
      <c r="A2819" s="1">
        <v>46233</v>
      </c>
      <c r="B2819" t="s">
        <v>21</v>
      </c>
      <c r="C2819" t="s">
        <v>65</v>
      </c>
      <c r="D2819">
        <v>144</v>
      </c>
      <c r="E2819">
        <v>79</v>
      </c>
      <c r="F2819">
        <v>44</v>
      </c>
      <c r="G2819">
        <v>29</v>
      </c>
      <c r="H2819">
        <v>296</v>
      </c>
      <c r="I2819" s="1">
        <v>46204</v>
      </c>
      <c r="J2819">
        <v>73</v>
      </c>
      <c r="K2819" t="s">
        <v>26</v>
      </c>
    </row>
    <row r="2820" spans="1:11">
      <c r="A2820" s="1">
        <v>46233</v>
      </c>
      <c r="B2820" t="s">
        <v>21</v>
      </c>
      <c r="C2820" t="s">
        <v>66</v>
      </c>
      <c r="D2820">
        <v>330</v>
      </c>
      <c r="E2820">
        <v>149</v>
      </c>
      <c r="F2820">
        <v>51</v>
      </c>
      <c r="G2820">
        <v>114</v>
      </c>
      <c r="H2820">
        <v>644</v>
      </c>
      <c r="I2820" s="1">
        <v>46204</v>
      </c>
      <c r="J2820">
        <v>165</v>
      </c>
      <c r="K2820" t="s">
        <v>26</v>
      </c>
    </row>
    <row r="2821" spans="1:11">
      <c r="A2821" s="1">
        <v>46233</v>
      </c>
      <c r="B2821" t="s">
        <v>21</v>
      </c>
      <c r="C2821" t="s">
        <v>52</v>
      </c>
      <c r="D2821">
        <v>35</v>
      </c>
      <c r="E2821">
        <v>12</v>
      </c>
      <c r="F2821">
        <v>2</v>
      </c>
      <c r="G2821">
        <v>6</v>
      </c>
      <c r="H2821">
        <v>55</v>
      </c>
      <c r="I2821" s="1">
        <v>46204</v>
      </c>
      <c r="J2821">
        <v>8</v>
      </c>
      <c r="K2821" t="s">
        <v>26</v>
      </c>
    </row>
    <row r="2822" spans="1:11">
      <c r="A2822" s="1">
        <v>46233</v>
      </c>
      <c r="B2822" t="s">
        <v>21</v>
      </c>
      <c r="C2822" t="s">
        <v>63</v>
      </c>
      <c r="D2822">
        <v>38</v>
      </c>
      <c r="E2822">
        <v>21</v>
      </c>
      <c r="F2822">
        <v>14</v>
      </c>
      <c r="G2822">
        <v>12</v>
      </c>
      <c r="H2822">
        <v>84</v>
      </c>
      <c r="I2822" s="1">
        <v>46204</v>
      </c>
      <c r="J2822">
        <v>26</v>
      </c>
      <c r="K2822" t="s">
        <v>26</v>
      </c>
    </row>
    <row r="2823" spans="1:11">
      <c r="A2823" s="1">
        <v>46233</v>
      </c>
      <c r="B2823" t="s">
        <v>21</v>
      </c>
      <c r="C2823" t="s">
        <v>60</v>
      </c>
      <c r="D2823">
        <v>143</v>
      </c>
      <c r="E2823">
        <v>26</v>
      </c>
      <c r="F2823">
        <v>5</v>
      </c>
      <c r="G2823">
        <v>5</v>
      </c>
      <c r="H2823">
        <v>178</v>
      </c>
      <c r="I2823" s="1">
        <v>46204</v>
      </c>
      <c r="J2823">
        <v>10</v>
      </c>
      <c r="K2823" t="s">
        <v>26</v>
      </c>
    </row>
    <row r="2824" spans="1:11">
      <c r="A2824" s="1">
        <v>46233</v>
      </c>
      <c r="B2824" t="s">
        <v>21</v>
      </c>
      <c r="C2824" t="s">
        <v>67</v>
      </c>
      <c r="D2824">
        <v>219</v>
      </c>
      <c r="E2824">
        <v>54</v>
      </c>
      <c r="F2824">
        <v>49</v>
      </c>
      <c r="G2824">
        <v>38</v>
      </c>
      <c r="H2824">
        <v>360</v>
      </c>
      <c r="I2824" s="1">
        <v>46204</v>
      </c>
      <c r="J2824">
        <v>87</v>
      </c>
      <c r="K2824" t="s">
        <v>26</v>
      </c>
    </row>
    <row r="2825" spans="1:11">
      <c r="A2825" s="1">
        <v>46261</v>
      </c>
      <c r="B2825" t="s">
        <v>21</v>
      </c>
      <c r="C2825" t="s">
        <v>64</v>
      </c>
      <c r="D2825">
        <v>2945</v>
      </c>
      <c r="E2825">
        <v>1283</v>
      </c>
      <c r="F2825">
        <v>509</v>
      </c>
      <c r="G2825">
        <v>307</v>
      </c>
      <c r="H2825">
        <v>5044</v>
      </c>
      <c r="I2825" s="1">
        <v>46235</v>
      </c>
      <c r="J2825">
        <v>816</v>
      </c>
      <c r="K2825" t="s">
        <v>26</v>
      </c>
    </row>
    <row r="2826" spans="1:11">
      <c r="A2826" s="1">
        <v>46261</v>
      </c>
      <c r="B2826" t="s">
        <v>21</v>
      </c>
      <c r="C2826" t="s">
        <v>65</v>
      </c>
      <c r="D2826">
        <v>133</v>
      </c>
      <c r="E2826">
        <v>84</v>
      </c>
      <c r="F2826">
        <v>37</v>
      </c>
      <c r="G2826">
        <v>28</v>
      </c>
      <c r="H2826">
        <v>282</v>
      </c>
      <c r="I2826" s="1">
        <v>46235</v>
      </c>
      <c r="J2826">
        <v>65</v>
      </c>
      <c r="K2826" t="s">
        <v>26</v>
      </c>
    </row>
    <row r="2827" spans="1:11">
      <c r="A2827" s="1">
        <v>46261</v>
      </c>
      <c r="B2827" t="s">
        <v>21</v>
      </c>
      <c r="C2827" t="s">
        <v>66</v>
      </c>
      <c r="D2827">
        <v>298</v>
      </c>
      <c r="E2827">
        <v>166</v>
      </c>
      <c r="F2827">
        <v>51</v>
      </c>
      <c r="G2827">
        <v>106</v>
      </c>
      <c r="H2827">
        <v>621</v>
      </c>
      <c r="I2827" s="1">
        <v>46235</v>
      </c>
      <c r="J2827">
        <v>157</v>
      </c>
      <c r="K2827" t="s">
        <v>26</v>
      </c>
    </row>
    <row r="2828" spans="1:11">
      <c r="A2828" s="1">
        <v>46261</v>
      </c>
      <c r="B2828" t="s">
        <v>21</v>
      </c>
      <c r="C2828" t="s">
        <v>63</v>
      </c>
      <c r="D2828">
        <v>37</v>
      </c>
      <c r="E2828">
        <v>19</v>
      </c>
      <c r="F2828">
        <v>12</v>
      </c>
      <c r="G2828">
        <v>11</v>
      </c>
      <c r="H2828">
        <v>79</v>
      </c>
      <c r="I2828" s="1">
        <v>46235</v>
      </c>
      <c r="J2828">
        <v>23</v>
      </c>
      <c r="K2828" t="s">
        <v>26</v>
      </c>
    </row>
    <row r="2829" spans="1:11">
      <c r="A2829" s="1">
        <v>46261</v>
      </c>
      <c r="B2829" t="s">
        <v>21</v>
      </c>
      <c r="C2829" t="s">
        <v>60</v>
      </c>
      <c r="D2829">
        <v>114</v>
      </c>
      <c r="E2829">
        <v>27</v>
      </c>
      <c r="F2829">
        <v>7</v>
      </c>
      <c r="G2829">
        <v>4</v>
      </c>
      <c r="H2829">
        <v>152</v>
      </c>
      <c r="I2829" s="1">
        <v>46235</v>
      </c>
      <c r="J2829">
        <v>11</v>
      </c>
      <c r="K2829" t="s">
        <v>26</v>
      </c>
    </row>
    <row r="2830" spans="1:11">
      <c r="A2830" s="1">
        <v>46261</v>
      </c>
      <c r="B2830" t="s">
        <v>21</v>
      </c>
      <c r="C2830" t="s">
        <v>67</v>
      </c>
      <c r="D2830">
        <v>186</v>
      </c>
      <c r="E2830">
        <v>68</v>
      </c>
      <c r="F2830">
        <v>47</v>
      </c>
      <c r="G2830">
        <v>36</v>
      </c>
      <c r="H2830">
        <v>337</v>
      </c>
      <c r="I2830" s="1">
        <v>46235</v>
      </c>
      <c r="J2830">
        <v>83</v>
      </c>
      <c r="K2830" t="s">
        <v>26</v>
      </c>
    </row>
    <row r="2831" spans="1:11">
      <c r="A2831" s="1">
        <v>44952</v>
      </c>
      <c r="B2831" t="s">
        <v>21</v>
      </c>
      <c r="C2831" t="s">
        <v>64</v>
      </c>
      <c r="D2831">
        <v>19761</v>
      </c>
      <c r="E2831">
        <v>10806</v>
      </c>
      <c r="F2831">
        <v>5108</v>
      </c>
      <c r="G2831">
        <v>8239</v>
      </c>
      <c r="H2831">
        <v>43914</v>
      </c>
      <c r="I2831" s="1">
        <v>44927</v>
      </c>
      <c r="J2831">
        <v>13347</v>
      </c>
      <c r="K2831" t="s">
        <v>23</v>
      </c>
    </row>
    <row r="2832" spans="1:11">
      <c r="A2832" s="1">
        <v>44952</v>
      </c>
      <c r="B2832" t="s">
        <v>21</v>
      </c>
      <c r="C2832" t="s">
        <v>65</v>
      </c>
      <c r="D2832">
        <v>2850</v>
      </c>
      <c r="E2832">
        <v>1493</v>
      </c>
      <c r="F2832">
        <v>490</v>
      </c>
      <c r="G2832">
        <v>620</v>
      </c>
      <c r="H2832">
        <v>5453</v>
      </c>
      <c r="I2832" s="1">
        <v>44927</v>
      </c>
      <c r="J2832">
        <v>1110</v>
      </c>
      <c r="K2832" t="s">
        <v>23</v>
      </c>
    </row>
    <row r="2833" spans="1:11">
      <c r="A2833" s="1">
        <v>44952</v>
      </c>
      <c r="B2833" t="s">
        <v>21</v>
      </c>
      <c r="C2833" t="s">
        <v>27</v>
      </c>
      <c r="D2833">
        <v>134</v>
      </c>
      <c r="E2833">
        <v>22</v>
      </c>
      <c r="F2833">
        <v>8</v>
      </c>
      <c r="G2833">
        <v>9</v>
      </c>
      <c r="H2833">
        <v>172</v>
      </c>
      <c r="I2833" s="1">
        <v>44927</v>
      </c>
      <c r="J2833">
        <v>17</v>
      </c>
      <c r="K2833" t="s">
        <v>23</v>
      </c>
    </row>
    <row r="2834" spans="1:11">
      <c r="A2834" s="1">
        <v>44952</v>
      </c>
      <c r="B2834" t="s">
        <v>21</v>
      </c>
      <c r="C2834" t="s">
        <v>66</v>
      </c>
      <c r="D2834">
        <v>2852</v>
      </c>
      <c r="E2834">
        <v>1478</v>
      </c>
      <c r="F2834">
        <v>773</v>
      </c>
      <c r="G2834">
        <v>1035</v>
      </c>
      <c r="H2834">
        <v>6137</v>
      </c>
      <c r="I2834" s="1">
        <v>44927</v>
      </c>
      <c r="J2834">
        <v>1808</v>
      </c>
      <c r="K2834" t="s">
        <v>23</v>
      </c>
    </row>
    <row r="2835" spans="1:11">
      <c r="A2835" s="1">
        <v>44952</v>
      </c>
      <c r="B2835" t="s">
        <v>21</v>
      </c>
      <c r="C2835" t="s">
        <v>57</v>
      </c>
      <c r="D2835">
        <v>857</v>
      </c>
      <c r="E2835">
        <v>295</v>
      </c>
      <c r="F2835">
        <v>175</v>
      </c>
      <c r="G2835">
        <v>532</v>
      </c>
      <c r="H2835">
        <v>1859</v>
      </c>
      <c r="I2835" s="1">
        <v>44927</v>
      </c>
      <c r="J2835">
        <v>707</v>
      </c>
      <c r="K2835" t="s">
        <v>23</v>
      </c>
    </row>
    <row r="2836" spans="1:11">
      <c r="A2836" s="1">
        <v>44952</v>
      </c>
      <c r="B2836" t="s">
        <v>21</v>
      </c>
      <c r="C2836" t="s">
        <v>47</v>
      </c>
      <c r="D2836">
        <v>644</v>
      </c>
      <c r="E2836">
        <v>216</v>
      </c>
      <c r="F2836">
        <v>108</v>
      </c>
      <c r="G2836">
        <v>189</v>
      </c>
      <c r="H2836">
        <v>1157</v>
      </c>
      <c r="I2836" s="1">
        <v>44927</v>
      </c>
      <c r="J2836">
        <v>297</v>
      </c>
      <c r="K2836" t="s">
        <v>23</v>
      </c>
    </row>
    <row r="2837" spans="1:11">
      <c r="A2837" s="1">
        <v>44952</v>
      </c>
      <c r="B2837" t="s">
        <v>21</v>
      </c>
      <c r="C2837" t="s">
        <v>25</v>
      </c>
      <c r="D2837">
        <v>288</v>
      </c>
      <c r="E2837">
        <v>56</v>
      </c>
      <c r="F2837">
        <v>45</v>
      </c>
      <c r="G2837">
        <v>19</v>
      </c>
      <c r="H2837">
        <v>407</v>
      </c>
      <c r="I2837" s="1">
        <v>44927</v>
      </c>
      <c r="J2837">
        <v>64</v>
      </c>
      <c r="K2837" t="s">
        <v>23</v>
      </c>
    </row>
    <row r="2838" spans="1:11">
      <c r="A2838" s="1">
        <v>44952</v>
      </c>
      <c r="B2838" t="s">
        <v>21</v>
      </c>
      <c r="C2838" t="s">
        <v>51</v>
      </c>
      <c r="D2838">
        <v>701</v>
      </c>
      <c r="E2838">
        <v>315</v>
      </c>
      <c r="F2838">
        <v>158</v>
      </c>
      <c r="G2838">
        <v>142</v>
      </c>
      <c r="H2838">
        <v>1315</v>
      </c>
      <c r="I2838" s="1">
        <v>44927</v>
      </c>
      <c r="J2838">
        <v>300</v>
      </c>
      <c r="K2838" t="s">
        <v>23</v>
      </c>
    </row>
    <row r="2839" spans="1:11">
      <c r="A2839" s="1">
        <v>44952</v>
      </c>
      <c r="B2839" t="s">
        <v>21</v>
      </c>
      <c r="C2839" t="s">
        <v>45</v>
      </c>
      <c r="D2839">
        <v>643</v>
      </c>
      <c r="E2839">
        <v>311</v>
      </c>
      <c r="F2839">
        <v>113</v>
      </c>
      <c r="G2839">
        <v>13</v>
      </c>
      <c r="H2839">
        <v>1079</v>
      </c>
      <c r="I2839" s="1">
        <v>44927</v>
      </c>
      <c r="J2839">
        <v>126</v>
      </c>
      <c r="K2839" t="s">
        <v>23</v>
      </c>
    </row>
    <row r="2840" spans="1:11">
      <c r="A2840" s="1">
        <v>44952</v>
      </c>
      <c r="B2840" t="s">
        <v>21</v>
      </c>
      <c r="C2840" t="s">
        <v>43</v>
      </c>
      <c r="D2840">
        <v>731</v>
      </c>
      <c r="E2840">
        <v>439</v>
      </c>
      <c r="F2840">
        <v>223</v>
      </c>
      <c r="G2840">
        <v>80</v>
      </c>
      <c r="H2840">
        <v>1473</v>
      </c>
      <c r="I2840" s="1">
        <v>44927</v>
      </c>
      <c r="J2840">
        <v>303</v>
      </c>
      <c r="K2840" t="s">
        <v>23</v>
      </c>
    </row>
    <row r="2841" spans="1:11">
      <c r="A2841" s="1">
        <v>44952</v>
      </c>
      <c r="B2841" t="s">
        <v>21</v>
      </c>
      <c r="C2841" t="s">
        <v>52</v>
      </c>
      <c r="D2841">
        <v>1949</v>
      </c>
      <c r="E2841">
        <v>1267</v>
      </c>
      <c r="F2841">
        <v>419</v>
      </c>
      <c r="G2841">
        <v>102</v>
      </c>
      <c r="H2841">
        <v>3736</v>
      </c>
      <c r="I2841" s="1">
        <v>44927</v>
      </c>
      <c r="J2841">
        <v>521</v>
      </c>
      <c r="K2841" t="s">
        <v>23</v>
      </c>
    </row>
    <row r="2842" spans="1:11">
      <c r="A2842" s="1">
        <v>44952</v>
      </c>
      <c r="B2842" t="s">
        <v>21</v>
      </c>
      <c r="C2842" t="s">
        <v>46</v>
      </c>
      <c r="D2842">
        <v>490</v>
      </c>
      <c r="E2842">
        <v>28</v>
      </c>
      <c r="F2842">
        <v>18</v>
      </c>
      <c r="G2842">
        <v>35</v>
      </c>
      <c r="H2842">
        <v>571</v>
      </c>
      <c r="I2842" s="1">
        <v>44927</v>
      </c>
      <c r="J2842">
        <v>53</v>
      </c>
      <c r="K2842" t="s">
        <v>23</v>
      </c>
    </row>
    <row r="2843" spans="1:11">
      <c r="A2843" s="1">
        <v>44952</v>
      </c>
      <c r="B2843" t="s">
        <v>21</v>
      </c>
      <c r="C2843" t="s">
        <v>63</v>
      </c>
      <c r="D2843">
        <v>285</v>
      </c>
      <c r="E2843">
        <v>116</v>
      </c>
      <c r="F2843">
        <v>81</v>
      </c>
      <c r="G2843">
        <v>140</v>
      </c>
      <c r="H2843">
        <v>622</v>
      </c>
      <c r="I2843" s="1">
        <v>44927</v>
      </c>
      <c r="J2843">
        <v>221</v>
      </c>
      <c r="K2843" t="s">
        <v>23</v>
      </c>
    </row>
    <row r="2844" spans="1:11">
      <c r="A2844" s="1">
        <v>44952</v>
      </c>
      <c r="B2844" t="s">
        <v>21</v>
      </c>
      <c r="C2844" t="s">
        <v>60</v>
      </c>
      <c r="D2844">
        <v>1114</v>
      </c>
      <c r="E2844">
        <v>593</v>
      </c>
      <c r="F2844">
        <v>126</v>
      </c>
      <c r="G2844">
        <v>117</v>
      </c>
      <c r="H2844">
        <v>1949</v>
      </c>
      <c r="I2844" s="1">
        <v>44927</v>
      </c>
      <c r="J2844">
        <v>243</v>
      </c>
      <c r="K2844" t="s">
        <v>23</v>
      </c>
    </row>
    <row r="2845" spans="1:11">
      <c r="A2845" s="1">
        <v>44952</v>
      </c>
      <c r="B2845" t="s">
        <v>21</v>
      </c>
      <c r="C2845" t="s">
        <v>61</v>
      </c>
      <c r="D2845">
        <v>1403</v>
      </c>
      <c r="E2845">
        <v>570</v>
      </c>
      <c r="F2845">
        <v>158</v>
      </c>
      <c r="G2845">
        <v>214</v>
      </c>
      <c r="H2845">
        <v>2344</v>
      </c>
      <c r="I2845" s="1">
        <v>44927</v>
      </c>
      <c r="J2845">
        <v>372</v>
      </c>
      <c r="K2845" t="s">
        <v>23</v>
      </c>
    </row>
    <row r="2846" spans="1:11">
      <c r="A2846" s="1">
        <v>44952</v>
      </c>
      <c r="B2846" t="s">
        <v>21</v>
      </c>
      <c r="C2846" t="s">
        <v>44</v>
      </c>
      <c r="D2846">
        <v>532</v>
      </c>
      <c r="E2846">
        <v>231</v>
      </c>
      <c r="F2846">
        <v>93</v>
      </c>
      <c r="G2846">
        <v>163</v>
      </c>
      <c r="H2846">
        <v>1020</v>
      </c>
      <c r="I2846" s="1">
        <v>44927</v>
      </c>
      <c r="J2846">
        <v>256</v>
      </c>
      <c r="K2846" t="s">
        <v>23</v>
      </c>
    </row>
    <row r="2847" spans="1:11">
      <c r="A2847" s="1">
        <v>44952</v>
      </c>
      <c r="B2847" t="s">
        <v>21</v>
      </c>
      <c r="C2847" t="s">
        <v>59</v>
      </c>
      <c r="D2847">
        <v>2167</v>
      </c>
      <c r="E2847">
        <v>847</v>
      </c>
      <c r="F2847">
        <v>378</v>
      </c>
      <c r="G2847">
        <v>669</v>
      </c>
      <c r="H2847">
        <v>4060</v>
      </c>
      <c r="I2847" s="1">
        <v>44927</v>
      </c>
      <c r="J2847">
        <v>1047</v>
      </c>
      <c r="K2847" t="s">
        <v>23</v>
      </c>
    </row>
    <row r="2848" spans="1:11">
      <c r="A2848" s="1">
        <v>44952</v>
      </c>
      <c r="B2848" t="s">
        <v>21</v>
      </c>
      <c r="C2848" t="s">
        <v>67</v>
      </c>
      <c r="D2848">
        <v>1675</v>
      </c>
      <c r="E2848">
        <v>684</v>
      </c>
      <c r="F2848">
        <v>340</v>
      </c>
      <c r="G2848">
        <v>415</v>
      </c>
      <c r="H2848">
        <v>3113</v>
      </c>
      <c r="I2848" s="1">
        <v>44927</v>
      </c>
      <c r="J2848">
        <v>755</v>
      </c>
      <c r="K2848" t="s">
        <v>23</v>
      </c>
    </row>
    <row r="2849" spans="1:11">
      <c r="A2849" s="1">
        <v>44980</v>
      </c>
      <c r="B2849" t="s">
        <v>21</v>
      </c>
      <c r="C2849" t="s">
        <v>64</v>
      </c>
      <c r="D2849">
        <v>20076</v>
      </c>
      <c r="E2849">
        <v>10894</v>
      </c>
      <c r="F2849">
        <v>5289</v>
      </c>
      <c r="G2849">
        <v>7349</v>
      </c>
      <c r="H2849">
        <v>43607</v>
      </c>
      <c r="I2849" s="1">
        <v>44958</v>
      </c>
      <c r="J2849">
        <v>12638</v>
      </c>
      <c r="K2849" t="s">
        <v>23</v>
      </c>
    </row>
    <row r="2850" spans="1:11">
      <c r="A2850" s="1">
        <v>44980</v>
      </c>
      <c r="B2850" t="s">
        <v>21</v>
      </c>
      <c r="C2850" t="s">
        <v>65</v>
      </c>
      <c r="D2850">
        <v>2944</v>
      </c>
      <c r="E2850">
        <v>1378</v>
      </c>
      <c r="F2850">
        <v>536</v>
      </c>
      <c r="G2850">
        <v>611</v>
      </c>
      <c r="H2850">
        <v>5470</v>
      </c>
      <c r="I2850" s="1">
        <v>44958</v>
      </c>
      <c r="J2850">
        <v>1147</v>
      </c>
      <c r="K2850" t="s">
        <v>23</v>
      </c>
    </row>
    <row r="2851" spans="1:11">
      <c r="A2851" s="1">
        <v>44980</v>
      </c>
      <c r="B2851" t="s">
        <v>21</v>
      </c>
      <c r="C2851" t="s">
        <v>27</v>
      </c>
      <c r="D2851">
        <v>133</v>
      </c>
      <c r="E2851">
        <v>22</v>
      </c>
      <c r="F2851">
        <v>7</v>
      </c>
      <c r="G2851">
        <v>10</v>
      </c>
      <c r="H2851">
        <v>172</v>
      </c>
      <c r="I2851" s="1">
        <v>44958</v>
      </c>
      <c r="J2851">
        <v>17</v>
      </c>
      <c r="K2851" t="s">
        <v>23</v>
      </c>
    </row>
    <row r="2852" spans="1:11">
      <c r="A2852" s="1">
        <v>44980</v>
      </c>
      <c r="B2852" t="s">
        <v>21</v>
      </c>
      <c r="C2852" t="s">
        <v>66</v>
      </c>
      <c r="D2852">
        <v>2965</v>
      </c>
      <c r="E2852">
        <v>1492</v>
      </c>
      <c r="F2852">
        <v>814</v>
      </c>
      <c r="G2852">
        <v>1096</v>
      </c>
      <c r="H2852">
        <v>6367</v>
      </c>
      <c r="I2852" s="1">
        <v>44958</v>
      </c>
      <c r="J2852">
        <v>1910</v>
      </c>
      <c r="K2852" t="s">
        <v>23</v>
      </c>
    </row>
    <row r="2853" spans="1:11">
      <c r="A2853" s="1">
        <v>44980</v>
      </c>
      <c r="B2853" t="s">
        <v>21</v>
      </c>
      <c r="C2853" t="s">
        <v>57</v>
      </c>
      <c r="D2853">
        <v>1000</v>
      </c>
      <c r="E2853">
        <v>283</v>
      </c>
      <c r="F2853">
        <v>200</v>
      </c>
      <c r="G2853">
        <v>383</v>
      </c>
      <c r="H2853">
        <v>1865</v>
      </c>
      <c r="I2853" s="1">
        <v>44958</v>
      </c>
      <c r="J2853">
        <v>583</v>
      </c>
      <c r="K2853" t="s">
        <v>23</v>
      </c>
    </row>
    <row r="2854" spans="1:11">
      <c r="A2854" s="1">
        <v>44980</v>
      </c>
      <c r="B2854" t="s">
        <v>21</v>
      </c>
      <c r="C2854" t="s">
        <v>47</v>
      </c>
      <c r="D2854">
        <v>684</v>
      </c>
      <c r="E2854">
        <v>224</v>
      </c>
      <c r="F2854">
        <v>103</v>
      </c>
      <c r="G2854">
        <v>192</v>
      </c>
      <c r="H2854">
        <v>1202</v>
      </c>
      <c r="I2854" s="1">
        <v>44958</v>
      </c>
      <c r="J2854">
        <v>295</v>
      </c>
      <c r="K2854" t="s">
        <v>23</v>
      </c>
    </row>
    <row r="2855" spans="1:11">
      <c r="A2855" s="1">
        <v>44980</v>
      </c>
      <c r="B2855" t="s">
        <v>21</v>
      </c>
      <c r="C2855" t="s">
        <v>25</v>
      </c>
      <c r="D2855">
        <v>294</v>
      </c>
      <c r="E2855">
        <v>61</v>
      </c>
      <c r="F2855">
        <v>37</v>
      </c>
      <c r="G2855">
        <v>15</v>
      </c>
      <c r="H2855">
        <v>406</v>
      </c>
      <c r="I2855" s="1">
        <v>44958</v>
      </c>
      <c r="J2855">
        <v>52</v>
      </c>
      <c r="K2855" t="s">
        <v>23</v>
      </c>
    </row>
    <row r="2856" spans="1:11">
      <c r="A2856" s="1">
        <v>44980</v>
      </c>
      <c r="B2856" t="s">
        <v>21</v>
      </c>
      <c r="C2856" t="s">
        <v>51</v>
      </c>
      <c r="D2856">
        <v>796</v>
      </c>
      <c r="E2856">
        <v>304</v>
      </c>
      <c r="F2856">
        <v>175</v>
      </c>
      <c r="G2856">
        <v>160</v>
      </c>
      <c r="H2856">
        <v>1434</v>
      </c>
      <c r="I2856" s="1">
        <v>44958</v>
      </c>
      <c r="J2856">
        <v>335</v>
      </c>
      <c r="K2856" t="s">
        <v>23</v>
      </c>
    </row>
    <row r="2857" spans="1:11">
      <c r="A2857" s="1">
        <v>44980</v>
      </c>
      <c r="B2857" t="s">
        <v>21</v>
      </c>
      <c r="C2857" t="s">
        <v>45</v>
      </c>
      <c r="D2857">
        <v>675</v>
      </c>
      <c r="E2857">
        <v>303</v>
      </c>
      <c r="F2857">
        <v>102</v>
      </c>
      <c r="G2857">
        <v>15</v>
      </c>
      <c r="H2857">
        <v>1093</v>
      </c>
      <c r="I2857" s="1">
        <v>44958</v>
      </c>
      <c r="J2857">
        <v>117</v>
      </c>
      <c r="K2857" t="s">
        <v>23</v>
      </c>
    </row>
    <row r="2858" spans="1:11">
      <c r="A2858" s="1">
        <v>44980</v>
      </c>
      <c r="B2858" t="s">
        <v>21</v>
      </c>
      <c r="C2858" t="s">
        <v>43</v>
      </c>
      <c r="D2858">
        <v>843</v>
      </c>
      <c r="E2858">
        <v>433</v>
      </c>
      <c r="F2858">
        <v>196</v>
      </c>
      <c r="G2858">
        <v>86</v>
      </c>
      <c r="H2858">
        <v>1558</v>
      </c>
      <c r="I2858" s="1">
        <v>44958</v>
      </c>
      <c r="J2858">
        <v>282</v>
      </c>
      <c r="K2858" t="s">
        <v>23</v>
      </c>
    </row>
    <row r="2859" spans="1:11">
      <c r="A2859" s="1">
        <v>44980</v>
      </c>
      <c r="B2859" t="s">
        <v>21</v>
      </c>
      <c r="C2859" t="s">
        <v>52</v>
      </c>
      <c r="D2859">
        <v>1975</v>
      </c>
      <c r="E2859">
        <v>1288</v>
      </c>
      <c r="F2859">
        <v>381</v>
      </c>
      <c r="G2859">
        <v>121</v>
      </c>
      <c r="H2859">
        <v>3765</v>
      </c>
      <c r="I2859" s="1">
        <v>44958</v>
      </c>
      <c r="J2859">
        <v>502</v>
      </c>
      <c r="K2859" t="s">
        <v>23</v>
      </c>
    </row>
    <row r="2860" spans="1:11">
      <c r="A2860" s="1">
        <v>44980</v>
      </c>
      <c r="B2860" t="s">
        <v>21</v>
      </c>
      <c r="C2860" t="s">
        <v>46</v>
      </c>
      <c r="D2860">
        <v>498</v>
      </c>
      <c r="E2860">
        <v>32</v>
      </c>
      <c r="F2860">
        <v>22</v>
      </c>
      <c r="G2860">
        <v>33</v>
      </c>
      <c r="H2860">
        <v>584</v>
      </c>
      <c r="I2860" s="1">
        <v>44958</v>
      </c>
      <c r="J2860">
        <v>55</v>
      </c>
      <c r="K2860" t="s">
        <v>23</v>
      </c>
    </row>
    <row r="2861" spans="1:11">
      <c r="A2861" s="1">
        <v>44980</v>
      </c>
      <c r="B2861" t="s">
        <v>21</v>
      </c>
      <c r="C2861" t="s">
        <v>63</v>
      </c>
      <c r="D2861">
        <v>267</v>
      </c>
      <c r="E2861">
        <v>121</v>
      </c>
      <c r="F2861">
        <v>81</v>
      </c>
      <c r="G2861">
        <v>131</v>
      </c>
      <c r="H2861">
        <v>600</v>
      </c>
      <c r="I2861" s="1">
        <v>44958</v>
      </c>
      <c r="J2861">
        <v>212</v>
      </c>
      <c r="K2861" t="s">
        <v>23</v>
      </c>
    </row>
    <row r="2862" spans="1:11">
      <c r="A2862" s="1">
        <v>44980</v>
      </c>
      <c r="B2862" t="s">
        <v>21</v>
      </c>
      <c r="C2862" t="s">
        <v>60</v>
      </c>
      <c r="D2862">
        <v>1191</v>
      </c>
      <c r="E2862">
        <v>536</v>
      </c>
      <c r="F2862">
        <v>113</v>
      </c>
      <c r="G2862">
        <v>113</v>
      </c>
      <c r="H2862">
        <v>1954</v>
      </c>
      <c r="I2862" s="1">
        <v>44958</v>
      </c>
      <c r="J2862">
        <v>226</v>
      </c>
      <c r="K2862" t="s">
        <v>23</v>
      </c>
    </row>
    <row r="2863" spans="1:11">
      <c r="A2863" s="1">
        <v>44980</v>
      </c>
      <c r="B2863" t="s">
        <v>21</v>
      </c>
      <c r="C2863" t="s">
        <v>61</v>
      </c>
      <c r="D2863">
        <v>1464</v>
      </c>
      <c r="E2863">
        <v>533</v>
      </c>
      <c r="F2863">
        <v>203</v>
      </c>
      <c r="G2863">
        <v>219</v>
      </c>
      <c r="H2863">
        <v>2418</v>
      </c>
      <c r="I2863" s="1">
        <v>44958</v>
      </c>
      <c r="J2863">
        <v>422</v>
      </c>
      <c r="K2863" t="s">
        <v>23</v>
      </c>
    </row>
    <row r="2864" spans="1:11">
      <c r="A2864" s="1">
        <v>44980</v>
      </c>
      <c r="B2864" t="s">
        <v>21</v>
      </c>
      <c r="C2864" t="s">
        <v>44</v>
      </c>
      <c r="D2864">
        <v>588</v>
      </c>
      <c r="E2864">
        <v>228</v>
      </c>
      <c r="F2864">
        <v>86</v>
      </c>
      <c r="G2864">
        <v>171</v>
      </c>
      <c r="H2864">
        <v>1071</v>
      </c>
      <c r="I2864" s="1">
        <v>44958</v>
      </c>
      <c r="J2864">
        <v>257</v>
      </c>
      <c r="K2864" t="s">
        <v>23</v>
      </c>
    </row>
    <row r="2865" spans="1:11">
      <c r="A2865" s="1">
        <v>44980</v>
      </c>
      <c r="B2865" t="s">
        <v>21</v>
      </c>
      <c r="C2865" t="s">
        <v>59</v>
      </c>
      <c r="D2865">
        <v>2397</v>
      </c>
      <c r="E2865">
        <v>824</v>
      </c>
      <c r="F2865">
        <v>378</v>
      </c>
      <c r="G2865">
        <v>497</v>
      </c>
      <c r="H2865">
        <v>4096</v>
      </c>
      <c r="I2865" s="1">
        <v>44958</v>
      </c>
      <c r="J2865">
        <v>875</v>
      </c>
      <c r="K2865" t="s">
        <v>23</v>
      </c>
    </row>
    <row r="2866" spans="1:11">
      <c r="A2866" s="1">
        <v>44980</v>
      </c>
      <c r="B2866" t="s">
        <v>21</v>
      </c>
      <c r="C2866" t="s">
        <v>67</v>
      </c>
      <c r="D2866">
        <v>1831</v>
      </c>
      <c r="E2866">
        <v>657</v>
      </c>
      <c r="F2866">
        <v>359</v>
      </c>
      <c r="G2866">
        <v>337</v>
      </c>
      <c r="H2866">
        <v>3183</v>
      </c>
      <c r="I2866" s="1">
        <v>44958</v>
      </c>
      <c r="J2866">
        <v>696</v>
      </c>
      <c r="K2866" t="s">
        <v>23</v>
      </c>
    </row>
    <row r="2867" spans="1:11">
      <c r="A2867" s="1">
        <v>45015</v>
      </c>
      <c r="B2867" t="s">
        <v>21</v>
      </c>
      <c r="C2867" t="s">
        <v>64</v>
      </c>
      <c r="D2867">
        <v>20753</v>
      </c>
      <c r="E2867">
        <v>11026</v>
      </c>
      <c r="F2867">
        <v>5409</v>
      </c>
      <c r="G2867">
        <v>6452</v>
      </c>
      <c r="H2867">
        <v>43641</v>
      </c>
      <c r="I2867" s="1">
        <v>44986</v>
      </c>
      <c r="J2867">
        <v>11861</v>
      </c>
      <c r="K2867" t="s">
        <v>23</v>
      </c>
    </row>
    <row r="2868" spans="1:11">
      <c r="A2868" s="1">
        <v>45015</v>
      </c>
      <c r="B2868" t="s">
        <v>21</v>
      </c>
      <c r="C2868" t="s">
        <v>65</v>
      </c>
      <c r="D2868">
        <v>3053</v>
      </c>
      <c r="E2868">
        <v>1358</v>
      </c>
      <c r="F2868">
        <v>466</v>
      </c>
      <c r="G2868">
        <v>607</v>
      </c>
      <c r="H2868">
        <v>5485</v>
      </c>
      <c r="I2868" s="1">
        <v>44986</v>
      </c>
      <c r="J2868">
        <v>1073</v>
      </c>
      <c r="K2868" t="s">
        <v>23</v>
      </c>
    </row>
    <row r="2869" spans="1:11">
      <c r="A2869" s="1">
        <v>45015</v>
      </c>
      <c r="B2869" t="s">
        <v>21</v>
      </c>
      <c r="C2869" t="s">
        <v>27</v>
      </c>
      <c r="D2869">
        <v>120</v>
      </c>
      <c r="E2869">
        <v>28</v>
      </c>
      <c r="F2869">
        <v>4</v>
      </c>
      <c r="G2869">
        <v>14</v>
      </c>
      <c r="H2869">
        <v>166</v>
      </c>
      <c r="I2869" s="1">
        <v>44986</v>
      </c>
      <c r="J2869">
        <v>18</v>
      </c>
      <c r="K2869" t="s">
        <v>23</v>
      </c>
    </row>
    <row r="2870" spans="1:11">
      <c r="A2870" s="1">
        <v>45015</v>
      </c>
      <c r="B2870" t="s">
        <v>21</v>
      </c>
      <c r="C2870" t="s">
        <v>66</v>
      </c>
      <c r="D2870">
        <v>2896</v>
      </c>
      <c r="E2870">
        <v>1552</v>
      </c>
      <c r="F2870">
        <v>816</v>
      </c>
      <c r="G2870">
        <v>1163</v>
      </c>
      <c r="H2870">
        <v>6426</v>
      </c>
      <c r="I2870" s="1">
        <v>44986</v>
      </c>
      <c r="J2870">
        <v>1979</v>
      </c>
      <c r="K2870" t="s">
        <v>23</v>
      </c>
    </row>
    <row r="2871" spans="1:11">
      <c r="A2871" s="1">
        <v>45015</v>
      </c>
      <c r="B2871" t="s">
        <v>21</v>
      </c>
      <c r="C2871" t="s">
        <v>57</v>
      </c>
      <c r="D2871">
        <v>1129</v>
      </c>
      <c r="E2871">
        <v>274</v>
      </c>
      <c r="F2871">
        <v>192</v>
      </c>
      <c r="G2871">
        <v>366</v>
      </c>
      <c r="H2871">
        <v>1962</v>
      </c>
      <c r="I2871" s="1">
        <v>44986</v>
      </c>
      <c r="J2871">
        <v>558</v>
      </c>
      <c r="K2871" t="s">
        <v>23</v>
      </c>
    </row>
    <row r="2872" spans="1:11">
      <c r="A2872" s="1">
        <v>45015</v>
      </c>
      <c r="B2872" t="s">
        <v>21</v>
      </c>
      <c r="C2872" t="s">
        <v>47</v>
      </c>
      <c r="D2872">
        <v>709</v>
      </c>
      <c r="E2872">
        <v>226</v>
      </c>
      <c r="F2872">
        <v>117</v>
      </c>
      <c r="G2872">
        <v>171</v>
      </c>
      <c r="H2872">
        <v>1222</v>
      </c>
      <c r="I2872" s="1">
        <v>44986</v>
      </c>
      <c r="J2872">
        <v>288</v>
      </c>
      <c r="K2872" t="s">
        <v>23</v>
      </c>
    </row>
    <row r="2873" spans="1:11">
      <c r="A2873" s="1">
        <v>45015</v>
      </c>
      <c r="B2873" t="s">
        <v>21</v>
      </c>
      <c r="C2873" t="s">
        <v>25</v>
      </c>
      <c r="D2873">
        <v>295</v>
      </c>
      <c r="E2873">
        <v>68</v>
      </c>
      <c r="F2873">
        <v>23</v>
      </c>
      <c r="G2873">
        <v>11</v>
      </c>
      <c r="H2873">
        <v>396</v>
      </c>
      <c r="I2873" s="1">
        <v>44986</v>
      </c>
      <c r="J2873">
        <v>34</v>
      </c>
      <c r="K2873" t="s">
        <v>23</v>
      </c>
    </row>
    <row r="2874" spans="1:11">
      <c r="A2874" s="1">
        <v>45015</v>
      </c>
      <c r="B2874" t="s">
        <v>21</v>
      </c>
      <c r="C2874" t="s">
        <v>51</v>
      </c>
      <c r="D2874">
        <v>834</v>
      </c>
      <c r="E2874">
        <v>295</v>
      </c>
      <c r="F2874">
        <v>198</v>
      </c>
      <c r="G2874">
        <v>131</v>
      </c>
      <c r="H2874">
        <v>1458</v>
      </c>
      <c r="I2874" s="1">
        <v>44986</v>
      </c>
      <c r="J2874">
        <v>329</v>
      </c>
      <c r="K2874" t="s">
        <v>23</v>
      </c>
    </row>
    <row r="2875" spans="1:11">
      <c r="A2875" s="1">
        <v>45015</v>
      </c>
      <c r="B2875" t="s">
        <v>21</v>
      </c>
      <c r="C2875" t="s">
        <v>45</v>
      </c>
      <c r="D2875">
        <v>660</v>
      </c>
      <c r="E2875">
        <v>298</v>
      </c>
      <c r="F2875">
        <v>121</v>
      </c>
      <c r="G2875">
        <v>18</v>
      </c>
      <c r="H2875">
        <v>1097</v>
      </c>
      <c r="I2875" s="1">
        <v>44986</v>
      </c>
      <c r="J2875">
        <v>139</v>
      </c>
      <c r="K2875" t="s">
        <v>23</v>
      </c>
    </row>
    <row r="2876" spans="1:11">
      <c r="A2876" s="1">
        <v>45015</v>
      </c>
      <c r="B2876" t="s">
        <v>21</v>
      </c>
      <c r="C2876" t="s">
        <v>43</v>
      </c>
      <c r="D2876">
        <v>931</v>
      </c>
      <c r="E2876">
        <v>482</v>
      </c>
      <c r="F2876">
        <v>140</v>
      </c>
      <c r="G2876">
        <v>92</v>
      </c>
      <c r="H2876">
        <v>1645</v>
      </c>
      <c r="I2876" s="1">
        <v>44986</v>
      </c>
      <c r="J2876">
        <v>232</v>
      </c>
      <c r="K2876" t="s">
        <v>23</v>
      </c>
    </row>
    <row r="2877" spans="1:11">
      <c r="A2877" s="1">
        <v>45015</v>
      </c>
      <c r="B2877" t="s">
        <v>21</v>
      </c>
      <c r="C2877" t="s">
        <v>54</v>
      </c>
      <c r="D2877">
        <v>258</v>
      </c>
      <c r="E2877">
        <v>79</v>
      </c>
      <c r="F2877">
        <v>8</v>
      </c>
      <c r="G2877">
        <v>5</v>
      </c>
      <c r="H2877">
        <v>350</v>
      </c>
      <c r="I2877" s="1">
        <v>44986</v>
      </c>
      <c r="J2877">
        <v>13</v>
      </c>
      <c r="K2877" t="s">
        <v>23</v>
      </c>
    </row>
    <row r="2878" spans="1:11">
      <c r="A2878" s="1">
        <v>45015</v>
      </c>
      <c r="B2878" t="s">
        <v>21</v>
      </c>
      <c r="C2878" t="s">
        <v>52</v>
      </c>
      <c r="D2878">
        <v>2163</v>
      </c>
      <c r="E2878">
        <v>1370</v>
      </c>
      <c r="F2878">
        <v>394</v>
      </c>
      <c r="G2878">
        <v>109</v>
      </c>
      <c r="H2878">
        <v>4037</v>
      </c>
      <c r="I2878" s="1">
        <v>44986</v>
      </c>
      <c r="J2878">
        <v>503</v>
      </c>
      <c r="K2878" t="s">
        <v>23</v>
      </c>
    </row>
    <row r="2879" spans="1:11">
      <c r="A2879" s="1">
        <v>45015</v>
      </c>
      <c r="B2879" t="s">
        <v>21</v>
      </c>
      <c r="C2879" t="s">
        <v>46</v>
      </c>
      <c r="D2879">
        <v>503</v>
      </c>
      <c r="E2879">
        <v>26</v>
      </c>
      <c r="F2879">
        <v>9</v>
      </c>
      <c r="G2879">
        <v>39</v>
      </c>
      <c r="H2879">
        <v>578</v>
      </c>
      <c r="I2879" s="1">
        <v>44986</v>
      </c>
      <c r="J2879">
        <v>48</v>
      </c>
      <c r="K2879" t="s">
        <v>23</v>
      </c>
    </row>
    <row r="2880" spans="1:11">
      <c r="A2880" s="1">
        <v>45015</v>
      </c>
      <c r="B2880" t="s">
        <v>21</v>
      </c>
      <c r="C2880" t="s">
        <v>63</v>
      </c>
      <c r="D2880">
        <v>315</v>
      </c>
      <c r="E2880">
        <v>117</v>
      </c>
      <c r="F2880">
        <v>66</v>
      </c>
      <c r="G2880">
        <v>43</v>
      </c>
      <c r="H2880">
        <v>541</v>
      </c>
      <c r="I2880" s="1">
        <v>44986</v>
      </c>
      <c r="J2880">
        <v>109</v>
      </c>
      <c r="K2880" t="s">
        <v>23</v>
      </c>
    </row>
    <row r="2881" spans="1:11">
      <c r="A2881" s="1">
        <v>45015</v>
      </c>
      <c r="B2881" t="s">
        <v>21</v>
      </c>
      <c r="C2881" t="s">
        <v>60</v>
      </c>
      <c r="D2881">
        <v>1297</v>
      </c>
      <c r="E2881">
        <v>546</v>
      </c>
      <c r="F2881">
        <v>113</v>
      </c>
      <c r="G2881">
        <v>123</v>
      </c>
      <c r="H2881">
        <v>2079</v>
      </c>
      <c r="I2881" s="1">
        <v>44986</v>
      </c>
      <c r="J2881">
        <v>236</v>
      </c>
      <c r="K2881" t="s">
        <v>23</v>
      </c>
    </row>
    <row r="2882" spans="1:11">
      <c r="A2882" s="1">
        <v>45015</v>
      </c>
      <c r="B2882" t="s">
        <v>21</v>
      </c>
      <c r="C2882" t="s">
        <v>61</v>
      </c>
      <c r="D2882">
        <v>1595</v>
      </c>
      <c r="E2882">
        <v>531</v>
      </c>
      <c r="F2882">
        <v>223</v>
      </c>
      <c r="G2882">
        <v>223</v>
      </c>
      <c r="H2882">
        <v>2571</v>
      </c>
      <c r="I2882" s="1">
        <v>44986</v>
      </c>
      <c r="J2882">
        <v>446</v>
      </c>
      <c r="K2882" t="s">
        <v>23</v>
      </c>
    </row>
    <row r="2883" spans="1:11">
      <c r="A2883" s="1">
        <v>45015</v>
      </c>
      <c r="B2883" t="s">
        <v>21</v>
      </c>
      <c r="C2883" t="s">
        <v>44</v>
      </c>
      <c r="D2883">
        <v>641</v>
      </c>
      <c r="E2883">
        <v>248</v>
      </c>
      <c r="F2883">
        <v>92</v>
      </c>
      <c r="G2883">
        <v>150</v>
      </c>
      <c r="H2883">
        <v>1131</v>
      </c>
      <c r="I2883" s="1">
        <v>44986</v>
      </c>
      <c r="J2883">
        <v>242</v>
      </c>
      <c r="K2883" t="s">
        <v>23</v>
      </c>
    </row>
    <row r="2884" spans="1:11">
      <c r="A2884" s="1">
        <v>45015</v>
      </c>
      <c r="B2884" t="s">
        <v>21</v>
      </c>
      <c r="C2884" t="s">
        <v>59</v>
      </c>
      <c r="D2884">
        <v>2396</v>
      </c>
      <c r="E2884">
        <v>853</v>
      </c>
      <c r="F2884">
        <v>361</v>
      </c>
      <c r="G2884">
        <v>320</v>
      </c>
      <c r="H2884">
        <v>3930</v>
      </c>
      <c r="I2884" s="1">
        <v>44986</v>
      </c>
      <c r="J2884">
        <v>681</v>
      </c>
      <c r="K2884" t="s">
        <v>23</v>
      </c>
    </row>
    <row r="2885" spans="1:11">
      <c r="A2885" s="1">
        <v>45015</v>
      </c>
      <c r="B2885" t="s">
        <v>21</v>
      </c>
      <c r="C2885" t="s">
        <v>67</v>
      </c>
      <c r="D2885">
        <v>2050</v>
      </c>
      <c r="E2885">
        <v>645</v>
      </c>
      <c r="F2885">
        <v>350</v>
      </c>
      <c r="G2885">
        <v>248</v>
      </c>
      <c r="H2885">
        <v>3292</v>
      </c>
      <c r="I2885" s="1">
        <v>44986</v>
      </c>
      <c r="J2885">
        <v>598</v>
      </c>
      <c r="K2885" t="s">
        <v>23</v>
      </c>
    </row>
    <row r="2886" spans="1:11">
      <c r="A2886" s="1">
        <v>45043</v>
      </c>
      <c r="B2886" t="s">
        <v>21</v>
      </c>
      <c r="C2886" t="s">
        <v>64</v>
      </c>
      <c r="D2886">
        <v>20442</v>
      </c>
      <c r="E2886">
        <v>10825</v>
      </c>
      <c r="F2886">
        <v>5466</v>
      </c>
      <c r="G2886">
        <v>6368</v>
      </c>
      <c r="H2886">
        <v>43101</v>
      </c>
      <c r="I2886" s="1">
        <v>45017</v>
      </c>
      <c r="J2886">
        <v>11834</v>
      </c>
      <c r="K2886" t="s">
        <v>23</v>
      </c>
    </row>
    <row r="2887" spans="1:11">
      <c r="A2887" s="1">
        <v>45043</v>
      </c>
      <c r="B2887" t="s">
        <v>21</v>
      </c>
      <c r="C2887" t="s">
        <v>65</v>
      </c>
      <c r="D2887">
        <v>3015</v>
      </c>
      <c r="E2887">
        <v>1353</v>
      </c>
      <c r="F2887">
        <v>490</v>
      </c>
      <c r="G2887">
        <v>618</v>
      </c>
      <c r="H2887">
        <v>5475</v>
      </c>
      <c r="I2887" s="1">
        <v>45017</v>
      </c>
      <c r="J2887">
        <v>1108</v>
      </c>
      <c r="K2887" t="s">
        <v>23</v>
      </c>
    </row>
    <row r="2888" spans="1:11">
      <c r="A2888" s="1">
        <v>45043</v>
      </c>
      <c r="B2888" t="s">
        <v>21</v>
      </c>
      <c r="C2888" t="s">
        <v>27</v>
      </c>
      <c r="D2888">
        <v>119</v>
      </c>
      <c r="E2888">
        <v>27</v>
      </c>
      <c r="F2888">
        <v>4</v>
      </c>
      <c r="G2888">
        <v>11</v>
      </c>
      <c r="H2888">
        <v>160</v>
      </c>
      <c r="I2888" s="1">
        <v>45017</v>
      </c>
      <c r="J2888">
        <v>15</v>
      </c>
      <c r="K2888" t="s">
        <v>23</v>
      </c>
    </row>
    <row r="2889" spans="1:11">
      <c r="A2889" s="1">
        <v>45043</v>
      </c>
      <c r="B2889" t="s">
        <v>21</v>
      </c>
      <c r="C2889" t="s">
        <v>66</v>
      </c>
      <c r="D2889">
        <v>3004</v>
      </c>
      <c r="E2889">
        <v>1599</v>
      </c>
      <c r="F2889">
        <v>818</v>
      </c>
      <c r="G2889">
        <v>1162</v>
      </c>
      <c r="H2889">
        <v>6584</v>
      </c>
      <c r="I2889" s="1">
        <v>45017</v>
      </c>
      <c r="J2889">
        <v>1980</v>
      </c>
      <c r="K2889" t="s">
        <v>23</v>
      </c>
    </row>
    <row r="2890" spans="1:11">
      <c r="A2890" s="1">
        <v>45043</v>
      </c>
      <c r="B2890" t="s">
        <v>21</v>
      </c>
      <c r="C2890" t="s">
        <v>57</v>
      </c>
      <c r="D2890">
        <v>1164</v>
      </c>
      <c r="E2890">
        <v>277</v>
      </c>
      <c r="F2890">
        <v>204</v>
      </c>
      <c r="G2890">
        <v>372</v>
      </c>
      <c r="H2890">
        <v>2016</v>
      </c>
      <c r="I2890" s="1">
        <v>45017</v>
      </c>
      <c r="J2890">
        <v>576</v>
      </c>
      <c r="K2890" t="s">
        <v>23</v>
      </c>
    </row>
    <row r="2891" spans="1:11">
      <c r="A2891" s="1">
        <v>45043</v>
      </c>
      <c r="B2891" t="s">
        <v>21</v>
      </c>
      <c r="C2891" t="s">
        <v>47</v>
      </c>
      <c r="D2891">
        <v>759</v>
      </c>
      <c r="E2891">
        <v>220</v>
      </c>
      <c r="F2891">
        <v>103</v>
      </c>
      <c r="G2891">
        <v>174</v>
      </c>
      <c r="H2891">
        <v>1254</v>
      </c>
      <c r="I2891" s="1">
        <v>45017</v>
      </c>
      <c r="J2891">
        <v>277</v>
      </c>
      <c r="K2891" t="s">
        <v>23</v>
      </c>
    </row>
    <row r="2892" spans="1:11">
      <c r="A2892" s="1">
        <v>45043</v>
      </c>
      <c r="B2892" t="s">
        <v>21</v>
      </c>
      <c r="C2892" t="s">
        <v>25</v>
      </c>
      <c r="D2892">
        <v>278</v>
      </c>
      <c r="E2892">
        <v>73</v>
      </c>
      <c r="F2892">
        <v>18</v>
      </c>
      <c r="G2892">
        <v>4</v>
      </c>
      <c r="H2892">
        <v>373</v>
      </c>
      <c r="I2892" s="1">
        <v>45017</v>
      </c>
      <c r="J2892">
        <v>22</v>
      </c>
      <c r="K2892" t="s">
        <v>23</v>
      </c>
    </row>
    <row r="2893" spans="1:11">
      <c r="A2893" s="1">
        <v>45043</v>
      </c>
      <c r="B2893" t="s">
        <v>21</v>
      </c>
      <c r="C2893" t="s">
        <v>51</v>
      </c>
      <c r="D2893">
        <v>886</v>
      </c>
      <c r="E2893">
        <v>319</v>
      </c>
      <c r="F2893">
        <v>192</v>
      </c>
      <c r="G2893">
        <v>131</v>
      </c>
      <c r="H2893">
        <v>1528</v>
      </c>
      <c r="I2893" s="1">
        <v>45017</v>
      </c>
      <c r="J2893">
        <v>323</v>
      </c>
      <c r="K2893" t="s">
        <v>23</v>
      </c>
    </row>
    <row r="2894" spans="1:11">
      <c r="A2894" s="1">
        <v>45043</v>
      </c>
      <c r="B2894" t="s">
        <v>21</v>
      </c>
      <c r="C2894" t="s">
        <v>45</v>
      </c>
      <c r="D2894">
        <v>654</v>
      </c>
      <c r="E2894">
        <v>306</v>
      </c>
      <c r="F2894">
        <v>118</v>
      </c>
      <c r="G2894">
        <v>18</v>
      </c>
      <c r="H2894">
        <v>1096</v>
      </c>
      <c r="I2894" s="1">
        <v>45017</v>
      </c>
      <c r="J2894">
        <v>136</v>
      </c>
      <c r="K2894" t="s">
        <v>23</v>
      </c>
    </row>
    <row r="2895" spans="1:11">
      <c r="A2895" s="1">
        <v>45043</v>
      </c>
      <c r="B2895" t="s">
        <v>21</v>
      </c>
      <c r="C2895" t="s">
        <v>43</v>
      </c>
      <c r="D2895">
        <v>1011</v>
      </c>
      <c r="E2895">
        <v>474</v>
      </c>
      <c r="F2895">
        <v>128</v>
      </c>
      <c r="G2895">
        <v>88</v>
      </c>
      <c r="H2895">
        <v>1701</v>
      </c>
      <c r="I2895" s="1">
        <v>45017</v>
      </c>
      <c r="J2895">
        <v>216</v>
      </c>
      <c r="K2895" t="s">
        <v>23</v>
      </c>
    </row>
    <row r="2896" spans="1:11">
      <c r="A2896" s="1">
        <v>45043</v>
      </c>
      <c r="B2896" t="s">
        <v>21</v>
      </c>
      <c r="C2896" t="s">
        <v>54</v>
      </c>
      <c r="D2896">
        <v>217</v>
      </c>
      <c r="E2896">
        <v>100</v>
      </c>
      <c r="F2896">
        <v>13</v>
      </c>
      <c r="G2896">
        <v>7</v>
      </c>
      <c r="H2896">
        <v>337</v>
      </c>
      <c r="I2896" s="1">
        <v>45017</v>
      </c>
      <c r="J2896">
        <v>20</v>
      </c>
      <c r="K2896" t="s">
        <v>23</v>
      </c>
    </row>
    <row r="2897" spans="1:11">
      <c r="A2897" s="1">
        <v>45043</v>
      </c>
      <c r="B2897" t="s">
        <v>21</v>
      </c>
      <c r="C2897" t="s">
        <v>52</v>
      </c>
      <c r="D2897">
        <v>2254</v>
      </c>
      <c r="E2897">
        <v>1385</v>
      </c>
      <c r="F2897">
        <v>484</v>
      </c>
      <c r="G2897">
        <v>104</v>
      </c>
      <c r="H2897">
        <v>4226</v>
      </c>
      <c r="I2897" s="1">
        <v>45017</v>
      </c>
      <c r="J2897">
        <v>588</v>
      </c>
      <c r="K2897" t="s">
        <v>23</v>
      </c>
    </row>
    <row r="2898" spans="1:11">
      <c r="A2898" s="1">
        <v>45043</v>
      </c>
      <c r="B2898" t="s">
        <v>21</v>
      </c>
      <c r="C2898" t="s">
        <v>46</v>
      </c>
      <c r="D2898">
        <v>468</v>
      </c>
      <c r="E2898">
        <v>22</v>
      </c>
      <c r="F2898">
        <v>10</v>
      </c>
      <c r="G2898">
        <v>34</v>
      </c>
      <c r="H2898">
        <v>534</v>
      </c>
      <c r="I2898" s="1">
        <v>45017</v>
      </c>
      <c r="J2898">
        <v>44</v>
      </c>
      <c r="K2898" t="s">
        <v>23</v>
      </c>
    </row>
    <row r="2899" spans="1:11">
      <c r="A2899" s="1">
        <v>45043</v>
      </c>
      <c r="B2899" t="s">
        <v>21</v>
      </c>
      <c r="C2899" t="s">
        <v>63</v>
      </c>
      <c r="D2899">
        <v>324</v>
      </c>
      <c r="E2899">
        <v>129</v>
      </c>
      <c r="F2899">
        <v>56</v>
      </c>
      <c r="G2899">
        <v>44</v>
      </c>
      <c r="H2899">
        <v>553</v>
      </c>
      <c r="I2899" s="1">
        <v>45017</v>
      </c>
      <c r="J2899">
        <v>100</v>
      </c>
      <c r="K2899" t="s">
        <v>23</v>
      </c>
    </row>
    <row r="2900" spans="1:11">
      <c r="A2900" s="1">
        <v>45043</v>
      </c>
      <c r="B2900" t="s">
        <v>21</v>
      </c>
      <c r="C2900" t="s">
        <v>60</v>
      </c>
      <c r="D2900">
        <v>1298</v>
      </c>
      <c r="E2900">
        <v>558</v>
      </c>
      <c r="F2900">
        <v>126</v>
      </c>
      <c r="G2900">
        <v>126</v>
      </c>
      <c r="H2900">
        <v>2107</v>
      </c>
      <c r="I2900" s="1">
        <v>45017</v>
      </c>
      <c r="J2900">
        <v>252</v>
      </c>
      <c r="K2900" t="s">
        <v>23</v>
      </c>
    </row>
    <row r="2901" spans="1:11">
      <c r="A2901" s="1">
        <v>45043</v>
      </c>
      <c r="B2901" t="s">
        <v>21</v>
      </c>
      <c r="C2901" t="s">
        <v>61</v>
      </c>
      <c r="D2901">
        <v>1674</v>
      </c>
      <c r="E2901">
        <v>542</v>
      </c>
      <c r="F2901">
        <v>214</v>
      </c>
      <c r="G2901">
        <v>229</v>
      </c>
      <c r="H2901">
        <v>2659</v>
      </c>
      <c r="I2901" s="1">
        <v>45017</v>
      </c>
      <c r="J2901">
        <v>443</v>
      </c>
      <c r="K2901" t="s">
        <v>23</v>
      </c>
    </row>
    <row r="2902" spans="1:11">
      <c r="A2902" s="1">
        <v>45043</v>
      </c>
      <c r="B2902" t="s">
        <v>21</v>
      </c>
      <c r="C2902" t="s">
        <v>44</v>
      </c>
      <c r="D2902">
        <v>656</v>
      </c>
      <c r="E2902">
        <v>220</v>
      </c>
      <c r="F2902">
        <v>96</v>
      </c>
      <c r="G2902">
        <v>139</v>
      </c>
      <c r="H2902">
        <v>1110</v>
      </c>
      <c r="I2902" s="1">
        <v>45017</v>
      </c>
      <c r="J2902">
        <v>235</v>
      </c>
      <c r="K2902" t="s">
        <v>23</v>
      </c>
    </row>
    <row r="2903" spans="1:11">
      <c r="A2903" s="1">
        <v>45043</v>
      </c>
      <c r="B2903" t="s">
        <v>21</v>
      </c>
      <c r="C2903" t="s">
        <v>59</v>
      </c>
      <c r="D2903">
        <v>2481</v>
      </c>
      <c r="E2903">
        <v>876</v>
      </c>
      <c r="F2903">
        <v>370</v>
      </c>
      <c r="G2903">
        <v>281</v>
      </c>
      <c r="H2903">
        <v>4008</v>
      </c>
      <c r="I2903" s="1">
        <v>45017</v>
      </c>
      <c r="J2903">
        <v>651</v>
      </c>
      <c r="K2903" t="s">
        <v>23</v>
      </c>
    </row>
    <row r="2904" spans="1:11">
      <c r="A2904" s="1">
        <v>45043</v>
      </c>
      <c r="B2904" t="s">
        <v>21</v>
      </c>
      <c r="C2904" t="s">
        <v>67</v>
      </c>
      <c r="D2904">
        <v>2026</v>
      </c>
      <c r="E2904">
        <v>683</v>
      </c>
      <c r="F2904">
        <v>329</v>
      </c>
      <c r="G2904">
        <v>251</v>
      </c>
      <c r="H2904">
        <v>3289</v>
      </c>
      <c r="I2904" s="1">
        <v>45017</v>
      </c>
      <c r="J2904">
        <v>580</v>
      </c>
      <c r="K2904" t="s">
        <v>23</v>
      </c>
    </row>
    <row r="2905" spans="1:11">
      <c r="A2905" s="1">
        <v>45071</v>
      </c>
      <c r="B2905" t="s">
        <v>21</v>
      </c>
      <c r="C2905" t="s">
        <v>64</v>
      </c>
      <c r="D2905">
        <v>21230</v>
      </c>
      <c r="E2905">
        <v>10013</v>
      </c>
      <c r="F2905">
        <v>5569</v>
      </c>
      <c r="G2905">
        <v>6471</v>
      </c>
      <c r="H2905">
        <v>43282</v>
      </c>
      <c r="I2905" s="1">
        <v>45047</v>
      </c>
      <c r="J2905">
        <v>12040</v>
      </c>
      <c r="K2905" t="s">
        <v>23</v>
      </c>
    </row>
    <row r="2906" spans="1:11">
      <c r="A2906" s="1">
        <v>45071</v>
      </c>
      <c r="B2906" t="s">
        <v>21</v>
      </c>
      <c r="C2906" t="s">
        <v>65</v>
      </c>
      <c r="D2906">
        <v>3094</v>
      </c>
      <c r="E2906">
        <v>1400</v>
      </c>
      <c r="F2906">
        <v>471</v>
      </c>
      <c r="G2906">
        <v>597</v>
      </c>
      <c r="H2906">
        <v>5562</v>
      </c>
      <c r="I2906" s="1">
        <v>45047</v>
      </c>
      <c r="J2906">
        <v>1068</v>
      </c>
      <c r="K2906" t="s">
        <v>23</v>
      </c>
    </row>
    <row r="2907" spans="1:11">
      <c r="A2907" s="1">
        <v>45071</v>
      </c>
      <c r="B2907" t="s">
        <v>21</v>
      </c>
      <c r="C2907" t="s">
        <v>27</v>
      </c>
      <c r="D2907">
        <v>127</v>
      </c>
      <c r="E2907">
        <v>20</v>
      </c>
      <c r="F2907">
        <v>6</v>
      </c>
      <c r="G2907">
        <v>12</v>
      </c>
      <c r="H2907">
        <v>165</v>
      </c>
      <c r="I2907" s="1">
        <v>45047</v>
      </c>
      <c r="J2907">
        <v>18</v>
      </c>
      <c r="K2907" t="s">
        <v>23</v>
      </c>
    </row>
    <row r="2908" spans="1:11">
      <c r="A2908" s="1">
        <v>45071</v>
      </c>
      <c r="B2908" t="s">
        <v>21</v>
      </c>
      <c r="C2908" t="s">
        <v>66</v>
      </c>
      <c r="D2908">
        <v>3177</v>
      </c>
      <c r="E2908">
        <v>1637</v>
      </c>
      <c r="F2908">
        <v>833</v>
      </c>
      <c r="G2908">
        <v>1096</v>
      </c>
      <c r="H2908">
        <v>6743</v>
      </c>
      <c r="I2908" s="1">
        <v>45047</v>
      </c>
      <c r="J2908">
        <v>1929</v>
      </c>
      <c r="K2908" t="s">
        <v>23</v>
      </c>
    </row>
    <row r="2909" spans="1:11">
      <c r="A2909" s="1">
        <v>45071</v>
      </c>
      <c r="B2909" t="s">
        <v>21</v>
      </c>
      <c r="C2909" t="s">
        <v>57</v>
      </c>
      <c r="D2909">
        <v>1045</v>
      </c>
      <c r="E2909">
        <v>285</v>
      </c>
      <c r="F2909">
        <v>198</v>
      </c>
      <c r="G2909">
        <v>370</v>
      </c>
      <c r="H2909">
        <v>1898</v>
      </c>
      <c r="I2909" s="1">
        <v>45047</v>
      </c>
      <c r="J2909">
        <v>568</v>
      </c>
      <c r="K2909" t="s">
        <v>23</v>
      </c>
    </row>
    <row r="2910" spans="1:11">
      <c r="A2910" s="1">
        <v>45071</v>
      </c>
      <c r="B2910" t="s">
        <v>21</v>
      </c>
      <c r="C2910" t="s">
        <v>47</v>
      </c>
      <c r="D2910">
        <v>797</v>
      </c>
      <c r="E2910">
        <v>230</v>
      </c>
      <c r="F2910">
        <v>115</v>
      </c>
      <c r="G2910">
        <v>164</v>
      </c>
      <c r="H2910">
        <v>1305</v>
      </c>
      <c r="I2910" s="1">
        <v>45047</v>
      </c>
      <c r="J2910">
        <v>279</v>
      </c>
      <c r="K2910" t="s">
        <v>23</v>
      </c>
    </row>
    <row r="2911" spans="1:11">
      <c r="A2911" s="1">
        <v>45071</v>
      </c>
      <c r="B2911" t="s">
        <v>21</v>
      </c>
      <c r="C2911" t="s">
        <v>25</v>
      </c>
      <c r="D2911">
        <v>280</v>
      </c>
      <c r="E2911">
        <v>73</v>
      </c>
      <c r="F2911">
        <v>6</v>
      </c>
      <c r="G2911">
        <v>4</v>
      </c>
      <c r="H2911">
        <v>363</v>
      </c>
      <c r="I2911" s="1">
        <v>45047</v>
      </c>
      <c r="J2911">
        <v>10</v>
      </c>
      <c r="K2911" t="s">
        <v>23</v>
      </c>
    </row>
    <row r="2912" spans="1:11">
      <c r="A2912" s="1">
        <v>45071</v>
      </c>
      <c r="B2912" t="s">
        <v>21</v>
      </c>
      <c r="C2912" t="s">
        <v>51</v>
      </c>
      <c r="D2912">
        <v>893</v>
      </c>
      <c r="E2912">
        <v>300</v>
      </c>
      <c r="F2912">
        <v>189</v>
      </c>
      <c r="G2912">
        <v>129</v>
      </c>
      <c r="H2912">
        <v>1512</v>
      </c>
      <c r="I2912" s="1">
        <v>45047</v>
      </c>
      <c r="J2912">
        <v>318</v>
      </c>
      <c r="K2912" t="s">
        <v>23</v>
      </c>
    </row>
    <row r="2913" spans="1:11">
      <c r="A2913" s="1">
        <v>45071</v>
      </c>
      <c r="B2913" t="s">
        <v>21</v>
      </c>
      <c r="C2913" t="s">
        <v>45</v>
      </c>
      <c r="D2913">
        <v>680</v>
      </c>
      <c r="E2913">
        <v>329</v>
      </c>
      <c r="F2913">
        <v>123</v>
      </c>
      <c r="G2913">
        <v>19</v>
      </c>
      <c r="H2913">
        <v>1150</v>
      </c>
      <c r="I2913" s="1">
        <v>45047</v>
      </c>
      <c r="J2913">
        <v>142</v>
      </c>
      <c r="K2913" t="s">
        <v>23</v>
      </c>
    </row>
    <row r="2914" spans="1:11">
      <c r="A2914" s="1">
        <v>45071</v>
      </c>
      <c r="B2914" t="s">
        <v>21</v>
      </c>
      <c r="C2914" t="s">
        <v>43</v>
      </c>
      <c r="D2914">
        <v>1015</v>
      </c>
      <c r="E2914">
        <v>432</v>
      </c>
      <c r="F2914">
        <v>137</v>
      </c>
      <c r="G2914">
        <v>82</v>
      </c>
      <c r="H2914">
        <v>1666</v>
      </c>
      <c r="I2914" s="1">
        <v>45047</v>
      </c>
      <c r="J2914">
        <v>219</v>
      </c>
      <c r="K2914" t="s">
        <v>23</v>
      </c>
    </row>
    <row r="2915" spans="1:11">
      <c r="A2915" s="1">
        <v>45071</v>
      </c>
      <c r="B2915" t="s">
        <v>21</v>
      </c>
      <c r="C2915" t="s">
        <v>54</v>
      </c>
      <c r="D2915">
        <v>261</v>
      </c>
      <c r="E2915">
        <v>104</v>
      </c>
      <c r="F2915">
        <v>14</v>
      </c>
      <c r="G2915">
        <v>7</v>
      </c>
      <c r="H2915">
        <v>386</v>
      </c>
      <c r="I2915" s="1">
        <v>45047</v>
      </c>
      <c r="J2915">
        <v>21</v>
      </c>
      <c r="K2915" t="s">
        <v>23</v>
      </c>
    </row>
    <row r="2916" spans="1:11">
      <c r="A2916" s="1">
        <v>45071</v>
      </c>
      <c r="B2916" t="s">
        <v>21</v>
      </c>
      <c r="C2916" t="s">
        <v>52</v>
      </c>
      <c r="D2916">
        <v>2295</v>
      </c>
      <c r="E2916">
        <v>1375</v>
      </c>
      <c r="F2916">
        <v>516</v>
      </c>
      <c r="G2916">
        <v>66</v>
      </c>
      <c r="H2916">
        <v>4252</v>
      </c>
      <c r="I2916" s="1">
        <v>45047</v>
      </c>
      <c r="J2916">
        <v>582</v>
      </c>
      <c r="K2916" t="s">
        <v>23</v>
      </c>
    </row>
    <row r="2917" spans="1:11">
      <c r="A2917" s="1">
        <v>45071</v>
      </c>
      <c r="B2917" t="s">
        <v>21</v>
      </c>
      <c r="C2917" t="s">
        <v>46</v>
      </c>
      <c r="D2917">
        <v>490</v>
      </c>
      <c r="E2917">
        <v>20</v>
      </c>
      <c r="F2917">
        <v>15</v>
      </c>
      <c r="G2917">
        <v>42</v>
      </c>
      <c r="H2917">
        <v>567</v>
      </c>
      <c r="I2917" s="1">
        <v>45047</v>
      </c>
      <c r="J2917">
        <v>57</v>
      </c>
      <c r="K2917" t="s">
        <v>23</v>
      </c>
    </row>
    <row r="2918" spans="1:11">
      <c r="A2918" s="1">
        <v>45071</v>
      </c>
      <c r="B2918" t="s">
        <v>21</v>
      </c>
      <c r="C2918" t="s">
        <v>63</v>
      </c>
      <c r="D2918">
        <v>357</v>
      </c>
      <c r="E2918">
        <v>115</v>
      </c>
      <c r="F2918">
        <v>54</v>
      </c>
      <c r="G2918">
        <v>52</v>
      </c>
      <c r="H2918">
        <v>578</v>
      </c>
      <c r="I2918" s="1">
        <v>45047</v>
      </c>
      <c r="J2918">
        <v>106</v>
      </c>
      <c r="K2918" t="s">
        <v>23</v>
      </c>
    </row>
    <row r="2919" spans="1:11">
      <c r="A2919" s="1">
        <v>45071</v>
      </c>
      <c r="B2919" t="s">
        <v>21</v>
      </c>
      <c r="C2919" t="s">
        <v>60</v>
      </c>
      <c r="D2919">
        <v>1339</v>
      </c>
      <c r="E2919">
        <v>534</v>
      </c>
      <c r="F2919">
        <v>171</v>
      </c>
      <c r="G2919">
        <v>130</v>
      </c>
      <c r="H2919">
        <v>2174</v>
      </c>
      <c r="I2919" s="1">
        <v>45047</v>
      </c>
      <c r="J2919">
        <v>301</v>
      </c>
      <c r="K2919" t="s">
        <v>23</v>
      </c>
    </row>
    <row r="2920" spans="1:11">
      <c r="A2920" s="1">
        <v>45071</v>
      </c>
      <c r="B2920" t="s">
        <v>21</v>
      </c>
      <c r="C2920" t="s">
        <v>61</v>
      </c>
      <c r="D2920">
        <v>1704</v>
      </c>
      <c r="E2920">
        <v>551</v>
      </c>
      <c r="F2920">
        <v>228</v>
      </c>
      <c r="G2920">
        <v>236</v>
      </c>
      <c r="H2920">
        <v>2718</v>
      </c>
      <c r="I2920" s="1">
        <v>45047</v>
      </c>
      <c r="J2920">
        <v>464</v>
      </c>
      <c r="K2920" t="s">
        <v>23</v>
      </c>
    </row>
    <row r="2921" spans="1:11">
      <c r="A2921" s="1">
        <v>45071</v>
      </c>
      <c r="B2921" t="s">
        <v>21</v>
      </c>
      <c r="C2921" t="s">
        <v>44</v>
      </c>
      <c r="D2921">
        <v>675</v>
      </c>
      <c r="E2921">
        <v>207</v>
      </c>
      <c r="F2921">
        <v>100</v>
      </c>
      <c r="G2921">
        <v>133</v>
      </c>
      <c r="H2921">
        <v>1115</v>
      </c>
      <c r="I2921" s="1">
        <v>45047</v>
      </c>
      <c r="J2921">
        <v>233</v>
      </c>
      <c r="K2921" t="s">
        <v>23</v>
      </c>
    </row>
    <row r="2922" spans="1:11">
      <c r="A2922" s="1">
        <v>45071</v>
      </c>
      <c r="B2922" t="s">
        <v>21</v>
      </c>
      <c r="C2922" t="s">
        <v>59</v>
      </c>
      <c r="D2922">
        <v>2597</v>
      </c>
      <c r="E2922">
        <v>855</v>
      </c>
      <c r="F2922">
        <v>416</v>
      </c>
      <c r="G2922">
        <v>275</v>
      </c>
      <c r="H2922">
        <v>4143</v>
      </c>
      <c r="I2922" s="1">
        <v>45047</v>
      </c>
      <c r="J2922">
        <v>691</v>
      </c>
      <c r="K2922" t="s">
        <v>23</v>
      </c>
    </row>
    <row r="2923" spans="1:11">
      <c r="A2923" s="1">
        <v>45071</v>
      </c>
      <c r="B2923" t="s">
        <v>21</v>
      </c>
      <c r="C2923" t="s">
        <v>67</v>
      </c>
      <c r="D2923">
        <v>2127</v>
      </c>
      <c r="E2923">
        <v>657</v>
      </c>
      <c r="F2923">
        <v>255</v>
      </c>
      <c r="G2923">
        <v>250</v>
      </c>
      <c r="H2923">
        <v>3289</v>
      </c>
      <c r="I2923" s="1">
        <v>45047</v>
      </c>
      <c r="J2923">
        <v>505</v>
      </c>
      <c r="K2923" t="s">
        <v>23</v>
      </c>
    </row>
    <row r="2924" spans="1:11">
      <c r="A2924" s="1">
        <v>45106</v>
      </c>
      <c r="B2924" t="s">
        <v>21</v>
      </c>
      <c r="C2924" t="s">
        <v>64</v>
      </c>
      <c r="D2924">
        <v>21266</v>
      </c>
      <c r="E2924">
        <v>10028</v>
      </c>
      <c r="F2924">
        <v>5223</v>
      </c>
      <c r="G2924">
        <v>6115</v>
      </c>
      <c r="H2924">
        <v>42632</v>
      </c>
      <c r="I2924" s="1">
        <v>45078</v>
      </c>
      <c r="J2924">
        <v>11338</v>
      </c>
      <c r="K2924" t="s">
        <v>23</v>
      </c>
    </row>
    <row r="2925" spans="1:11">
      <c r="A2925" s="1">
        <v>45106</v>
      </c>
      <c r="B2925" t="s">
        <v>21</v>
      </c>
      <c r="C2925" t="s">
        <v>65</v>
      </c>
      <c r="D2925">
        <v>3038</v>
      </c>
      <c r="E2925">
        <v>1404</v>
      </c>
      <c r="F2925">
        <v>472</v>
      </c>
      <c r="G2925">
        <v>576</v>
      </c>
      <c r="H2925">
        <v>5491</v>
      </c>
      <c r="I2925" s="1">
        <v>45078</v>
      </c>
      <c r="J2925">
        <v>1048</v>
      </c>
      <c r="K2925" t="s">
        <v>23</v>
      </c>
    </row>
    <row r="2926" spans="1:11">
      <c r="A2926" s="1">
        <v>45106</v>
      </c>
      <c r="B2926" t="s">
        <v>21</v>
      </c>
      <c r="C2926" t="s">
        <v>27</v>
      </c>
      <c r="D2926">
        <v>118</v>
      </c>
      <c r="E2926">
        <v>19</v>
      </c>
      <c r="F2926">
        <v>4</v>
      </c>
      <c r="G2926">
        <v>12</v>
      </c>
      <c r="H2926">
        <v>153</v>
      </c>
      <c r="I2926" s="1">
        <v>45078</v>
      </c>
      <c r="J2926">
        <v>16</v>
      </c>
      <c r="K2926" t="s">
        <v>23</v>
      </c>
    </row>
    <row r="2927" spans="1:11">
      <c r="A2927" s="1">
        <v>45106</v>
      </c>
      <c r="B2927" t="s">
        <v>21</v>
      </c>
      <c r="C2927" t="s">
        <v>66</v>
      </c>
      <c r="D2927">
        <v>3186</v>
      </c>
      <c r="E2927">
        <v>1651</v>
      </c>
      <c r="F2927">
        <v>842</v>
      </c>
      <c r="G2927">
        <v>1052</v>
      </c>
      <c r="H2927">
        <v>6730</v>
      </c>
      <c r="I2927" s="1">
        <v>45078</v>
      </c>
      <c r="J2927">
        <v>1894</v>
      </c>
      <c r="K2927" t="s">
        <v>23</v>
      </c>
    </row>
    <row r="2928" spans="1:11">
      <c r="A2928" s="1">
        <v>45106</v>
      </c>
      <c r="B2928" t="s">
        <v>21</v>
      </c>
      <c r="C2928" t="s">
        <v>57</v>
      </c>
      <c r="D2928">
        <v>1069</v>
      </c>
      <c r="E2928">
        <v>299</v>
      </c>
      <c r="F2928">
        <v>198</v>
      </c>
      <c r="G2928">
        <v>349</v>
      </c>
      <c r="H2928">
        <v>1916</v>
      </c>
      <c r="I2928" s="1">
        <v>45078</v>
      </c>
      <c r="J2928">
        <v>547</v>
      </c>
      <c r="K2928" t="s">
        <v>23</v>
      </c>
    </row>
    <row r="2929" spans="1:11">
      <c r="A2929" s="1">
        <v>45106</v>
      </c>
      <c r="B2929" t="s">
        <v>21</v>
      </c>
      <c r="C2929" t="s">
        <v>47</v>
      </c>
      <c r="D2929">
        <v>861</v>
      </c>
      <c r="E2929">
        <v>235</v>
      </c>
      <c r="F2929">
        <v>121</v>
      </c>
      <c r="G2929">
        <v>159</v>
      </c>
      <c r="H2929">
        <v>1376</v>
      </c>
      <c r="I2929" s="1">
        <v>45078</v>
      </c>
      <c r="J2929">
        <v>280</v>
      </c>
      <c r="K2929" t="s">
        <v>23</v>
      </c>
    </row>
    <row r="2930" spans="1:11">
      <c r="A2930" s="1">
        <v>45106</v>
      </c>
      <c r="B2930" t="s">
        <v>21</v>
      </c>
      <c r="C2930" t="s">
        <v>25</v>
      </c>
      <c r="D2930">
        <v>278</v>
      </c>
      <c r="E2930">
        <v>73</v>
      </c>
      <c r="F2930">
        <v>5</v>
      </c>
      <c r="G2930">
        <v>4</v>
      </c>
      <c r="H2930">
        <v>360</v>
      </c>
      <c r="I2930" s="1">
        <v>45078</v>
      </c>
      <c r="J2930">
        <v>9</v>
      </c>
      <c r="K2930" t="s">
        <v>23</v>
      </c>
    </row>
    <row r="2931" spans="1:11">
      <c r="A2931" s="1">
        <v>45106</v>
      </c>
      <c r="B2931" t="s">
        <v>21</v>
      </c>
      <c r="C2931" t="s">
        <v>51</v>
      </c>
      <c r="D2931">
        <v>883</v>
      </c>
      <c r="E2931">
        <v>248</v>
      </c>
      <c r="F2931">
        <v>187</v>
      </c>
      <c r="G2931">
        <v>127</v>
      </c>
      <c r="H2931">
        <v>1445</v>
      </c>
      <c r="I2931" s="1">
        <v>45078</v>
      </c>
      <c r="J2931">
        <v>314</v>
      </c>
      <c r="K2931" t="s">
        <v>23</v>
      </c>
    </row>
    <row r="2932" spans="1:11">
      <c r="A2932" s="1">
        <v>45106</v>
      </c>
      <c r="B2932" t="s">
        <v>21</v>
      </c>
      <c r="C2932" t="s">
        <v>45</v>
      </c>
      <c r="D2932">
        <v>641</v>
      </c>
      <c r="E2932">
        <v>307</v>
      </c>
      <c r="F2932">
        <v>106</v>
      </c>
      <c r="G2932">
        <v>32</v>
      </c>
      <c r="H2932">
        <v>1086</v>
      </c>
      <c r="I2932" s="1">
        <v>45078</v>
      </c>
      <c r="J2932">
        <v>138</v>
      </c>
      <c r="K2932" t="s">
        <v>23</v>
      </c>
    </row>
    <row r="2933" spans="1:11">
      <c r="A2933" s="1">
        <v>45106</v>
      </c>
      <c r="B2933" t="s">
        <v>21</v>
      </c>
      <c r="C2933" t="s">
        <v>43</v>
      </c>
      <c r="D2933">
        <v>1001</v>
      </c>
      <c r="E2933">
        <v>403</v>
      </c>
      <c r="F2933">
        <v>95</v>
      </c>
      <c r="G2933">
        <v>49</v>
      </c>
      <c r="H2933">
        <v>1548</v>
      </c>
      <c r="I2933" s="1">
        <v>45078</v>
      </c>
      <c r="J2933">
        <v>144</v>
      </c>
      <c r="K2933" t="s">
        <v>23</v>
      </c>
    </row>
    <row r="2934" spans="1:11">
      <c r="A2934" s="1">
        <v>45106</v>
      </c>
      <c r="B2934" t="s">
        <v>21</v>
      </c>
      <c r="C2934" t="s">
        <v>52</v>
      </c>
      <c r="D2934">
        <v>2247</v>
      </c>
      <c r="E2934">
        <v>1098</v>
      </c>
      <c r="F2934">
        <v>522</v>
      </c>
      <c r="G2934">
        <v>28</v>
      </c>
      <c r="H2934">
        <v>3895</v>
      </c>
      <c r="I2934" s="1">
        <v>45078</v>
      </c>
      <c r="J2934">
        <v>550</v>
      </c>
      <c r="K2934" t="s">
        <v>23</v>
      </c>
    </row>
    <row r="2935" spans="1:11">
      <c r="A2935" s="1">
        <v>45106</v>
      </c>
      <c r="B2935" t="s">
        <v>21</v>
      </c>
      <c r="C2935" t="s">
        <v>46</v>
      </c>
      <c r="D2935">
        <v>465</v>
      </c>
      <c r="E2935">
        <v>18</v>
      </c>
      <c r="F2935">
        <v>14</v>
      </c>
      <c r="G2935">
        <v>31</v>
      </c>
      <c r="H2935">
        <v>528</v>
      </c>
      <c r="I2935" s="1">
        <v>45078</v>
      </c>
      <c r="J2935">
        <v>45</v>
      </c>
      <c r="K2935" t="s">
        <v>23</v>
      </c>
    </row>
    <row r="2936" spans="1:11">
      <c r="A2936" s="1">
        <v>45106</v>
      </c>
      <c r="B2936" t="s">
        <v>21</v>
      </c>
      <c r="C2936" t="s">
        <v>63</v>
      </c>
      <c r="D2936">
        <v>365</v>
      </c>
      <c r="E2936">
        <v>115</v>
      </c>
      <c r="F2936">
        <v>65</v>
      </c>
      <c r="G2936">
        <v>32</v>
      </c>
      <c r="H2936">
        <v>577</v>
      </c>
      <c r="I2936" s="1">
        <v>45078</v>
      </c>
      <c r="J2936">
        <v>97</v>
      </c>
      <c r="K2936" t="s">
        <v>23</v>
      </c>
    </row>
    <row r="2937" spans="1:11">
      <c r="A2937" s="1">
        <v>45106</v>
      </c>
      <c r="B2937" t="s">
        <v>21</v>
      </c>
      <c r="C2937" t="s">
        <v>60</v>
      </c>
      <c r="D2937">
        <v>1442</v>
      </c>
      <c r="E2937">
        <v>460</v>
      </c>
      <c r="F2937">
        <v>168</v>
      </c>
      <c r="G2937">
        <v>141</v>
      </c>
      <c r="H2937">
        <v>2211</v>
      </c>
      <c r="I2937" s="1">
        <v>45078</v>
      </c>
      <c r="J2937">
        <v>309</v>
      </c>
      <c r="K2937" t="s">
        <v>23</v>
      </c>
    </row>
    <row r="2938" spans="1:11">
      <c r="A2938" s="1">
        <v>45106</v>
      </c>
      <c r="B2938" t="s">
        <v>21</v>
      </c>
      <c r="C2938" t="s">
        <v>61</v>
      </c>
      <c r="D2938">
        <v>1808</v>
      </c>
      <c r="E2938">
        <v>531</v>
      </c>
      <c r="F2938">
        <v>239</v>
      </c>
      <c r="G2938">
        <v>240</v>
      </c>
      <c r="H2938">
        <v>2818</v>
      </c>
      <c r="I2938" s="1">
        <v>45078</v>
      </c>
      <c r="J2938">
        <v>479</v>
      </c>
      <c r="K2938" t="s">
        <v>23</v>
      </c>
    </row>
    <row r="2939" spans="1:11">
      <c r="A2939" s="1">
        <v>45106</v>
      </c>
      <c r="B2939" t="s">
        <v>21</v>
      </c>
      <c r="C2939" t="s">
        <v>44</v>
      </c>
      <c r="D2939">
        <v>712</v>
      </c>
      <c r="E2939">
        <v>211</v>
      </c>
      <c r="F2939">
        <v>102</v>
      </c>
      <c r="G2939">
        <v>97</v>
      </c>
      <c r="H2939">
        <v>1122</v>
      </c>
      <c r="I2939" s="1">
        <v>45078</v>
      </c>
      <c r="J2939">
        <v>199</v>
      </c>
      <c r="K2939" t="s">
        <v>23</v>
      </c>
    </row>
    <row r="2940" spans="1:11">
      <c r="A2940" s="1">
        <v>45106</v>
      </c>
      <c r="B2940" t="s">
        <v>21</v>
      </c>
      <c r="C2940" t="s">
        <v>59</v>
      </c>
      <c r="D2940">
        <v>2651</v>
      </c>
      <c r="E2940">
        <v>813</v>
      </c>
      <c r="F2940">
        <v>355</v>
      </c>
      <c r="G2940">
        <v>178</v>
      </c>
      <c r="H2940">
        <v>3997</v>
      </c>
      <c r="I2940" s="1">
        <v>45078</v>
      </c>
      <c r="J2940">
        <v>533</v>
      </c>
      <c r="K2940" t="s">
        <v>23</v>
      </c>
    </row>
    <row r="2941" spans="1:11">
      <c r="A2941" s="1">
        <v>45106</v>
      </c>
      <c r="B2941" t="s">
        <v>21</v>
      </c>
      <c r="C2941" t="s">
        <v>67</v>
      </c>
      <c r="D2941">
        <v>2210</v>
      </c>
      <c r="E2941">
        <v>661</v>
      </c>
      <c r="F2941">
        <v>232</v>
      </c>
      <c r="G2941">
        <v>236</v>
      </c>
      <c r="H2941">
        <v>3338</v>
      </c>
      <c r="I2941" s="1">
        <v>45078</v>
      </c>
      <c r="J2941">
        <v>468</v>
      </c>
      <c r="K2941" t="s">
        <v>23</v>
      </c>
    </row>
    <row r="2942" spans="1:11">
      <c r="A2942" s="1">
        <v>45134</v>
      </c>
      <c r="B2942" t="s">
        <v>21</v>
      </c>
      <c r="C2942" t="s">
        <v>64</v>
      </c>
      <c r="D2942">
        <v>21211</v>
      </c>
      <c r="E2942">
        <v>10250</v>
      </c>
      <c r="F2942">
        <v>5472</v>
      </c>
      <c r="G2942">
        <v>5676</v>
      </c>
      <c r="H2942">
        <v>42609</v>
      </c>
      <c r="I2942" s="1">
        <v>45108</v>
      </c>
      <c r="J2942">
        <v>11148</v>
      </c>
      <c r="K2942" t="s">
        <v>23</v>
      </c>
    </row>
    <row r="2943" spans="1:11">
      <c r="A2943" s="1">
        <v>45134</v>
      </c>
      <c r="B2943" t="s">
        <v>21</v>
      </c>
      <c r="C2943" t="s">
        <v>65</v>
      </c>
      <c r="D2943">
        <v>3018</v>
      </c>
      <c r="E2943">
        <v>1411</v>
      </c>
      <c r="F2943">
        <v>516</v>
      </c>
      <c r="G2943">
        <v>579</v>
      </c>
      <c r="H2943">
        <v>5524</v>
      </c>
      <c r="I2943" s="1">
        <v>45108</v>
      </c>
      <c r="J2943">
        <v>1095</v>
      </c>
      <c r="K2943" t="s">
        <v>23</v>
      </c>
    </row>
    <row r="2944" spans="1:11">
      <c r="A2944" s="1">
        <v>45134</v>
      </c>
      <c r="B2944" t="s">
        <v>21</v>
      </c>
      <c r="C2944" t="s">
        <v>27</v>
      </c>
      <c r="D2944">
        <v>125</v>
      </c>
      <c r="E2944">
        <v>17</v>
      </c>
      <c r="F2944">
        <v>8</v>
      </c>
      <c r="G2944">
        <v>11</v>
      </c>
      <c r="H2944">
        <v>161</v>
      </c>
      <c r="I2944" s="1">
        <v>45108</v>
      </c>
      <c r="J2944">
        <v>19</v>
      </c>
      <c r="K2944" t="s">
        <v>23</v>
      </c>
    </row>
    <row r="2945" spans="1:11">
      <c r="A2945" s="1">
        <v>45134</v>
      </c>
      <c r="B2945" t="s">
        <v>21</v>
      </c>
      <c r="C2945" t="s">
        <v>66</v>
      </c>
      <c r="D2945">
        <v>3124</v>
      </c>
      <c r="E2945">
        <v>1572</v>
      </c>
      <c r="F2945">
        <v>827</v>
      </c>
      <c r="G2945">
        <v>1025</v>
      </c>
      <c r="H2945">
        <v>6548</v>
      </c>
      <c r="I2945" s="1">
        <v>45108</v>
      </c>
      <c r="J2945">
        <v>1852</v>
      </c>
      <c r="K2945" t="s">
        <v>23</v>
      </c>
    </row>
    <row r="2946" spans="1:11">
      <c r="A2946" s="1">
        <v>45134</v>
      </c>
      <c r="B2946" t="s">
        <v>21</v>
      </c>
      <c r="C2946" t="s">
        <v>57</v>
      </c>
      <c r="D2946">
        <v>1037</v>
      </c>
      <c r="E2946">
        <v>309</v>
      </c>
      <c r="F2946">
        <v>199</v>
      </c>
      <c r="G2946">
        <v>315</v>
      </c>
      <c r="H2946">
        <v>1860</v>
      </c>
      <c r="I2946" s="1">
        <v>45108</v>
      </c>
      <c r="J2946">
        <v>514</v>
      </c>
      <c r="K2946" t="s">
        <v>23</v>
      </c>
    </row>
    <row r="2947" spans="1:11">
      <c r="A2947" s="1">
        <v>45134</v>
      </c>
      <c r="B2947" t="s">
        <v>21</v>
      </c>
      <c r="C2947" t="s">
        <v>47</v>
      </c>
      <c r="D2947">
        <v>848</v>
      </c>
      <c r="E2947">
        <v>224</v>
      </c>
      <c r="F2947">
        <v>121</v>
      </c>
      <c r="G2947">
        <v>116</v>
      </c>
      <c r="H2947">
        <v>1309</v>
      </c>
      <c r="I2947" s="1">
        <v>45108</v>
      </c>
      <c r="J2947">
        <v>237</v>
      </c>
      <c r="K2947" t="s">
        <v>23</v>
      </c>
    </row>
    <row r="2948" spans="1:11">
      <c r="A2948" s="1">
        <v>45134</v>
      </c>
      <c r="B2948" t="s">
        <v>21</v>
      </c>
      <c r="C2948" t="s">
        <v>25</v>
      </c>
      <c r="D2948">
        <v>307</v>
      </c>
      <c r="E2948">
        <v>76</v>
      </c>
      <c r="F2948">
        <v>6</v>
      </c>
      <c r="G2948">
        <v>4</v>
      </c>
      <c r="H2948">
        <v>393</v>
      </c>
      <c r="I2948" s="1">
        <v>45108</v>
      </c>
      <c r="J2948">
        <v>10</v>
      </c>
      <c r="K2948" t="s">
        <v>23</v>
      </c>
    </row>
    <row r="2949" spans="1:11">
      <c r="A2949" s="1">
        <v>45134</v>
      </c>
      <c r="B2949" t="s">
        <v>21</v>
      </c>
      <c r="C2949" t="s">
        <v>51</v>
      </c>
      <c r="D2949">
        <v>865</v>
      </c>
      <c r="E2949">
        <v>248</v>
      </c>
      <c r="F2949">
        <v>177</v>
      </c>
      <c r="G2949">
        <v>123</v>
      </c>
      <c r="H2949">
        <v>1413</v>
      </c>
      <c r="I2949" s="1">
        <v>45108</v>
      </c>
      <c r="J2949">
        <v>300</v>
      </c>
      <c r="K2949" t="s">
        <v>23</v>
      </c>
    </row>
    <row r="2950" spans="1:11">
      <c r="A2950" s="1">
        <v>45134</v>
      </c>
      <c r="B2950" t="s">
        <v>21</v>
      </c>
      <c r="C2950" t="s">
        <v>45</v>
      </c>
      <c r="D2950">
        <v>627</v>
      </c>
      <c r="E2950">
        <v>303</v>
      </c>
      <c r="F2950">
        <v>119</v>
      </c>
      <c r="G2950">
        <v>33</v>
      </c>
      <c r="H2950">
        <v>1083</v>
      </c>
      <c r="I2950" s="1">
        <v>45108</v>
      </c>
      <c r="J2950">
        <v>152</v>
      </c>
      <c r="K2950" t="s">
        <v>23</v>
      </c>
    </row>
    <row r="2951" spans="1:11">
      <c r="A2951" s="1">
        <v>45134</v>
      </c>
      <c r="B2951" t="s">
        <v>21</v>
      </c>
      <c r="C2951" t="s">
        <v>43</v>
      </c>
      <c r="D2951">
        <v>1081</v>
      </c>
      <c r="E2951">
        <v>412</v>
      </c>
      <c r="F2951">
        <v>90</v>
      </c>
      <c r="G2951">
        <v>14</v>
      </c>
      <c r="H2951">
        <v>1597</v>
      </c>
      <c r="I2951" s="1">
        <v>45108</v>
      </c>
      <c r="J2951">
        <v>104</v>
      </c>
      <c r="K2951" t="s">
        <v>23</v>
      </c>
    </row>
    <row r="2952" spans="1:11">
      <c r="A2952" s="1">
        <v>45134</v>
      </c>
      <c r="B2952" t="s">
        <v>21</v>
      </c>
      <c r="C2952" t="s">
        <v>54</v>
      </c>
      <c r="D2952">
        <v>265</v>
      </c>
      <c r="E2952">
        <v>114</v>
      </c>
      <c r="F2952">
        <v>38</v>
      </c>
      <c r="G2952">
        <v>8</v>
      </c>
      <c r="H2952">
        <v>425</v>
      </c>
      <c r="I2952" s="1">
        <v>45108</v>
      </c>
      <c r="J2952">
        <v>46</v>
      </c>
      <c r="K2952" t="s">
        <v>23</v>
      </c>
    </row>
    <row r="2953" spans="1:11">
      <c r="A2953" s="1">
        <v>45134</v>
      </c>
      <c r="B2953" t="s">
        <v>21</v>
      </c>
      <c r="C2953" t="s">
        <v>52</v>
      </c>
      <c r="D2953">
        <v>2223</v>
      </c>
      <c r="E2953">
        <v>1164</v>
      </c>
      <c r="F2953">
        <v>571</v>
      </c>
      <c r="G2953">
        <v>22</v>
      </c>
      <c r="H2953">
        <v>3979</v>
      </c>
      <c r="I2953" s="1">
        <v>45108</v>
      </c>
      <c r="J2953">
        <v>593</v>
      </c>
      <c r="K2953" t="s">
        <v>23</v>
      </c>
    </row>
    <row r="2954" spans="1:11">
      <c r="A2954" s="1">
        <v>45134</v>
      </c>
      <c r="B2954" t="s">
        <v>21</v>
      </c>
      <c r="C2954" t="s">
        <v>46</v>
      </c>
      <c r="D2954">
        <v>445</v>
      </c>
      <c r="E2954">
        <v>18</v>
      </c>
      <c r="F2954">
        <v>15</v>
      </c>
      <c r="G2954">
        <v>25</v>
      </c>
      <c r="H2954">
        <v>502</v>
      </c>
      <c r="I2954" s="1">
        <v>45108</v>
      </c>
      <c r="J2954">
        <v>40</v>
      </c>
      <c r="K2954" t="s">
        <v>23</v>
      </c>
    </row>
    <row r="2955" spans="1:11">
      <c r="A2955" s="1">
        <v>45134</v>
      </c>
      <c r="B2955" t="s">
        <v>21</v>
      </c>
      <c r="C2955" t="s">
        <v>63</v>
      </c>
      <c r="D2955">
        <v>369</v>
      </c>
      <c r="E2955">
        <v>125</v>
      </c>
      <c r="F2955">
        <v>60</v>
      </c>
      <c r="G2955">
        <v>34</v>
      </c>
      <c r="H2955">
        <v>588</v>
      </c>
      <c r="I2955" s="1">
        <v>45108</v>
      </c>
      <c r="J2955">
        <v>94</v>
      </c>
      <c r="K2955" t="s">
        <v>23</v>
      </c>
    </row>
    <row r="2956" spans="1:11">
      <c r="A2956" s="1">
        <v>45134</v>
      </c>
      <c r="B2956" t="s">
        <v>21</v>
      </c>
      <c r="C2956" t="s">
        <v>60</v>
      </c>
      <c r="D2956">
        <v>1411</v>
      </c>
      <c r="E2956">
        <v>436</v>
      </c>
      <c r="F2956">
        <v>157</v>
      </c>
      <c r="G2956">
        <v>152</v>
      </c>
      <c r="H2956">
        <v>2156</v>
      </c>
      <c r="I2956" s="1">
        <v>45108</v>
      </c>
      <c r="J2956">
        <v>309</v>
      </c>
      <c r="K2956" t="s">
        <v>23</v>
      </c>
    </row>
    <row r="2957" spans="1:11">
      <c r="A2957" s="1">
        <v>45134</v>
      </c>
      <c r="B2957" t="s">
        <v>21</v>
      </c>
      <c r="C2957" t="s">
        <v>61</v>
      </c>
      <c r="D2957">
        <v>1790</v>
      </c>
      <c r="E2957">
        <v>526</v>
      </c>
      <c r="F2957">
        <v>268</v>
      </c>
      <c r="G2957">
        <v>222</v>
      </c>
      <c r="H2957">
        <v>2806</v>
      </c>
      <c r="I2957" s="1">
        <v>45108</v>
      </c>
      <c r="J2957">
        <v>490</v>
      </c>
      <c r="K2957" t="s">
        <v>23</v>
      </c>
    </row>
    <row r="2958" spans="1:11">
      <c r="A2958" s="1">
        <v>45134</v>
      </c>
      <c r="B2958" t="s">
        <v>21</v>
      </c>
      <c r="C2958" t="s">
        <v>44</v>
      </c>
      <c r="D2958">
        <v>702</v>
      </c>
      <c r="E2958">
        <v>221</v>
      </c>
      <c r="F2958">
        <v>113</v>
      </c>
      <c r="G2958">
        <v>88</v>
      </c>
      <c r="H2958">
        <v>1124</v>
      </c>
      <c r="I2958" s="1">
        <v>45108</v>
      </c>
      <c r="J2958">
        <v>201</v>
      </c>
      <c r="K2958" t="s">
        <v>23</v>
      </c>
    </row>
    <row r="2959" spans="1:11">
      <c r="A2959" s="1">
        <v>45134</v>
      </c>
      <c r="B2959" t="s">
        <v>21</v>
      </c>
      <c r="C2959" t="s">
        <v>59</v>
      </c>
      <c r="D2959">
        <v>2692</v>
      </c>
      <c r="E2959">
        <v>796</v>
      </c>
      <c r="F2959">
        <v>387</v>
      </c>
      <c r="G2959">
        <v>171</v>
      </c>
      <c r="H2959">
        <v>4046</v>
      </c>
      <c r="I2959" s="1">
        <v>45108</v>
      </c>
      <c r="J2959">
        <v>558</v>
      </c>
      <c r="K2959" t="s">
        <v>23</v>
      </c>
    </row>
    <row r="2960" spans="1:11">
      <c r="A2960" s="1">
        <v>45134</v>
      </c>
      <c r="B2960" t="s">
        <v>21</v>
      </c>
      <c r="C2960" t="s">
        <v>67</v>
      </c>
      <c r="D2960">
        <v>2223</v>
      </c>
      <c r="E2960">
        <v>726</v>
      </c>
      <c r="F2960">
        <v>242</v>
      </c>
      <c r="G2960">
        <v>238</v>
      </c>
      <c r="H2960">
        <v>3428</v>
      </c>
      <c r="I2960" s="1">
        <v>45108</v>
      </c>
      <c r="J2960">
        <v>480</v>
      </c>
      <c r="K2960" t="s">
        <v>23</v>
      </c>
    </row>
    <row r="2961" spans="1:11">
      <c r="A2961" s="1">
        <v>45169</v>
      </c>
      <c r="B2961" t="s">
        <v>21</v>
      </c>
      <c r="C2961" t="s">
        <v>64</v>
      </c>
      <c r="D2961">
        <v>20369</v>
      </c>
      <c r="E2961">
        <v>10790</v>
      </c>
      <c r="F2961">
        <v>5461</v>
      </c>
      <c r="G2961">
        <v>5397</v>
      </c>
      <c r="H2961">
        <v>42017</v>
      </c>
      <c r="I2961" s="1">
        <v>45139</v>
      </c>
      <c r="J2961">
        <v>10858</v>
      </c>
      <c r="K2961" t="s">
        <v>23</v>
      </c>
    </row>
    <row r="2962" spans="1:11">
      <c r="A2962" s="1">
        <v>45169</v>
      </c>
      <c r="B2962" t="s">
        <v>21</v>
      </c>
      <c r="C2962" t="s">
        <v>65</v>
      </c>
      <c r="D2962">
        <v>2898</v>
      </c>
      <c r="E2962">
        <v>1508</v>
      </c>
      <c r="F2962">
        <v>446</v>
      </c>
      <c r="G2962">
        <v>622</v>
      </c>
      <c r="H2962">
        <v>5473</v>
      </c>
      <c r="I2962" s="1">
        <v>45139</v>
      </c>
      <c r="J2962">
        <v>1068</v>
      </c>
      <c r="K2962" t="s">
        <v>23</v>
      </c>
    </row>
    <row r="2963" spans="1:11">
      <c r="A2963" s="1">
        <v>45169</v>
      </c>
      <c r="B2963" t="s">
        <v>21</v>
      </c>
      <c r="C2963" t="s">
        <v>27</v>
      </c>
      <c r="D2963">
        <v>139</v>
      </c>
      <c r="E2963">
        <v>12</v>
      </c>
      <c r="F2963">
        <v>4</v>
      </c>
      <c r="G2963">
        <v>6</v>
      </c>
      <c r="H2963">
        <v>161</v>
      </c>
      <c r="I2963" s="1">
        <v>45139</v>
      </c>
      <c r="J2963">
        <v>10</v>
      </c>
      <c r="K2963" t="s">
        <v>23</v>
      </c>
    </row>
    <row r="2964" spans="1:11">
      <c r="A2964" s="1">
        <v>45169</v>
      </c>
      <c r="B2964" t="s">
        <v>21</v>
      </c>
      <c r="C2964" t="s">
        <v>66</v>
      </c>
      <c r="D2964">
        <v>3155</v>
      </c>
      <c r="E2964">
        <v>1614</v>
      </c>
      <c r="F2964">
        <v>611</v>
      </c>
      <c r="G2964">
        <v>1034</v>
      </c>
      <c r="H2964">
        <v>6415</v>
      </c>
      <c r="I2964" s="1">
        <v>45139</v>
      </c>
      <c r="J2964">
        <v>1645</v>
      </c>
      <c r="K2964" t="s">
        <v>23</v>
      </c>
    </row>
    <row r="2965" spans="1:11">
      <c r="A2965" s="1">
        <v>45169</v>
      </c>
      <c r="B2965" t="s">
        <v>21</v>
      </c>
      <c r="C2965" t="s">
        <v>57</v>
      </c>
      <c r="D2965">
        <v>962</v>
      </c>
      <c r="E2965">
        <v>366</v>
      </c>
      <c r="F2965">
        <v>204</v>
      </c>
      <c r="G2965">
        <v>320</v>
      </c>
      <c r="H2965">
        <v>1852</v>
      </c>
      <c r="I2965" s="1">
        <v>45139</v>
      </c>
      <c r="J2965">
        <v>524</v>
      </c>
      <c r="K2965" t="s">
        <v>23</v>
      </c>
    </row>
    <row r="2966" spans="1:11">
      <c r="A2966" s="1">
        <v>45169</v>
      </c>
      <c r="B2966" t="s">
        <v>21</v>
      </c>
      <c r="C2966" t="s">
        <v>47</v>
      </c>
      <c r="D2966">
        <v>779</v>
      </c>
      <c r="E2966">
        <v>197</v>
      </c>
      <c r="F2966">
        <v>82</v>
      </c>
      <c r="G2966">
        <v>108</v>
      </c>
      <c r="H2966">
        <v>1167</v>
      </c>
      <c r="I2966" s="1">
        <v>45139</v>
      </c>
      <c r="J2966">
        <v>190</v>
      </c>
      <c r="K2966" t="s">
        <v>23</v>
      </c>
    </row>
    <row r="2967" spans="1:11">
      <c r="A2967" s="1">
        <v>45169</v>
      </c>
      <c r="B2967" t="s">
        <v>21</v>
      </c>
      <c r="C2967" t="s">
        <v>51</v>
      </c>
      <c r="D2967">
        <v>778</v>
      </c>
      <c r="E2967">
        <v>292</v>
      </c>
      <c r="F2967">
        <v>168</v>
      </c>
      <c r="G2967">
        <v>136</v>
      </c>
      <c r="H2967">
        <v>1374</v>
      </c>
      <c r="I2967" s="1">
        <v>45139</v>
      </c>
      <c r="J2967">
        <v>304</v>
      </c>
      <c r="K2967" t="s">
        <v>23</v>
      </c>
    </row>
    <row r="2968" spans="1:11">
      <c r="A2968" s="1">
        <v>45169</v>
      </c>
      <c r="B2968" t="s">
        <v>21</v>
      </c>
      <c r="C2968" t="s">
        <v>45</v>
      </c>
      <c r="D2968">
        <v>619</v>
      </c>
      <c r="E2968">
        <v>348</v>
      </c>
      <c r="F2968">
        <v>124</v>
      </c>
      <c r="G2968">
        <v>34</v>
      </c>
      <c r="H2968">
        <v>1126</v>
      </c>
      <c r="I2968" s="1">
        <v>45139</v>
      </c>
      <c r="J2968">
        <v>158</v>
      </c>
      <c r="K2968" t="s">
        <v>23</v>
      </c>
    </row>
    <row r="2969" spans="1:11">
      <c r="A2969" s="1">
        <v>45169</v>
      </c>
      <c r="B2969" t="s">
        <v>21</v>
      </c>
      <c r="C2969" t="s">
        <v>54</v>
      </c>
      <c r="D2969">
        <v>209</v>
      </c>
      <c r="E2969">
        <v>121</v>
      </c>
      <c r="F2969">
        <v>51</v>
      </c>
      <c r="G2969">
        <v>15</v>
      </c>
      <c r="H2969">
        <v>396</v>
      </c>
      <c r="I2969" s="1">
        <v>45139</v>
      </c>
      <c r="J2969">
        <v>66</v>
      </c>
      <c r="K2969" t="s">
        <v>23</v>
      </c>
    </row>
    <row r="2970" spans="1:11">
      <c r="A2970" s="1">
        <v>45169</v>
      </c>
      <c r="B2970" t="s">
        <v>21</v>
      </c>
      <c r="C2970" t="s">
        <v>52</v>
      </c>
      <c r="D2970">
        <v>2227</v>
      </c>
      <c r="E2970">
        <v>1312</v>
      </c>
      <c r="F2970">
        <v>595</v>
      </c>
      <c r="G2970">
        <v>22</v>
      </c>
      <c r="H2970">
        <v>4157</v>
      </c>
      <c r="I2970" s="1">
        <v>45139</v>
      </c>
      <c r="J2970">
        <v>617</v>
      </c>
      <c r="K2970" t="s">
        <v>23</v>
      </c>
    </row>
    <row r="2971" spans="1:11">
      <c r="A2971" s="1">
        <v>45169</v>
      </c>
      <c r="B2971" t="s">
        <v>21</v>
      </c>
      <c r="C2971" t="s">
        <v>46</v>
      </c>
      <c r="D2971">
        <v>386</v>
      </c>
      <c r="E2971">
        <v>27</v>
      </c>
      <c r="F2971">
        <v>12</v>
      </c>
      <c r="G2971">
        <v>23</v>
      </c>
      <c r="H2971">
        <v>448</v>
      </c>
      <c r="I2971" s="1">
        <v>45139</v>
      </c>
      <c r="J2971">
        <v>35</v>
      </c>
      <c r="K2971" t="s">
        <v>23</v>
      </c>
    </row>
    <row r="2972" spans="1:11">
      <c r="A2972" s="1">
        <v>45169</v>
      </c>
      <c r="B2972" t="s">
        <v>21</v>
      </c>
      <c r="C2972" t="s">
        <v>63</v>
      </c>
      <c r="D2972">
        <v>349</v>
      </c>
      <c r="E2972">
        <v>127</v>
      </c>
      <c r="F2972">
        <v>71</v>
      </c>
      <c r="G2972">
        <v>35</v>
      </c>
      <c r="H2972">
        <v>582</v>
      </c>
      <c r="I2972" s="1">
        <v>45139</v>
      </c>
      <c r="J2972">
        <v>106</v>
      </c>
      <c r="K2972" t="s">
        <v>23</v>
      </c>
    </row>
    <row r="2973" spans="1:11">
      <c r="A2973" s="1">
        <v>45169</v>
      </c>
      <c r="B2973" t="s">
        <v>21</v>
      </c>
      <c r="C2973" t="s">
        <v>60</v>
      </c>
      <c r="D2973">
        <v>1314</v>
      </c>
      <c r="E2973">
        <v>407</v>
      </c>
      <c r="F2973">
        <v>133</v>
      </c>
      <c r="G2973">
        <v>151</v>
      </c>
      <c r="H2973">
        <v>2005</v>
      </c>
      <c r="I2973" s="1">
        <v>45139</v>
      </c>
      <c r="J2973">
        <v>284</v>
      </c>
      <c r="K2973" t="s">
        <v>23</v>
      </c>
    </row>
    <row r="2974" spans="1:11">
      <c r="A2974" s="1">
        <v>45169</v>
      </c>
      <c r="B2974" t="s">
        <v>21</v>
      </c>
      <c r="C2974" t="s">
        <v>61</v>
      </c>
      <c r="D2974">
        <v>1590</v>
      </c>
      <c r="E2974">
        <v>603</v>
      </c>
      <c r="F2974">
        <v>246</v>
      </c>
      <c r="G2974">
        <v>249</v>
      </c>
      <c r="H2974">
        <v>2688</v>
      </c>
      <c r="I2974" s="1">
        <v>45139</v>
      </c>
      <c r="J2974">
        <v>495</v>
      </c>
      <c r="K2974" t="s">
        <v>23</v>
      </c>
    </row>
    <row r="2975" spans="1:11">
      <c r="A2975" s="1">
        <v>45169</v>
      </c>
      <c r="B2975" t="s">
        <v>21</v>
      </c>
      <c r="C2975" t="s">
        <v>44</v>
      </c>
      <c r="D2975">
        <v>650</v>
      </c>
      <c r="E2975">
        <v>257</v>
      </c>
      <c r="F2975">
        <v>106</v>
      </c>
      <c r="G2975">
        <v>78</v>
      </c>
      <c r="H2975">
        <v>1092</v>
      </c>
      <c r="I2975" s="1">
        <v>45139</v>
      </c>
      <c r="J2975">
        <v>184</v>
      </c>
      <c r="K2975" t="s">
        <v>23</v>
      </c>
    </row>
    <row r="2976" spans="1:11">
      <c r="A2976" s="1">
        <v>45169</v>
      </c>
      <c r="B2976" t="s">
        <v>21</v>
      </c>
      <c r="C2976" t="s">
        <v>59</v>
      </c>
      <c r="D2976">
        <v>2735</v>
      </c>
      <c r="E2976">
        <v>882</v>
      </c>
      <c r="F2976">
        <v>405</v>
      </c>
      <c r="G2976">
        <v>148</v>
      </c>
      <c r="H2976">
        <v>4170</v>
      </c>
      <c r="I2976" s="1">
        <v>45139</v>
      </c>
      <c r="J2976">
        <v>553</v>
      </c>
      <c r="K2976" t="s">
        <v>23</v>
      </c>
    </row>
    <row r="2977" spans="1:11">
      <c r="A2977" s="1">
        <v>45169</v>
      </c>
      <c r="B2977" t="s">
        <v>21</v>
      </c>
      <c r="C2977" t="s">
        <v>67</v>
      </c>
      <c r="D2977">
        <v>2069</v>
      </c>
      <c r="E2977">
        <v>874</v>
      </c>
      <c r="F2977">
        <v>230</v>
      </c>
      <c r="G2977">
        <v>237</v>
      </c>
      <c r="H2977">
        <v>3410</v>
      </c>
      <c r="I2977" s="1">
        <v>45139</v>
      </c>
      <c r="J2977">
        <v>467</v>
      </c>
      <c r="K2977" t="s">
        <v>23</v>
      </c>
    </row>
    <row r="2978" spans="1:11">
      <c r="A2978" s="1">
        <v>45197</v>
      </c>
      <c r="B2978" t="s">
        <v>21</v>
      </c>
      <c r="C2978" t="s">
        <v>64</v>
      </c>
      <c r="D2978">
        <v>19902</v>
      </c>
      <c r="E2978">
        <v>10893</v>
      </c>
      <c r="F2978">
        <v>5517</v>
      </c>
      <c r="G2978">
        <v>5316</v>
      </c>
      <c r="H2978">
        <v>41628</v>
      </c>
      <c r="I2978" s="1">
        <v>45170</v>
      </c>
      <c r="J2978">
        <v>10833</v>
      </c>
      <c r="K2978" t="s">
        <v>23</v>
      </c>
    </row>
    <row r="2979" spans="1:11">
      <c r="A2979" s="1">
        <v>45197</v>
      </c>
      <c r="B2979" t="s">
        <v>21</v>
      </c>
      <c r="C2979" t="s">
        <v>65</v>
      </c>
      <c r="D2979">
        <v>2871</v>
      </c>
      <c r="E2979">
        <v>1548</v>
      </c>
      <c r="F2979">
        <v>437</v>
      </c>
      <c r="G2979">
        <v>636</v>
      </c>
      <c r="H2979">
        <v>5492</v>
      </c>
      <c r="I2979" s="1">
        <v>45170</v>
      </c>
      <c r="J2979">
        <v>1073</v>
      </c>
      <c r="K2979" t="s">
        <v>23</v>
      </c>
    </row>
    <row r="2980" spans="1:11">
      <c r="A2980" s="1">
        <v>45197</v>
      </c>
      <c r="B2980" t="s">
        <v>21</v>
      </c>
      <c r="C2980" t="s">
        <v>66</v>
      </c>
      <c r="D2980">
        <v>3123</v>
      </c>
      <c r="E2980">
        <v>1488</v>
      </c>
      <c r="F2980">
        <v>629</v>
      </c>
      <c r="G2980">
        <v>1027</v>
      </c>
      <c r="H2980">
        <v>6268</v>
      </c>
      <c r="I2980" s="1">
        <v>45170</v>
      </c>
      <c r="J2980">
        <v>1656</v>
      </c>
      <c r="K2980" t="s">
        <v>23</v>
      </c>
    </row>
    <row r="2981" spans="1:11">
      <c r="A2981" s="1">
        <v>45197</v>
      </c>
      <c r="B2981" t="s">
        <v>21</v>
      </c>
      <c r="C2981" t="s">
        <v>57</v>
      </c>
      <c r="D2981">
        <v>956</v>
      </c>
      <c r="E2981">
        <v>385</v>
      </c>
      <c r="F2981">
        <v>192</v>
      </c>
      <c r="G2981">
        <v>292</v>
      </c>
      <c r="H2981">
        <v>1825</v>
      </c>
      <c r="I2981" s="1">
        <v>45170</v>
      </c>
      <c r="J2981">
        <v>484</v>
      </c>
      <c r="K2981" t="s">
        <v>23</v>
      </c>
    </row>
    <row r="2982" spans="1:11">
      <c r="A2982" s="1">
        <v>45197</v>
      </c>
      <c r="B2982" t="s">
        <v>21</v>
      </c>
      <c r="C2982" t="s">
        <v>47</v>
      </c>
      <c r="D2982">
        <v>738</v>
      </c>
      <c r="E2982">
        <v>208</v>
      </c>
      <c r="F2982">
        <v>82</v>
      </c>
      <c r="G2982">
        <v>112</v>
      </c>
      <c r="H2982">
        <v>1141</v>
      </c>
      <c r="I2982" s="1">
        <v>45170</v>
      </c>
      <c r="J2982">
        <v>194</v>
      </c>
      <c r="K2982" t="s">
        <v>23</v>
      </c>
    </row>
    <row r="2983" spans="1:11">
      <c r="A2983" s="1">
        <v>45197</v>
      </c>
      <c r="B2983" t="s">
        <v>21</v>
      </c>
      <c r="C2983" t="s">
        <v>51</v>
      </c>
      <c r="D2983">
        <v>780</v>
      </c>
      <c r="E2983">
        <v>337</v>
      </c>
      <c r="F2983">
        <v>148</v>
      </c>
      <c r="G2983">
        <v>148</v>
      </c>
      <c r="H2983">
        <v>1413</v>
      </c>
      <c r="I2983" s="1">
        <v>45170</v>
      </c>
      <c r="J2983">
        <v>296</v>
      </c>
      <c r="K2983" t="s">
        <v>23</v>
      </c>
    </row>
    <row r="2984" spans="1:11">
      <c r="A2984" s="1">
        <v>45197</v>
      </c>
      <c r="B2984" t="s">
        <v>21</v>
      </c>
      <c r="C2984" t="s">
        <v>45</v>
      </c>
      <c r="D2984">
        <v>670</v>
      </c>
      <c r="E2984">
        <v>366</v>
      </c>
      <c r="F2984">
        <v>118</v>
      </c>
      <c r="G2984">
        <v>31</v>
      </c>
      <c r="H2984">
        <v>1185</v>
      </c>
      <c r="I2984" s="1">
        <v>45170</v>
      </c>
      <c r="J2984">
        <v>149</v>
      </c>
      <c r="K2984" t="s">
        <v>23</v>
      </c>
    </row>
    <row r="2985" spans="1:11">
      <c r="A2985" s="1">
        <v>45197</v>
      </c>
      <c r="B2985" t="s">
        <v>21</v>
      </c>
      <c r="C2985" t="s">
        <v>54</v>
      </c>
      <c r="D2985">
        <v>159</v>
      </c>
      <c r="E2985">
        <v>118</v>
      </c>
      <c r="F2985">
        <v>52</v>
      </c>
      <c r="G2985">
        <v>17</v>
      </c>
      <c r="H2985">
        <v>346</v>
      </c>
      <c r="I2985" s="1">
        <v>45170</v>
      </c>
      <c r="J2985">
        <v>69</v>
      </c>
      <c r="K2985" t="s">
        <v>23</v>
      </c>
    </row>
    <row r="2986" spans="1:11">
      <c r="A2986" s="1">
        <v>45197</v>
      </c>
      <c r="B2986" t="s">
        <v>21</v>
      </c>
      <c r="C2986" t="s">
        <v>52</v>
      </c>
      <c r="D2986">
        <v>2051</v>
      </c>
      <c r="E2986">
        <v>1227</v>
      </c>
      <c r="F2986">
        <v>596</v>
      </c>
      <c r="G2986">
        <v>20</v>
      </c>
      <c r="H2986">
        <v>3894</v>
      </c>
      <c r="I2986" s="1">
        <v>45170</v>
      </c>
      <c r="J2986">
        <v>616</v>
      </c>
      <c r="K2986" t="s">
        <v>23</v>
      </c>
    </row>
    <row r="2987" spans="1:11">
      <c r="A2987" s="1">
        <v>45197</v>
      </c>
      <c r="B2987" t="s">
        <v>21</v>
      </c>
      <c r="C2987" t="s">
        <v>46</v>
      </c>
      <c r="D2987">
        <v>327</v>
      </c>
      <c r="E2987">
        <v>36</v>
      </c>
      <c r="F2987">
        <v>10</v>
      </c>
      <c r="G2987">
        <v>23</v>
      </c>
      <c r="H2987">
        <v>396</v>
      </c>
      <c r="I2987" s="1">
        <v>45170</v>
      </c>
      <c r="J2987">
        <v>33</v>
      </c>
      <c r="K2987" t="s">
        <v>23</v>
      </c>
    </row>
    <row r="2988" spans="1:11">
      <c r="A2988" s="1">
        <v>45197</v>
      </c>
      <c r="B2988" t="s">
        <v>21</v>
      </c>
      <c r="C2988" t="s">
        <v>63</v>
      </c>
      <c r="D2988">
        <v>349</v>
      </c>
      <c r="E2988">
        <v>155</v>
      </c>
      <c r="F2988">
        <v>65</v>
      </c>
      <c r="G2988">
        <v>37</v>
      </c>
      <c r="H2988">
        <v>606</v>
      </c>
      <c r="I2988" s="1">
        <v>45170</v>
      </c>
      <c r="J2988">
        <v>102</v>
      </c>
      <c r="K2988" t="s">
        <v>23</v>
      </c>
    </row>
    <row r="2989" spans="1:11">
      <c r="A2989" s="1">
        <v>45197</v>
      </c>
      <c r="B2989" t="s">
        <v>21</v>
      </c>
      <c r="C2989" t="s">
        <v>60</v>
      </c>
      <c r="D2989">
        <v>1275</v>
      </c>
      <c r="E2989">
        <v>358</v>
      </c>
      <c r="F2989">
        <v>136</v>
      </c>
      <c r="G2989">
        <v>145</v>
      </c>
      <c r="H2989">
        <v>1913</v>
      </c>
      <c r="I2989" s="1">
        <v>45170</v>
      </c>
      <c r="J2989">
        <v>281</v>
      </c>
      <c r="K2989" t="s">
        <v>23</v>
      </c>
    </row>
    <row r="2990" spans="1:11">
      <c r="A2990" s="1">
        <v>45197</v>
      </c>
      <c r="B2990" t="s">
        <v>21</v>
      </c>
      <c r="C2990" t="s">
        <v>61</v>
      </c>
      <c r="D2990">
        <v>1527</v>
      </c>
      <c r="E2990">
        <v>667</v>
      </c>
      <c r="F2990">
        <v>244</v>
      </c>
      <c r="G2990">
        <v>252</v>
      </c>
      <c r="H2990">
        <v>2689</v>
      </c>
      <c r="I2990" s="1">
        <v>45170</v>
      </c>
      <c r="J2990">
        <v>496</v>
      </c>
      <c r="K2990" t="s">
        <v>23</v>
      </c>
    </row>
    <row r="2991" spans="1:11">
      <c r="A2991" s="1">
        <v>45197</v>
      </c>
      <c r="B2991" t="s">
        <v>21</v>
      </c>
      <c r="C2991" t="s">
        <v>44</v>
      </c>
      <c r="D2991">
        <v>641</v>
      </c>
      <c r="E2991">
        <v>264</v>
      </c>
      <c r="F2991">
        <v>93</v>
      </c>
      <c r="G2991">
        <v>65</v>
      </c>
      <c r="H2991">
        <v>1063</v>
      </c>
      <c r="I2991" s="1">
        <v>45170</v>
      </c>
      <c r="J2991">
        <v>158</v>
      </c>
      <c r="K2991" t="s">
        <v>23</v>
      </c>
    </row>
    <row r="2992" spans="1:11">
      <c r="A2992" s="1">
        <v>45197</v>
      </c>
      <c r="B2992" t="s">
        <v>21</v>
      </c>
      <c r="C2992" t="s">
        <v>59</v>
      </c>
      <c r="D2992">
        <v>2647</v>
      </c>
      <c r="E2992">
        <v>978</v>
      </c>
      <c r="F2992">
        <v>363</v>
      </c>
      <c r="G2992">
        <v>134</v>
      </c>
      <c r="H2992">
        <v>4122</v>
      </c>
      <c r="I2992" s="1">
        <v>45170</v>
      </c>
      <c r="J2992">
        <v>497</v>
      </c>
      <c r="K2992" t="s">
        <v>23</v>
      </c>
    </row>
    <row r="2993" spans="1:11">
      <c r="A2993" s="1">
        <v>45197</v>
      </c>
      <c r="B2993" t="s">
        <v>21</v>
      </c>
      <c r="C2993" t="s">
        <v>67</v>
      </c>
      <c r="D2993">
        <v>1988</v>
      </c>
      <c r="E2993">
        <v>965</v>
      </c>
      <c r="F2993">
        <v>221</v>
      </c>
      <c r="G2993">
        <v>259</v>
      </c>
      <c r="H2993">
        <v>3433</v>
      </c>
      <c r="I2993" s="1">
        <v>45170</v>
      </c>
      <c r="J2993">
        <v>480</v>
      </c>
      <c r="K2993" t="s">
        <v>23</v>
      </c>
    </row>
    <row r="2994" spans="1:11">
      <c r="A2994" s="1">
        <v>45225</v>
      </c>
      <c r="B2994" t="s">
        <v>21</v>
      </c>
      <c r="C2994" t="s">
        <v>64</v>
      </c>
      <c r="D2994">
        <v>19664</v>
      </c>
      <c r="E2994">
        <v>10526</v>
      </c>
      <c r="F2994">
        <v>5425</v>
      </c>
      <c r="G2994">
        <v>5070</v>
      </c>
      <c r="H2994">
        <v>40685</v>
      </c>
      <c r="I2994" s="1">
        <v>45200</v>
      </c>
      <c r="J2994">
        <v>10495</v>
      </c>
      <c r="K2994" t="s">
        <v>23</v>
      </c>
    </row>
    <row r="2995" spans="1:11">
      <c r="A2995" s="1">
        <v>45225</v>
      </c>
      <c r="B2995" t="s">
        <v>21</v>
      </c>
      <c r="C2995" t="s">
        <v>65</v>
      </c>
      <c r="D2995">
        <v>2905</v>
      </c>
      <c r="E2995">
        <v>1473</v>
      </c>
      <c r="F2995">
        <v>397</v>
      </c>
      <c r="G2995">
        <v>603</v>
      </c>
      <c r="H2995">
        <v>5379</v>
      </c>
      <c r="I2995" s="1">
        <v>45200</v>
      </c>
      <c r="J2995">
        <v>1000</v>
      </c>
      <c r="K2995" t="s">
        <v>23</v>
      </c>
    </row>
    <row r="2996" spans="1:11">
      <c r="A2996" s="1">
        <v>45225</v>
      </c>
      <c r="B2996" t="s">
        <v>21</v>
      </c>
      <c r="C2996" t="s">
        <v>66</v>
      </c>
      <c r="D2996">
        <v>2974</v>
      </c>
      <c r="E2996">
        <v>1425</v>
      </c>
      <c r="F2996">
        <v>610</v>
      </c>
      <c r="G2996">
        <v>1005</v>
      </c>
      <c r="H2996">
        <v>6014</v>
      </c>
      <c r="I2996" s="1">
        <v>45200</v>
      </c>
      <c r="J2996">
        <v>1615</v>
      </c>
      <c r="K2996" t="s">
        <v>23</v>
      </c>
    </row>
    <row r="2997" spans="1:11">
      <c r="A2997" s="1">
        <v>45225</v>
      </c>
      <c r="B2997" t="s">
        <v>21</v>
      </c>
      <c r="C2997" t="s">
        <v>57</v>
      </c>
      <c r="D2997">
        <v>952</v>
      </c>
      <c r="E2997">
        <v>406</v>
      </c>
      <c r="F2997">
        <v>195</v>
      </c>
      <c r="G2997">
        <v>302</v>
      </c>
      <c r="H2997">
        <v>1854</v>
      </c>
      <c r="I2997" s="1">
        <v>45200</v>
      </c>
      <c r="J2997">
        <v>497</v>
      </c>
      <c r="K2997" t="s">
        <v>23</v>
      </c>
    </row>
    <row r="2998" spans="1:11">
      <c r="A2998" s="1">
        <v>45225</v>
      </c>
      <c r="B2998" t="s">
        <v>21</v>
      </c>
      <c r="C2998" t="s">
        <v>47</v>
      </c>
      <c r="D2998">
        <v>737</v>
      </c>
      <c r="E2998">
        <v>174</v>
      </c>
      <c r="F2998">
        <v>68</v>
      </c>
      <c r="G2998">
        <v>104</v>
      </c>
      <c r="H2998">
        <v>1083</v>
      </c>
      <c r="I2998" s="1">
        <v>45200</v>
      </c>
      <c r="J2998">
        <v>172</v>
      </c>
      <c r="K2998" t="s">
        <v>23</v>
      </c>
    </row>
    <row r="2999" spans="1:11">
      <c r="A2999" s="1">
        <v>45225</v>
      </c>
      <c r="B2999" t="s">
        <v>21</v>
      </c>
      <c r="C2999" t="s">
        <v>51</v>
      </c>
      <c r="D2999">
        <v>811</v>
      </c>
      <c r="E2999">
        <v>316</v>
      </c>
      <c r="F2999">
        <v>162</v>
      </c>
      <c r="G2999">
        <v>130</v>
      </c>
      <c r="H2999">
        <v>1419</v>
      </c>
      <c r="I2999" s="1">
        <v>45200</v>
      </c>
      <c r="J2999">
        <v>292</v>
      </c>
      <c r="K2999" t="s">
        <v>23</v>
      </c>
    </row>
    <row r="3000" spans="1:11">
      <c r="A3000" s="1">
        <v>45225</v>
      </c>
      <c r="B3000" t="s">
        <v>21</v>
      </c>
      <c r="C3000" t="s">
        <v>45</v>
      </c>
      <c r="D3000">
        <v>661</v>
      </c>
      <c r="E3000">
        <v>383</v>
      </c>
      <c r="F3000">
        <v>115</v>
      </c>
      <c r="G3000">
        <v>36</v>
      </c>
      <c r="H3000">
        <v>1195</v>
      </c>
      <c r="I3000" s="1">
        <v>45200</v>
      </c>
      <c r="J3000">
        <v>151</v>
      </c>
      <c r="K3000" t="s">
        <v>23</v>
      </c>
    </row>
    <row r="3001" spans="1:11">
      <c r="A3001" s="1">
        <v>45225</v>
      </c>
      <c r="B3001" t="s">
        <v>21</v>
      </c>
      <c r="C3001" t="s">
        <v>54</v>
      </c>
      <c r="D3001">
        <v>172</v>
      </c>
      <c r="E3001">
        <v>129</v>
      </c>
      <c r="F3001">
        <v>51</v>
      </c>
      <c r="G3001">
        <v>22</v>
      </c>
      <c r="H3001">
        <v>374</v>
      </c>
      <c r="I3001" s="1">
        <v>45200</v>
      </c>
      <c r="J3001">
        <v>73</v>
      </c>
      <c r="K3001" t="s">
        <v>23</v>
      </c>
    </row>
    <row r="3002" spans="1:11">
      <c r="A3002" s="1">
        <v>45225</v>
      </c>
      <c r="B3002" t="s">
        <v>21</v>
      </c>
      <c r="C3002" t="s">
        <v>52</v>
      </c>
      <c r="D3002">
        <v>2108</v>
      </c>
      <c r="E3002">
        <v>1276</v>
      </c>
      <c r="F3002">
        <v>617</v>
      </c>
      <c r="G3002">
        <v>28</v>
      </c>
      <c r="H3002">
        <v>4030</v>
      </c>
      <c r="I3002" s="1">
        <v>45200</v>
      </c>
      <c r="J3002">
        <v>645</v>
      </c>
      <c r="K3002" t="s">
        <v>23</v>
      </c>
    </row>
    <row r="3003" spans="1:11">
      <c r="A3003" s="1">
        <v>45225</v>
      </c>
      <c r="B3003" t="s">
        <v>21</v>
      </c>
      <c r="C3003" t="s">
        <v>46</v>
      </c>
      <c r="D3003">
        <v>273</v>
      </c>
      <c r="E3003">
        <v>37</v>
      </c>
      <c r="F3003">
        <v>11</v>
      </c>
      <c r="G3003">
        <v>26</v>
      </c>
      <c r="H3003">
        <v>347</v>
      </c>
      <c r="I3003" s="1">
        <v>45200</v>
      </c>
      <c r="J3003">
        <v>37</v>
      </c>
      <c r="K3003" t="s">
        <v>23</v>
      </c>
    </row>
    <row r="3004" spans="1:11">
      <c r="A3004" s="1">
        <v>45225</v>
      </c>
      <c r="B3004" t="s">
        <v>21</v>
      </c>
      <c r="C3004" t="s">
        <v>63</v>
      </c>
      <c r="D3004">
        <v>330</v>
      </c>
      <c r="E3004">
        <v>170</v>
      </c>
      <c r="F3004">
        <v>71</v>
      </c>
      <c r="G3004">
        <v>39</v>
      </c>
      <c r="H3004">
        <v>610</v>
      </c>
      <c r="I3004" s="1">
        <v>45200</v>
      </c>
      <c r="J3004">
        <v>110</v>
      </c>
      <c r="K3004" t="s">
        <v>23</v>
      </c>
    </row>
    <row r="3005" spans="1:11">
      <c r="A3005" s="1">
        <v>45225</v>
      </c>
      <c r="B3005" t="s">
        <v>21</v>
      </c>
      <c r="C3005" t="s">
        <v>60</v>
      </c>
      <c r="D3005">
        <v>1068</v>
      </c>
      <c r="E3005">
        <v>218</v>
      </c>
      <c r="F3005">
        <v>120</v>
      </c>
      <c r="G3005">
        <v>135</v>
      </c>
      <c r="H3005">
        <v>1542</v>
      </c>
      <c r="I3005" s="1">
        <v>45200</v>
      </c>
      <c r="J3005">
        <v>255</v>
      </c>
      <c r="K3005" t="s">
        <v>23</v>
      </c>
    </row>
    <row r="3006" spans="1:11">
      <c r="A3006" s="1">
        <v>45225</v>
      </c>
      <c r="B3006" t="s">
        <v>21</v>
      </c>
      <c r="C3006" t="s">
        <v>61</v>
      </c>
      <c r="D3006">
        <v>1496</v>
      </c>
      <c r="E3006">
        <v>747</v>
      </c>
      <c r="F3006">
        <v>230</v>
      </c>
      <c r="G3006">
        <v>266</v>
      </c>
      <c r="H3006">
        <v>2739</v>
      </c>
      <c r="I3006" s="1">
        <v>45200</v>
      </c>
      <c r="J3006">
        <v>496</v>
      </c>
      <c r="K3006" t="s">
        <v>23</v>
      </c>
    </row>
    <row r="3007" spans="1:11">
      <c r="A3007" s="1">
        <v>45225</v>
      </c>
      <c r="B3007" t="s">
        <v>21</v>
      </c>
      <c r="C3007" t="s">
        <v>44</v>
      </c>
      <c r="D3007">
        <v>687</v>
      </c>
      <c r="E3007">
        <v>240</v>
      </c>
      <c r="F3007">
        <v>73</v>
      </c>
      <c r="G3007">
        <v>38</v>
      </c>
      <c r="H3007">
        <v>1038</v>
      </c>
      <c r="I3007" s="1">
        <v>45200</v>
      </c>
      <c r="J3007">
        <v>111</v>
      </c>
      <c r="K3007" t="s">
        <v>23</v>
      </c>
    </row>
    <row r="3008" spans="1:11">
      <c r="A3008" s="1">
        <v>45225</v>
      </c>
      <c r="B3008" t="s">
        <v>21</v>
      </c>
      <c r="C3008" t="s">
        <v>59</v>
      </c>
      <c r="D3008">
        <v>2496</v>
      </c>
      <c r="E3008">
        <v>1005</v>
      </c>
      <c r="F3008">
        <v>311</v>
      </c>
      <c r="G3008">
        <v>107</v>
      </c>
      <c r="H3008">
        <v>3919</v>
      </c>
      <c r="I3008" s="1">
        <v>45200</v>
      </c>
      <c r="J3008">
        <v>418</v>
      </c>
      <c r="K3008" t="s">
        <v>23</v>
      </c>
    </row>
    <row r="3009" spans="1:11">
      <c r="A3009" s="1">
        <v>45225</v>
      </c>
      <c r="B3009" t="s">
        <v>21</v>
      </c>
      <c r="C3009" t="s">
        <v>67</v>
      </c>
      <c r="D3009">
        <v>2017</v>
      </c>
      <c r="E3009">
        <v>907</v>
      </c>
      <c r="F3009">
        <v>209</v>
      </c>
      <c r="G3009">
        <v>283</v>
      </c>
      <c r="H3009">
        <v>3415</v>
      </c>
      <c r="I3009" s="1">
        <v>45200</v>
      </c>
      <c r="J3009">
        <v>492</v>
      </c>
      <c r="K3009" t="s">
        <v>23</v>
      </c>
    </row>
    <row r="3010" spans="1:11">
      <c r="A3010" s="1">
        <v>45260</v>
      </c>
      <c r="B3010" t="s">
        <v>21</v>
      </c>
      <c r="C3010" t="s">
        <v>64</v>
      </c>
      <c r="D3010">
        <v>19050</v>
      </c>
      <c r="E3010">
        <v>10784</v>
      </c>
      <c r="F3010">
        <v>5052</v>
      </c>
      <c r="G3010">
        <v>4719</v>
      </c>
      <c r="H3010">
        <v>39606</v>
      </c>
      <c r="I3010" s="1">
        <v>45231</v>
      </c>
      <c r="J3010">
        <v>9771</v>
      </c>
      <c r="K3010" t="s">
        <v>23</v>
      </c>
    </row>
    <row r="3011" spans="1:11">
      <c r="A3011" s="1">
        <v>45260</v>
      </c>
      <c r="B3011" t="s">
        <v>21</v>
      </c>
      <c r="C3011" t="s">
        <v>65</v>
      </c>
      <c r="D3011">
        <v>2939</v>
      </c>
      <c r="E3011">
        <v>1525</v>
      </c>
      <c r="F3011">
        <v>402</v>
      </c>
      <c r="G3011">
        <v>540</v>
      </c>
      <c r="H3011">
        <v>5406</v>
      </c>
      <c r="I3011" s="1">
        <v>45231</v>
      </c>
      <c r="J3011">
        <v>942</v>
      </c>
      <c r="K3011" t="s">
        <v>23</v>
      </c>
    </row>
    <row r="3012" spans="1:11">
      <c r="A3012" s="1">
        <v>45260</v>
      </c>
      <c r="B3012" t="s">
        <v>21</v>
      </c>
      <c r="C3012" t="s">
        <v>66</v>
      </c>
      <c r="D3012">
        <v>3075</v>
      </c>
      <c r="E3012">
        <v>1418</v>
      </c>
      <c r="F3012">
        <v>594</v>
      </c>
      <c r="G3012">
        <v>1013</v>
      </c>
      <c r="H3012">
        <v>6100</v>
      </c>
      <c r="I3012" s="1">
        <v>45231</v>
      </c>
      <c r="J3012">
        <v>1607</v>
      </c>
      <c r="K3012" t="s">
        <v>23</v>
      </c>
    </row>
    <row r="3013" spans="1:11">
      <c r="A3013" s="1">
        <v>45260</v>
      </c>
      <c r="B3013" t="s">
        <v>21</v>
      </c>
      <c r="C3013" t="s">
        <v>57</v>
      </c>
      <c r="D3013">
        <v>964</v>
      </c>
      <c r="E3013">
        <v>398</v>
      </c>
      <c r="F3013">
        <v>200</v>
      </c>
      <c r="G3013">
        <v>312</v>
      </c>
      <c r="H3013">
        <v>1874</v>
      </c>
      <c r="I3013" s="1">
        <v>45231</v>
      </c>
      <c r="J3013">
        <v>512</v>
      </c>
      <c r="K3013" t="s">
        <v>23</v>
      </c>
    </row>
    <row r="3014" spans="1:11">
      <c r="A3014" s="1">
        <v>45260</v>
      </c>
      <c r="B3014" t="s">
        <v>21</v>
      </c>
      <c r="C3014" t="s">
        <v>47</v>
      </c>
      <c r="D3014">
        <v>720</v>
      </c>
      <c r="E3014">
        <v>134</v>
      </c>
      <c r="F3014">
        <v>66</v>
      </c>
      <c r="G3014">
        <v>75</v>
      </c>
      <c r="H3014">
        <v>994</v>
      </c>
      <c r="I3014" s="1">
        <v>45231</v>
      </c>
      <c r="J3014">
        <v>141</v>
      </c>
      <c r="K3014" t="s">
        <v>23</v>
      </c>
    </row>
    <row r="3015" spans="1:11">
      <c r="A3015" s="1">
        <v>45260</v>
      </c>
      <c r="B3015" t="s">
        <v>21</v>
      </c>
      <c r="C3015" t="s">
        <v>51</v>
      </c>
      <c r="D3015">
        <v>818</v>
      </c>
      <c r="E3015">
        <v>349</v>
      </c>
      <c r="F3015">
        <v>157</v>
      </c>
      <c r="G3015">
        <v>127</v>
      </c>
      <c r="H3015">
        <v>1451</v>
      </c>
      <c r="I3015" s="1">
        <v>45231</v>
      </c>
      <c r="J3015">
        <v>284</v>
      </c>
      <c r="K3015" t="s">
        <v>23</v>
      </c>
    </row>
    <row r="3016" spans="1:11">
      <c r="A3016" s="1">
        <v>45260</v>
      </c>
      <c r="B3016" t="s">
        <v>21</v>
      </c>
      <c r="C3016" t="s">
        <v>45</v>
      </c>
      <c r="D3016">
        <v>625</v>
      </c>
      <c r="E3016">
        <v>420</v>
      </c>
      <c r="F3016">
        <v>99</v>
      </c>
      <c r="G3016">
        <v>32</v>
      </c>
      <c r="H3016">
        <v>1175</v>
      </c>
      <c r="I3016" s="1">
        <v>45231</v>
      </c>
      <c r="J3016">
        <v>131</v>
      </c>
      <c r="K3016" t="s">
        <v>23</v>
      </c>
    </row>
    <row r="3017" spans="1:11">
      <c r="A3017" s="1">
        <v>45260</v>
      </c>
      <c r="B3017" t="s">
        <v>21</v>
      </c>
      <c r="C3017" t="s">
        <v>54</v>
      </c>
      <c r="D3017">
        <v>172</v>
      </c>
      <c r="E3017">
        <v>167</v>
      </c>
      <c r="F3017">
        <v>59</v>
      </c>
      <c r="G3017">
        <v>39</v>
      </c>
      <c r="H3017">
        <v>437</v>
      </c>
      <c r="I3017" s="1">
        <v>45231</v>
      </c>
      <c r="J3017">
        <v>98</v>
      </c>
      <c r="K3017" t="s">
        <v>23</v>
      </c>
    </row>
    <row r="3018" spans="1:11">
      <c r="A3018" s="1">
        <v>45260</v>
      </c>
      <c r="B3018" t="s">
        <v>21</v>
      </c>
      <c r="C3018" t="s">
        <v>52</v>
      </c>
      <c r="D3018">
        <v>2067</v>
      </c>
      <c r="E3018">
        <v>1122</v>
      </c>
      <c r="F3018">
        <v>343</v>
      </c>
      <c r="G3018">
        <v>33</v>
      </c>
      <c r="H3018">
        <v>3564</v>
      </c>
      <c r="I3018" s="1">
        <v>45231</v>
      </c>
      <c r="J3018">
        <v>376</v>
      </c>
      <c r="K3018" t="s">
        <v>23</v>
      </c>
    </row>
    <row r="3019" spans="1:11">
      <c r="A3019" s="1">
        <v>45260</v>
      </c>
      <c r="B3019" t="s">
        <v>21</v>
      </c>
      <c r="C3019" t="s">
        <v>46</v>
      </c>
      <c r="D3019">
        <v>269</v>
      </c>
      <c r="E3019">
        <v>38</v>
      </c>
      <c r="F3019">
        <v>7</v>
      </c>
      <c r="G3019">
        <v>25</v>
      </c>
      <c r="H3019">
        <v>339</v>
      </c>
      <c r="I3019" s="1">
        <v>45231</v>
      </c>
      <c r="J3019">
        <v>32</v>
      </c>
      <c r="K3019" t="s">
        <v>23</v>
      </c>
    </row>
    <row r="3020" spans="1:11">
      <c r="A3020" s="1">
        <v>45260</v>
      </c>
      <c r="B3020" t="s">
        <v>21</v>
      </c>
      <c r="C3020" t="s">
        <v>63</v>
      </c>
      <c r="D3020">
        <v>320</v>
      </c>
      <c r="E3020">
        <v>179</v>
      </c>
      <c r="F3020">
        <v>77</v>
      </c>
      <c r="G3020">
        <v>49</v>
      </c>
      <c r="H3020">
        <v>625</v>
      </c>
      <c r="I3020" s="1">
        <v>45231</v>
      </c>
      <c r="J3020">
        <v>126</v>
      </c>
      <c r="K3020" t="s">
        <v>23</v>
      </c>
    </row>
    <row r="3021" spans="1:11">
      <c r="A3021" s="1">
        <v>45260</v>
      </c>
      <c r="B3021" t="s">
        <v>21</v>
      </c>
      <c r="C3021" t="s">
        <v>60</v>
      </c>
      <c r="D3021">
        <v>1095</v>
      </c>
      <c r="E3021">
        <v>145</v>
      </c>
      <c r="F3021">
        <v>94</v>
      </c>
      <c r="G3021">
        <v>104</v>
      </c>
      <c r="H3021">
        <v>1439</v>
      </c>
      <c r="I3021" s="1">
        <v>45231</v>
      </c>
      <c r="J3021">
        <v>198</v>
      </c>
      <c r="K3021" t="s">
        <v>23</v>
      </c>
    </row>
    <row r="3022" spans="1:11">
      <c r="A3022" s="1">
        <v>45260</v>
      </c>
      <c r="B3022" t="s">
        <v>21</v>
      </c>
      <c r="C3022" t="s">
        <v>61</v>
      </c>
      <c r="D3022">
        <v>1426</v>
      </c>
      <c r="E3022">
        <v>831</v>
      </c>
      <c r="F3022">
        <v>228</v>
      </c>
      <c r="G3022">
        <v>273</v>
      </c>
      <c r="H3022">
        <v>2757</v>
      </c>
      <c r="I3022" s="1">
        <v>45231</v>
      </c>
      <c r="J3022">
        <v>501</v>
      </c>
      <c r="K3022" t="s">
        <v>23</v>
      </c>
    </row>
    <row r="3023" spans="1:11">
      <c r="A3023" s="1">
        <v>45260</v>
      </c>
      <c r="B3023" t="s">
        <v>21</v>
      </c>
      <c r="C3023" t="s">
        <v>44</v>
      </c>
      <c r="D3023">
        <v>684</v>
      </c>
      <c r="E3023">
        <v>263</v>
      </c>
      <c r="F3023">
        <v>32</v>
      </c>
      <c r="G3023">
        <v>18</v>
      </c>
      <c r="H3023">
        <v>996</v>
      </c>
      <c r="I3023" s="1">
        <v>45231</v>
      </c>
      <c r="J3023">
        <v>50</v>
      </c>
      <c r="K3023" t="s">
        <v>23</v>
      </c>
    </row>
    <row r="3024" spans="1:11">
      <c r="A3024" s="1">
        <v>45260</v>
      </c>
      <c r="B3024" t="s">
        <v>21</v>
      </c>
      <c r="C3024" t="s">
        <v>59</v>
      </c>
      <c r="D3024">
        <v>2486</v>
      </c>
      <c r="E3024">
        <v>1024</v>
      </c>
      <c r="F3024">
        <v>230</v>
      </c>
      <c r="G3024">
        <v>104</v>
      </c>
      <c r="H3024">
        <v>3844</v>
      </c>
      <c r="I3024" s="1">
        <v>45231</v>
      </c>
      <c r="J3024">
        <v>334</v>
      </c>
      <c r="K3024" t="s">
        <v>23</v>
      </c>
    </row>
    <row r="3025" spans="1:11">
      <c r="A3025" s="1">
        <v>45260</v>
      </c>
      <c r="B3025" t="s">
        <v>21</v>
      </c>
      <c r="C3025" t="s">
        <v>67</v>
      </c>
      <c r="D3025">
        <v>1944</v>
      </c>
      <c r="E3025">
        <v>998</v>
      </c>
      <c r="F3025">
        <v>206</v>
      </c>
      <c r="G3025">
        <v>288</v>
      </c>
      <c r="H3025">
        <v>3436</v>
      </c>
      <c r="I3025" s="1">
        <v>45231</v>
      </c>
      <c r="J3025">
        <v>494</v>
      </c>
      <c r="K3025" t="s">
        <v>23</v>
      </c>
    </row>
    <row r="3026" spans="1:11">
      <c r="A3026" s="1">
        <v>45288</v>
      </c>
      <c r="B3026" t="s">
        <v>21</v>
      </c>
      <c r="C3026" t="s">
        <v>64</v>
      </c>
      <c r="D3026">
        <v>18397</v>
      </c>
      <c r="E3026">
        <v>11167</v>
      </c>
      <c r="F3026">
        <v>5184</v>
      </c>
      <c r="G3026">
        <v>4411</v>
      </c>
      <c r="H3026">
        <v>39158</v>
      </c>
      <c r="I3026" s="1">
        <v>45261</v>
      </c>
      <c r="J3026">
        <v>9595</v>
      </c>
      <c r="K3026" t="s">
        <v>23</v>
      </c>
    </row>
    <row r="3027" spans="1:11">
      <c r="A3027" s="1">
        <v>45288</v>
      </c>
      <c r="B3027" t="s">
        <v>21</v>
      </c>
      <c r="C3027" t="s">
        <v>65</v>
      </c>
      <c r="D3027">
        <v>2998</v>
      </c>
      <c r="E3027">
        <v>1554</v>
      </c>
      <c r="F3027">
        <v>403</v>
      </c>
      <c r="G3027">
        <v>431</v>
      </c>
      <c r="H3027">
        <v>5385</v>
      </c>
      <c r="I3027" s="1">
        <v>45261</v>
      </c>
      <c r="J3027">
        <v>834</v>
      </c>
      <c r="K3027" t="s">
        <v>23</v>
      </c>
    </row>
    <row r="3028" spans="1:11">
      <c r="A3028" s="1">
        <v>45288</v>
      </c>
      <c r="B3028" t="s">
        <v>21</v>
      </c>
      <c r="C3028" t="s">
        <v>66</v>
      </c>
      <c r="D3028">
        <v>2872</v>
      </c>
      <c r="E3028">
        <v>1354</v>
      </c>
      <c r="F3028">
        <v>494</v>
      </c>
      <c r="G3028">
        <v>1000</v>
      </c>
      <c r="H3028">
        <v>5720</v>
      </c>
      <c r="I3028" s="1">
        <v>45261</v>
      </c>
      <c r="J3028">
        <v>1494</v>
      </c>
      <c r="K3028" t="s">
        <v>23</v>
      </c>
    </row>
    <row r="3029" spans="1:11">
      <c r="A3029" s="1">
        <v>45288</v>
      </c>
      <c r="B3029" t="s">
        <v>21</v>
      </c>
      <c r="C3029" t="s">
        <v>57</v>
      </c>
      <c r="D3029">
        <v>971</v>
      </c>
      <c r="E3029">
        <v>416</v>
      </c>
      <c r="F3029">
        <v>204</v>
      </c>
      <c r="G3029">
        <v>262</v>
      </c>
      <c r="H3029">
        <v>1853</v>
      </c>
      <c r="I3029" s="1">
        <v>45261</v>
      </c>
      <c r="J3029">
        <v>466</v>
      </c>
      <c r="K3029" t="s">
        <v>23</v>
      </c>
    </row>
    <row r="3030" spans="1:11">
      <c r="A3030" s="1">
        <v>45288</v>
      </c>
      <c r="B3030" t="s">
        <v>21</v>
      </c>
      <c r="C3030" t="s">
        <v>47</v>
      </c>
      <c r="D3030">
        <v>670</v>
      </c>
      <c r="E3030">
        <v>138</v>
      </c>
      <c r="F3030">
        <v>60</v>
      </c>
      <c r="G3030">
        <v>43</v>
      </c>
      <c r="H3030">
        <v>911</v>
      </c>
      <c r="I3030" s="1">
        <v>45261</v>
      </c>
      <c r="J3030">
        <v>103</v>
      </c>
      <c r="K3030" t="s">
        <v>23</v>
      </c>
    </row>
    <row r="3031" spans="1:11">
      <c r="A3031" s="1">
        <v>45288</v>
      </c>
      <c r="B3031" t="s">
        <v>21</v>
      </c>
      <c r="C3031" t="s">
        <v>51</v>
      </c>
      <c r="D3031">
        <v>823</v>
      </c>
      <c r="E3031">
        <v>289</v>
      </c>
      <c r="F3031">
        <v>138</v>
      </c>
      <c r="G3031">
        <v>76</v>
      </c>
      <c r="H3031">
        <v>1325</v>
      </c>
      <c r="I3031" s="1">
        <v>45261</v>
      </c>
      <c r="J3031">
        <v>214</v>
      </c>
      <c r="K3031" t="s">
        <v>23</v>
      </c>
    </row>
    <row r="3032" spans="1:11">
      <c r="A3032" s="1">
        <v>45288</v>
      </c>
      <c r="B3032" t="s">
        <v>21</v>
      </c>
      <c r="C3032" t="s">
        <v>45</v>
      </c>
      <c r="D3032">
        <v>589</v>
      </c>
      <c r="E3032">
        <v>394</v>
      </c>
      <c r="F3032">
        <v>106</v>
      </c>
      <c r="G3032">
        <v>35</v>
      </c>
      <c r="H3032">
        <v>1124</v>
      </c>
      <c r="I3032" s="1">
        <v>45261</v>
      </c>
      <c r="J3032">
        <v>141</v>
      </c>
      <c r="K3032" t="s">
        <v>23</v>
      </c>
    </row>
    <row r="3033" spans="1:11">
      <c r="A3033" s="1">
        <v>45288</v>
      </c>
      <c r="B3033" t="s">
        <v>21</v>
      </c>
      <c r="C3033" t="s">
        <v>54</v>
      </c>
      <c r="D3033">
        <v>162</v>
      </c>
      <c r="E3033">
        <v>150</v>
      </c>
      <c r="F3033">
        <v>65</v>
      </c>
      <c r="G3033">
        <v>35</v>
      </c>
      <c r="H3033">
        <v>412</v>
      </c>
      <c r="I3033" s="1">
        <v>45261</v>
      </c>
      <c r="J3033">
        <v>100</v>
      </c>
      <c r="K3033" t="s">
        <v>23</v>
      </c>
    </row>
    <row r="3034" spans="1:11">
      <c r="A3034" s="1">
        <v>45288</v>
      </c>
      <c r="B3034" t="s">
        <v>21</v>
      </c>
      <c r="C3034" t="s">
        <v>46</v>
      </c>
      <c r="D3034">
        <v>267</v>
      </c>
      <c r="E3034">
        <v>43</v>
      </c>
      <c r="F3034">
        <v>5</v>
      </c>
      <c r="G3034">
        <v>6</v>
      </c>
      <c r="H3034">
        <v>321</v>
      </c>
      <c r="I3034" s="1">
        <v>45261</v>
      </c>
      <c r="J3034">
        <v>11</v>
      </c>
      <c r="K3034" t="s">
        <v>23</v>
      </c>
    </row>
    <row r="3035" spans="1:11">
      <c r="A3035" s="1">
        <v>45288</v>
      </c>
      <c r="B3035" t="s">
        <v>21</v>
      </c>
      <c r="C3035" t="s">
        <v>63</v>
      </c>
      <c r="D3035">
        <v>297</v>
      </c>
      <c r="E3035">
        <v>185</v>
      </c>
      <c r="F3035">
        <v>77</v>
      </c>
      <c r="G3035">
        <v>49</v>
      </c>
      <c r="H3035">
        <v>608</v>
      </c>
      <c r="I3035" s="1">
        <v>45261</v>
      </c>
      <c r="J3035">
        <v>126</v>
      </c>
      <c r="K3035" t="s">
        <v>23</v>
      </c>
    </row>
    <row r="3036" spans="1:11">
      <c r="A3036" s="1">
        <v>45288</v>
      </c>
      <c r="B3036" t="s">
        <v>21</v>
      </c>
      <c r="C3036" t="s">
        <v>60</v>
      </c>
      <c r="D3036">
        <v>1009</v>
      </c>
      <c r="E3036">
        <v>141</v>
      </c>
      <c r="F3036">
        <v>73</v>
      </c>
      <c r="G3036">
        <v>85</v>
      </c>
      <c r="H3036">
        <v>1308</v>
      </c>
      <c r="I3036" s="1">
        <v>45261</v>
      </c>
      <c r="J3036">
        <v>158</v>
      </c>
      <c r="K3036" t="s">
        <v>23</v>
      </c>
    </row>
    <row r="3037" spans="1:11">
      <c r="A3037" s="1">
        <v>45288</v>
      </c>
      <c r="B3037" t="s">
        <v>21</v>
      </c>
      <c r="C3037" t="s">
        <v>61</v>
      </c>
      <c r="D3037">
        <v>1428</v>
      </c>
      <c r="E3037">
        <v>879</v>
      </c>
      <c r="F3037">
        <v>207</v>
      </c>
      <c r="G3037">
        <v>274</v>
      </c>
      <c r="H3037">
        <v>2787</v>
      </c>
      <c r="I3037" s="1">
        <v>45261</v>
      </c>
      <c r="J3037">
        <v>481</v>
      </c>
      <c r="K3037" t="s">
        <v>23</v>
      </c>
    </row>
    <row r="3038" spans="1:11">
      <c r="A3038" s="1">
        <v>45288</v>
      </c>
      <c r="B3038" t="s">
        <v>21</v>
      </c>
      <c r="C3038" t="s">
        <v>59</v>
      </c>
      <c r="D3038">
        <v>2371</v>
      </c>
      <c r="E3038">
        <v>878</v>
      </c>
      <c r="F3038">
        <v>202</v>
      </c>
      <c r="G3038">
        <v>99</v>
      </c>
      <c r="H3038">
        <v>3550</v>
      </c>
      <c r="I3038" s="1">
        <v>45261</v>
      </c>
      <c r="J3038">
        <v>301</v>
      </c>
      <c r="K3038" t="s">
        <v>23</v>
      </c>
    </row>
    <row r="3039" spans="1:11">
      <c r="A3039" s="1">
        <v>45288</v>
      </c>
      <c r="B3039" t="s">
        <v>21</v>
      </c>
      <c r="C3039" t="s">
        <v>67</v>
      </c>
      <c r="D3039">
        <v>1896</v>
      </c>
      <c r="E3039">
        <v>1082</v>
      </c>
      <c r="F3039">
        <v>211</v>
      </c>
      <c r="G3039">
        <v>284</v>
      </c>
      <c r="H3039">
        <v>3474</v>
      </c>
      <c r="I3039" s="1">
        <v>45261</v>
      </c>
      <c r="J3039">
        <v>495</v>
      </c>
      <c r="K3039" t="s">
        <v>23</v>
      </c>
    </row>
    <row r="3040" spans="1:11">
      <c r="A3040" s="1">
        <v>45316</v>
      </c>
      <c r="B3040" t="s">
        <v>21</v>
      </c>
      <c r="C3040" t="s">
        <v>64</v>
      </c>
      <c r="D3040">
        <v>18698</v>
      </c>
      <c r="E3040">
        <v>11351</v>
      </c>
      <c r="F3040">
        <v>5272</v>
      </c>
      <c r="G3040">
        <v>4580</v>
      </c>
      <c r="H3040">
        <v>39901</v>
      </c>
      <c r="I3040" s="1">
        <v>45292</v>
      </c>
      <c r="J3040">
        <v>9852</v>
      </c>
      <c r="K3040" t="s">
        <v>23</v>
      </c>
    </row>
    <row r="3041" spans="1:11">
      <c r="A3041" s="1">
        <v>45316</v>
      </c>
      <c r="B3041" t="s">
        <v>21</v>
      </c>
      <c r="C3041" t="s">
        <v>65</v>
      </c>
      <c r="D3041">
        <v>2996</v>
      </c>
      <c r="E3041">
        <v>1597</v>
      </c>
      <c r="F3041">
        <v>412</v>
      </c>
      <c r="G3041">
        <v>406</v>
      </c>
      <c r="H3041">
        <v>5411</v>
      </c>
      <c r="I3041" s="1">
        <v>45292</v>
      </c>
      <c r="J3041">
        <v>818</v>
      </c>
      <c r="K3041" t="s">
        <v>23</v>
      </c>
    </row>
    <row r="3042" spans="1:11">
      <c r="A3042" s="1">
        <v>45316</v>
      </c>
      <c r="B3042" t="s">
        <v>21</v>
      </c>
      <c r="C3042" t="s">
        <v>66</v>
      </c>
      <c r="D3042">
        <v>2889</v>
      </c>
      <c r="E3042">
        <v>1347</v>
      </c>
      <c r="F3042">
        <v>498</v>
      </c>
      <c r="G3042">
        <v>1006</v>
      </c>
      <c r="H3042">
        <v>5739</v>
      </c>
      <c r="I3042" s="1">
        <v>45292</v>
      </c>
      <c r="J3042">
        <v>1504</v>
      </c>
      <c r="K3042" t="s">
        <v>23</v>
      </c>
    </row>
    <row r="3043" spans="1:11">
      <c r="A3043" s="1">
        <v>45316</v>
      </c>
      <c r="B3043" t="s">
        <v>21</v>
      </c>
      <c r="C3043" t="s">
        <v>57</v>
      </c>
      <c r="D3043">
        <v>999</v>
      </c>
      <c r="E3043">
        <v>432</v>
      </c>
      <c r="F3043">
        <v>212</v>
      </c>
      <c r="G3043">
        <v>276</v>
      </c>
      <c r="H3043">
        <v>1919</v>
      </c>
      <c r="I3043" s="1">
        <v>45292</v>
      </c>
      <c r="J3043">
        <v>488</v>
      </c>
      <c r="K3043" t="s">
        <v>23</v>
      </c>
    </row>
    <row r="3044" spans="1:11">
      <c r="A3044" s="1">
        <v>45316</v>
      </c>
      <c r="B3044" t="s">
        <v>21</v>
      </c>
      <c r="C3044" t="s">
        <v>28</v>
      </c>
      <c r="D3044">
        <v>211</v>
      </c>
      <c r="E3044">
        <v>188</v>
      </c>
      <c r="F3044">
        <v>69</v>
      </c>
      <c r="G3044">
        <v>1</v>
      </c>
      <c r="H3044">
        <v>470</v>
      </c>
      <c r="I3044" s="1">
        <v>45292</v>
      </c>
      <c r="J3044">
        <v>70</v>
      </c>
      <c r="K3044" t="s">
        <v>23</v>
      </c>
    </row>
    <row r="3045" spans="1:11">
      <c r="A3045" s="1">
        <v>45316</v>
      </c>
      <c r="B3045" t="s">
        <v>21</v>
      </c>
      <c r="C3045" t="s">
        <v>47</v>
      </c>
      <c r="D3045">
        <v>692</v>
      </c>
      <c r="E3045">
        <v>141</v>
      </c>
      <c r="F3045">
        <v>58</v>
      </c>
      <c r="G3045">
        <v>47</v>
      </c>
      <c r="H3045">
        <v>939</v>
      </c>
      <c r="I3045" s="1">
        <v>45292</v>
      </c>
      <c r="J3045">
        <v>105</v>
      </c>
      <c r="K3045" t="s">
        <v>23</v>
      </c>
    </row>
    <row r="3046" spans="1:11">
      <c r="A3046" s="1">
        <v>45316</v>
      </c>
      <c r="B3046" t="s">
        <v>21</v>
      </c>
      <c r="C3046" t="s">
        <v>51</v>
      </c>
      <c r="D3046">
        <v>892</v>
      </c>
      <c r="E3046">
        <v>295</v>
      </c>
      <c r="F3046">
        <v>125</v>
      </c>
      <c r="G3046">
        <v>102</v>
      </c>
      <c r="H3046">
        <v>1413</v>
      </c>
      <c r="I3046" s="1">
        <v>45292</v>
      </c>
      <c r="J3046">
        <v>227</v>
      </c>
      <c r="K3046" t="s">
        <v>23</v>
      </c>
    </row>
    <row r="3047" spans="1:11">
      <c r="A3047" s="1">
        <v>45316</v>
      </c>
      <c r="B3047" t="s">
        <v>21</v>
      </c>
      <c r="C3047" t="s">
        <v>45</v>
      </c>
      <c r="D3047">
        <v>617</v>
      </c>
      <c r="E3047">
        <v>402</v>
      </c>
      <c r="F3047">
        <v>123</v>
      </c>
      <c r="G3047">
        <v>42</v>
      </c>
      <c r="H3047">
        <v>1185</v>
      </c>
      <c r="I3047" s="1">
        <v>45292</v>
      </c>
      <c r="J3047">
        <v>165</v>
      </c>
      <c r="K3047" t="s">
        <v>23</v>
      </c>
    </row>
    <row r="3048" spans="1:11">
      <c r="A3048" s="1">
        <v>45316</v>
      </c>
      <c r="B3048" t="s">
        <v>21</v>
      </c>
      <c r="C3048" t="s">
        <v>54</v>
      </c>
      <c r="D3048">
        <v>106</v>
      </c>
      <c r="E3048">
        <v>102</v>
      </c>
      <c r="F3048">
        <v>49</v>
      </c>
      <c r="G3048">
        <v>27</v>
      </c>
      <c r="H3048">
        <v>284</v>
      </c>
      <c r="I3048" s="1">
        <v>45292</v>
      </c>
      <c r="J3048">
        <v>76</v>
      </c>
      <c r="K3048" t="s">
        <v>23</v>
      </c>
    </row>
    <row r="3049" spans="1:11">
      <c r="A3049" s="1">
        <v>45316</v>
      </c>
      <c r="B3049" t="s">
        <v>21</v>
      </c>
      <c r="C3049" t="s">
        <v>52</v>
      </c>
      <c r="D3049">
        <v>2203</v>
      </c>
      <c r="E3049">
        <v>1223</v>
      </c>
      <c r="F3049">
        <v>96</v>
      </c>
      <c r="G3049">
        <v>7</v>
      </c>
      <c r="H3049">
        <v>3529</v>
      </c>
      <c r="I3049" s="1">
        <v>45292</v>
      </c>
      <c r="J3049">
        <v>103</v>
      </c>
      <c r="K3049" t="s">
        <v>23</v>
      </c>
    </row>
    <row r="3050" spans="1:11">
      <c r="A3050" s="1">
        <v>45316</v>
      </c>
      <c r="B3050" t="s">
        <v>21</v>
      </c>
      <c r="C3050" t="s">
        <v>46</v>
      </c>
      <c r="D3050">
        <v>301</v>
      </c>
      <c r="E3050">
        <v>45</v>
      </c>
      <c r="F3050">
        <v>9</v>
      </c>
      <c r="G3050">
        <v>5</v>
      </c>
      <c r="H3050">
        <v>360</v>
      </c>
      <c r="I3050" s="1">
        <v>45292</v>
      </c>
      <c r="J3050">
        <v>14</v>
      </c>
      <c r="K3050" t="s">
        <v>23</v>
      </c>
    </row>
    <row r="3051" spans="1:11">
      <c r="A3051" s="1">
        <v>45316</v>
      </c>
      <c r="B3051" t="s">
        <v>21</v>
      </c>
      <c r="C3051" t="s">
        <v>63</v>
      </c>
      <c r="D3051">
        <v>299</v>
      </c>
      <c r="E3051">
        <v>208</v>
      </c>
      <c r="F3051">
        <v>77</v>
      </c>
      <c r="G3051">
        <v>52</v>
      </c>
      <c r="H3051">
        <v>636</v>
      </c>
      <c r="I3051" s="1">
        <v>45292</v>
      </c>
      <c r="J3051">
        <v>129</v>
      </c>
      <c r="K3051" t="s">
        <v>23</v>
      </c>
    </row>
    <row r="3052" spans="1:11">
      <c r="A3052" s="1">
        <v>45316</v>
      </c>
      <c r="B3052" t="s">
        <v>21</v>
      </c>
      <c r="C3052" t="s">
        <v>60</v>
      </c>
      <c r="D3052">
        <v>1070</v>
      </c>
      <c r="E3052">
        <v>139</v>
      </c>
      <c r="F3052">
        <v>76</v>
      </c>
      <c r="G3052">
        <v>78</v>
      </c>
      <c r="H3052">
        <v>1363</v>
      </c>
      <c r="I3052" s="1">
        <v>45292</v>
      </c>
      <c r="J3052">
        <v>154</v>
      </c>
      <c r="K3052" t="s">
        <v>23</v>
      </c>
    </row>
    <row r="3053" spans="1:11">
      <c r="A3053" s="1">
        <v>45316</v>
      </c>
      <c r="B3053" t="s">
        <v>21</v>
      </c>
      <c r="C3053" t="s">
        <v>61</v>
      </c>
      <c r="D3053">
        <v>1412</v>
      </c>
      <c r="E3053">
        <v>914</v>
      </c>
      <c r="F3053">
        <v>189</v>
      </c>
      <c r="G3053">
        <v>274</v>
      </c>
      <c r="H3053">
        <v>2789</v>
      </c>
      <c r="I3053" s="1">
        <v>45292</v>
      </c>
      <c r="J3053">
        <v>463</v>
      </c>
      <c r="K3053" t="s">
        <v>23</v>
      </c>
    </row>
    <row r="3054" spans="1:11">
      <c r="A3054" s="1">
        <v>45316</v>
      </c>
      <c r="B3054" t="s">
        <v>21</v>
      </c>
      <c r="C3054" t="s">
        <v>59</v>
      </c>
      <c r="D3054">
        <v>2489</v>
      </c>
      <c r="E3054">
        <v>899</v>
      </c>
      <c r="F3054">
        <v>202</v>
      </c>
      <c r="G3054">
        <v>111</v>
      </c>
      <c r="H3054">
        <v>3701</v>
      </c>
      <c r="I3054" s="1">
        <v>45292</v>
      </c>
      <c r="J3054">
        <v>313</v>
      </c>
      <c r="K3054" t="s">
        <v>23</v>
      </c>
    </row>
    <row r="3055" spans="1:11">
      <c r="A3055" s="1">
        <v>45316</v>
      </c>
      <c r="B3055" t="s">
        <v>21</v>
      </c>
      <c r="C3055" t="s">
        <v>67</v>
      </c>
      <c r="D3055">
        <v>1875</v>
      </c>
      <c r="E3055">
        <v>1171</v>
      </c>
      <c r="F3055">
        <v>222</v>
      </c>
      <c r="G3055">
        <v>305</v>
      </c>
      <c r="H3055">
        <v>3573</v>
      </c>
      <c r="I3055" s="1">
        <v>45292</v>
      </c>
      <c r="J3055">
        <v>527</v>
      </c>
      <c r="K3055" t="s">
        <v>23</v>
      </c>
    </row>
    <row r="3056" spans="1:11">
      <c r="A3056" s="1">
        <v>45351</v>
      </c>
      <c r="B3056" t="s">
        <v>21</v>
      </c>
      <c r="C3056" t="s">
        <v>64</v>
      </c>
      <c r="D3056">
        <v>19057</v>
      </c>
      <c r="E3056">
        <v>11063</v>
      </c>
      <c r="F3056">
        <v>5687</v>
      </c>
      <c r="G3056">
        <v>4650</v>
      </c>
      <c r="H3056">
        <v>40457</v>
      </c>
      <c r="I3056" s="1">
        <v>45323</v>
      </c>
      <c r="J3056">
        <v>10337</v>
      </c>
      <c r="K3056" t="s">
        <v>23</v>
      </c>
    </row>
    <row r="3057" spans="1:11">
      <c r="A3057" s="1">
        <v>45351</v>
      </c>
      <c r="B3057" t="s">
        <v>21</v>
      </c>
      <c r="C3057" t="s">
        <v>65</v>
      </c>
      <c r="D3057">
        <v>3228</v>
      </c>
      <c r="E3057">
        <v>1612</v>
      </c>
      <c r="F3057">
        <v>477</v>
      </c>
      <c r="G3057">
        <v>383</v>
      </c>
      <c r="H3057">
        <v>5701</v>
      </c>
      <c r="I3057" s="1">
        <v>45323</v>
      </c>
      <c r="J3057">
        <v>860</v>
      </c>
      <c r="K3057" t="s">
        <v>23</v>
      </c>
    </row>
    <row r="3058" spans="1:11">
      <c r="A3058" s="1">
        <v>45351</v>
      </c>
      <c r="B3058" t="s">
        <v>21</v>
      </c>
      <c r="C3058" t="s">
        <v>66</v>
      </c>
      <c r="D3058">
        <v>3039</v>
      </c>
      <c r="E3058">
        <v>1255</v>
      </c>
      <c r="F3058">
        <v>482</v>
      </c>
      <c r="G3058">
        <v>935</v>
      </c>
      <c r="H3058">
        <v>5711</v>
      </c>
      <c r="I3058" s="1">
        <v>45323</v>
      </c>
      <c r="J3058">
        <v>1417</v>
      </c>
      <c r="K3058" t="s">
        <v>23</v>
      </c>
    </row>
    <row r="3059" spans="1:11">
      <c r="A3059" s="1">
        <v>45351</v>
      </c>
      <c r="B3059" t="s">
        <v>21</v>
      </c>
      <c r="C3059" t="s">
        <v>57</v>
      </c>
      <c r="D3059">
        <v>1084</v>
      </c>
      <c r="E3059">
        <v>380</v>
      </c>
      <c r="F3059">
        <v>243</v>
      </c>
      <c r="G3059">
        <v>283</v>
      </c>
      <c r="H3059">
        <v>1990</v>
      </c>
      <c r="I3059" s="1">
        <v>45323</v>
      </c>
      <c r="J3059">
        <v>526</v>
      </c>
      <c r="K3059" t="s">
        <v>23</v>
      </c>
    </row>
    <row r="3060" spans="1:11">
      <c r="A3060" s="1">
        <v>45351</v>
      </c>
      <c r="B3060" t="s">
        <v>21</v>
      </c>
      <c r="C3060" t="s">
        <v>28</v>
      </c>
      <c r="D3060">
        <v>229</v>
      </c>
      <c r="E3060">
        <v>170</v>
      </c>
      <c r="F3060">
        <v>97</v>
      </c>
      <c r="G3060">
        <v>4</v>
      </c>
      <c r="H3060">
        <v>500</v>
      </c>
      <c r="I3060" s="1">
        <v>45323</v>
      </c>
      <c r="J3060">
        <v>101</v>
      </c>
      <c r="K3060" t="s">
        <v>23</v>
      </c>
    </row>
    <row r="3061" spans="1:11">
      <c r="A3061" s="1">
        <v>45351</v>
      </c>
      <c r="B3061" t="s">
        <v>21</v>
      </c>
      <c r="C3061" t="s">
        <v>47</v>
      </c>
      <c r="D3061">
        <v>705</v>
      </c>
      <c r="E3061">
        <v>106</v>
      </c>
      <c r="F3061">
        <v>59</v>
      </c>
      <c r="G3061">
        <v>42</v>
      </c>
      <c r="H3061">
        <v>912</v>
      </c>
      <c r="I3061" s="1">
        <v>45323</v>
      </c>
      <c r="J3061">
        <v>101</v>
      </c>
      <c r="K3061" t="s">
        <v>23</v>
      </c>
    </row>
    <row r="3062" spans="1:11">
      <c r="A3062" s="1">
        <v>45351</v>
      </c>
      <c r="B3062" t="s">
        <v>21</v>
      </c>
      <c r="C3062" t="s">
        <v>51</v>
      </c>
      <c r="D3062">
        <v>949</v>
      </c>
      <c r="E3062">
        <v>276</v>
      </c>
      <c r="F3062">
        <v>142</v>
      </c>
      <c r="G3062">
        <v>99</v>
      </c>
      <c r="H3062">
        <v>1466</v>
      </c>
      <c r="I3062" s="1">
        <v>45323</v>
      </c>
      <c r="J3062">
        <v>241</v>
      </c>
      <c r="K3062" t="s">
        <v>23</v>
      </c>
    </row>
    <row r="3063" spans="1:11">
      <c r="A3063" s="1">
        <v>45351</v>
      </c>
      <c r="B3063" t="s">
        <v>21</v>
      </c>
      <c r="C3063" t="s">
        <v>45</v>
      </c>
      <c r="D3063">
        <v>656</v>
      </c>
      <c r="E3063">
        <v>374</v>
      </c>
      <c r="F3063">
        <v>152</v>
      </c>
      <c r="G3063">
        <v>43</v>
      </c>
      <c r="H3063">
        <v>1224</v>
      </c>
      <c r="I3063" s="1">
        <v>45323</v>
      </c>
      <c r="J3063">
        <v>195</v>
      </c>
      <c r="K3063" t="s">
        <v>23</v>
      </c>
    </row>
    <row r="3064" spans="1:11">
      <c r="A3064" s="1">
        <v>45351</v>
      </c>
      <c r="B3064" t="s">
        <v>21</v>
      </c>
      <c r="C3064" t="s">
        <v>54</v>
      </c>
      <c r="D3064">
        <v>118</v>
      </c>
      <c r="E3064">
        <v>66</v>
      </c>
      <c r="F3064">
        <v>48</v>
      </c>
      <c r="G3064">
        <v>25</v>
      </c>
      <c r="H3064">
        <v>257</v>
      </c>
      <c r="I3064" s="1">
        <v>45323</v>
      </c>
      <c r="J3064">
        <v>73</v>
      </c>
      <c r="K3064" t="s">
        <v>23</v>
      </c>
    </row>
    <row r="3065" spans="1:11">
      <c r="A3065" s="1">
        <v>45351</v>
      </c>
      <c r="B3065" t="s">
        <v>21</v>
      </c>
      <c r="C3065" t="s">
        <v>52</v>
      </c>
      <c r="D3065">
        <v>2331</v>
      </c>
      <c r="E3065">
        <v>1255</v>
      </c>
      <c r="F3065">
        <v>182</v>
      </c>
      <c r="G3065">
        <v>9</v>
      </c>
      <c r="H3065">
        <v>3777</v>
      </c>
      <c r="I3065" s="1">
        <v>45323</v>
      </c>
      <c r="J3065">
        <v>191</v>
      </c>
      <c r="K3065" t="s">
        <v>23</v>
      </c>
    </row>
    <row r="3066" spans="1:11">
      <c r="A3066" s="1">
        <v>45351</v>
      </c>
      <c r="B3066" t="s">
        <v>21</v>
      </c>
      <c r="C3066" t="s">
        <v>46</v>
      </c>
      <c r="D3066">
        <v>324</v>
      </c>
      <c r="E3066">
        <v>42</v>
      </c>
      <c r="F3066">
        <v>8</v>
      </c>
      <c r="G3066">
        <v>1</v>
      </c>
      <c r="H3066">
        <v>376</v>
      </c>
      <c r="I3066" s="1">
        <v>45323</v>
      </c>
      <c r="J3066">
        <v>9</v>
      </c>
      <c r="K3066" t="s">
        <v>23</v>
      </c>
    </row>
    <row r="3067" spans="1:11">
      <c r="A3067" s="1">
        <v>45351</v>
      </c>
      <c r="B3067" t="s">
        <v>21</v>
      </c>
      <c r="C3067" t="s">
        <v>63</v>
      </c>
      <c r="D3067">
        <v>301</v>
      </c>
      <c r="E3067">
        <v>201</v>
      </c>
      <c r="F3067">
        <v>80</v>
      </c>
      <c r="G3067">
        <v>66</v>
      </c>
      <c r="H3067">
        <v>648</v>
      </c>
      <c r="I3067" s="1">
        <v>45323</v>
      </c>
      <c r="J3067">
        <v>146</v>
      </c>
      <c r="K3067" t="s">
        <v>23</v>
      </c>
    </row>
    <row r="3068" spans="1:11">
      <c r="A3068" s="1">
        <v>45351</v>
      </c>
      <c r="B3068" t="s">
        <v>21</v>
      </c>
      <c r="C3068" t="s">
        <v>60</v>
      </c>
      <c r="D3068">
        <v>1121</v>
      </c>
      <c r="E3068">
        <v>121</v>
      </c>
      <c r="F3068">
        <v>67</v>
      </c>
      <c r="G3068">
        <v>76</v>
      </c>
      <c r="H3068">
        <v>1385</v>
      </c>
      <c r="I3068" s="1">
        <v>45323</v>
      </c>
      <c r="J3068">
        <v>143</v>
      </c>
      <c r="K3068" t="s">
        <v>23</v>
      </c>
    </row>
    <row r="3069" spans="1:11">
      <c r="A3069" s="1">
        <v>45351</v>
      </c>
      <c r="B3069" t="s">
        <v>21</v>
      </c>
      <c r="C3069" t="s">
        <v>61</v>
      </c>
      <c r="D3069">
        <v>1507</v>
      </c>
      <c r="E3069">
        <v>869</v>
      </c>
      <c r="F3069">
        <v>206</v>
      </c>
      <c r="G3069">
        <v>294</v>
      </c>
      <c r="H3069">
        <v>2875</v>
      </c>
      <c r="I3069" s="1">
        <v>45323</v>
      </c>
      <c r="J3069">
        <v>500</v>
      </c>
      <c r="K3069" t="s">
        <v>23</v>
      </c>
    </row>
    <row r="3070" spans="1:11">
      <c r="A3070" s="1">
        <v>45351</v>
      </c>
      <c r="B3070" t="s">
        <v>21</v>
      </c>
      <c r="C3070" t="s">
        <v>59</v>
      </c>
      <c r="D3070">
        <v>2603</v>
      </c>
      <c r="E3070">
        <v>898</v>
      </c>
      <c r="F3070">
        <v>207</v>
      </c>
      <c r="G3070">
        <v>130</v>
      </c>
      <c r="H3070">
        <v>3838</v>
      </c>
      <c r="I3070" s="1">
        <v>45323</v>
      </c>
      <c r="J3070">
        <v>337</v>
      </c>
      <c r="K3070" t="s">
        <v>23</v>
      </c>
    </row>
    <row r="3071" spans="1:11">
      <c r="A3071" s="1">
        <v>45351</v>
      </c>
      <c r="B3071" t="s">
        <v>21</v>
      </c>
      <c r="C3071" t="s">
        <v>67</v>
      </c>
      <c r="D3071">
        <v>1992</v>
      </c>
      <c r="E3071">
        <v>1080</v>
      </c>
      <c r="F3071">
        <v>280</v>
      </c>
      <c r="G3071">
        <v>308</v>
      </c>
      <c r="H3071">
        <v>3659</v>
      </c>
      <c r="I3071" s="1">
        <v>45323</v>
      </c>
      <c r="J3071">
        <v>588</v>
      </c>
      <c r="K3071" t="s">
        <v>23</v>
      </c>
    </row>
    <row r="3072" spans="1:11">
      <c r="A3072" s="1">
        <v>45379</v>
      </c>
      <c r="B3072" t="s">
        <v>21</v>
      </c>
      <c r="C3072" t="s">
        <v>64</v>
      </c>
      <c r="D3072">
        <v>19127</v>
      </c>
      <c r="E3072">
        <v>10898</v>
      </c>
      <c r="F3072">
        <v>6119</v>
      </c>
      <c r="G3072">
        <v>4750</v>
      </c>
      <c r="H3072">
        <v>40893</v>
      </c>
      <c r="I3072" s="1">
        <v>45352</v>
      </c>
      <c r="J3072">
        <v>10869</v>
      </c>
      <c r="K3072" t="s">
        <v>23</v>
      </c>
    </row>
    <row r="3073" spans="1:11">
      <c r="A3073" s="1">
        <v>45379</v>
      </c>
      <c r="B3073" t="s">
        <v>21</v>
      </c>
      <c r="C3073" t="s">
        <v>65</v>
      </c>
      <c r="D3073">
        <v>3378</v>
      </c>
      <c r="E3073">
        <v>1565</v>
      </c>
      <c r="F3073">
        <v>532</v>
      </c>
      <c r="G3073">
        <v>368</v>
      </c>
      <c r="H3073">
        <v>5843</v>
      </c>
      <c r="I3073" s="1">
        <v>45352</v>
      </c>
      <c r="J3073">
        <v>900</v>
      </c>
      <c r="K3073" t="s">
        <v>23</v>
      </c>
    </row>
    <row r="3074" spans="1:11">
      <c r="A3074" s="1">
        <v>45379</v>
      </c>
      <c r="B3074" t="s">
        <v>21</v>
      </c>
      <c r="C3074" t="s">
        <v>66</v>
      </c>
      <c r="D3074">
        <v>3106</v>
      </c>
      <c r="E3074">
        <v>1202</v>
      </c>
      <c r="F3074">
        <v>465</v>
      </c>
      <c r="G3074">
        <v>896</v>
      </c>
      <c r="H3074">
        <v>5670</v>
      </c>
      <c r="I3074" s="1">
        <v>45352</v>
      </c>
      <c r="J3074">
        <v>1361</v>
      </c>
      <c r="K3074" t="s">
        <v>23</v>
      </c>
    </row>
    <row r="3075" spans="1:11">
      <c r="A3075" s="1">
        <v>45379</v>
      </c>
      <c r="B3075" t="s">
        <v>21</v>
      </c>
      <c r="C3075" t="s">
        <v>57</v>
      </c>
      <c r="D3075">
        <v>1106</v>
      </c>
      <c r="E3075">
        <v>373</v>
      </c>
      <c r="F3075">
        <v>267</v>
      </c>
      <c r="G3075">
        <v>267</v>
      </c>
      <c r="H3075">
        <v>2013</v>
      </c>
      <c r="I3075" s="1">
        <v>45352</v>
      </c>
      <c r="J3075">
        <v>534</v>
      </c>
      <c r="K3075" t="s">
        <v>23</v>
      </c>
    </row>
    <row r="3076" spans="1:11">
      <c r="A3076" s="1">
        <v>45379</v>
      </c>
      <c r="B3076" t="s">
        <v>21</v>
      </c>
      <c r="C3076" t="s">
        <v>28</v>
      </c>
      <c r="D3076">
        <v>233</v>
      </c>
      <c r="E3076">
        <v>171</v>
      </c>
      <c r="F3076">
        <v>112</v>
      </c>
      <c r="G3076">
        <v>5</v>
      </c>
      <c r="H3076">
        <v>521</v>
      </c>
      <c r="I3076" s="1">
        <v>45352</v>
      </c>
      <c r="J3076">
        <v>117</v>
      </c>
      <c r="K3076" t="s">
        <v>23</v>
      </c>
    </row>
    <row r="3077" spans="1:11">
      <c r="A3077" s="1">
        <v>45379</v>
      </c>
      <c r="B3077" t="s">
        <v>21</v>
      </c>
      <c r="C3077" t="s">
        <v>47</v>
      </c>
      <c r="D3077">
        <v>626</v>
      </c>
      <c r="E3077">
        <v>100</v>
      </c>
      <c r="F3077">
        <v>54</v>
      </c>
      <c r="G3077">
        <v>36</v>
      </c>
      <c r="H3077">
        <v>817</v>
      </c>
      <c r="I3077" s="1">
        <v>45352</v>
      </c>
      <c r="J3077">
        <v>90</v>
      </c>
      <c r="K3077" t="s">
        <v>23</v>
      </c>
    </row>
    <row r="3078" spans="1:11">
      <c r="A3078" s="1">
        <v>45379</v>
      </c>
      <c r="B3078" t="s">
        <v>21</v>
      </c>
      <c r="C3078" t="s">
        <v>51</v>
      </c>
      <c r="D3078">
        <v>915</v>
      </c>
      <c r="E3078">
        <v>318</v>
      </c>
      <c r="F3078">
        <v>150</v>
      </c>
      <c r="G3078">
        <v>94</v>
      </c>
      <c r="H3078">
        <v>1476</v>
      </c>
      <c r="I3078" s="1">
        <v>45352</v>
      </c>
      <c r="J3078">
        <v>244</v>
      </c>
      <c r="K3078" t="s">
        <v>23</v>
      </c>
    </row>
    <row r="3079" spans="1:11">
      <c r="A3079" s="1">
        <v>45379</v>
      </c>
      <c r="B3079" t="s">
        <v>21</v>
      </c>
      <c r="C3079" t="s">
        <v>45</v>
      </c>
      <c r="D3079">
        <v>720</v>
      </c>
      <c r="E3079">
        <v>350</v>
      </c>
      <c r="F3079">
        <v>178</v>
      </c>
      <c r="G3079">
        <v>50</v>
      </c>
      <c r="H3079">
        <v>1298</v>
      </c>
      <c r="I3079" s="1">
        <v>45352</v>
      </c>
      <c r="J3079">
        <v>228</v>
      </c>
      <c r="K3079" t="s">
        <v>23</v>
      </c>
    </row>
    <row r="3080" spans="1:11">
      <c r="A3080" s="1">
        <v>45379</v>
      </c>
      <c r="B3080" t="s">
        <v>21</v>
      </c>
      <c r="C3080" t="s">
        <v>54</v>
      </c>
      <c r="D3080">
        <v>96</v>
      </c>
      <c r="E3080">
        <v>54</v>
      </c>
      <c r="F3080">
        <v>46</v>
      </c>
      <c r="G3080">
        <v>26</v>
      </c>
      <c r="H3080">
        <v>222</v>
      </c>
      <c r="I3080" s="1">
        <v>45352</v>
      </c>
      <c r="J3080">
        <v>72</v>
      </c>
      <c r="K3080" t="s">
        <v>23</v>
      </c>
    </row>
    <row r="3081" spans="1:11">
      <c r="A3081" s="1">
        <v>45379</v>
      </c>
      <c r="B3081" t="s">
        <v>21</v>
      </c>
      <c r="C3081" t="s">
        <v>52</v>
      </c>
      <c r="D3081">
        <v>2220</v>
      </c>
      <c r="E3081">
        <v>1294</v>
      </c>
      <c r="F3081">
        <v>188</v>
      </c>
      <c r="G3081">
        <v>21</v>
      </c>
      <c r="H3081">
        <v>3722</v>
      </c>
      <c r="I3081" s="1">
        <v>45352</v>
      </c>
      <c r="J3081">
        <v>209</v>
      </c>
      <c r="K3081" t="s">
        <v>23</v>
      </c>
    </row>
    <row r="3082" spans="1:11">
      <c r="A3082" s="1">
        <v>45379</v>
      </c>
      <c r="B3082" t="s">
        <v>21</v>
      </c>
      <c r="C3082" t="s">
        <v>63</v>
      </c>
      <c r="D3082">
        <v>311</v>
      </c>
      <c r="E3082">
        <v>189</v>
      </c>
      <c r="F3082">
        <v>106</v>
      </c>
      <c r="G3082">
        <v>64</v>
      </c>
      <c r="H3082">
        <v>670</v>
      </c>
      <c r="I3082" s="1">
        <v>45352</v>
      </c>
      <c r="J3082">
        <v>170</v>
      </c>
      <c r="K3082" t="s">
        <v>23</v>
      </c>
    </row>
    <row r="3083" spans="1:11">
      <c r="A3083" s="1">
        <v>45379</v>
      </c>
      <c r="B3083" t="s">
        <v>21</v>
      </c>
      <c r="C3083" t="s">
        <v>60</v>
      </c>
      <c r="D3083">
        <v>1234</v>
      </c>
      <c r="E3083">
        <v>146</v>
      </c>
      <c r="F3083">
        <v>50</v>
      </c>
      <c r="G3083">
        <v>95</v>
      </c>
      <c r="H3083">
        <v>1525</v>
      </c>
      <c r="I3083" s="1">
        <v>45352</v>
      </c>
      <c r="J3083">
        <v>145</v>
      </c>
      <c r="K3083" t="s">
        <v>23</v>
      </c>
    </row>
    <row r="3084" spans="1:11">
      <c r="A3084" s="1">
        <v>45379</v>
      </c>
      <c r="B3084" t="s">
        <v>21</v>
      </c>
      <c r="C3084" t="s">
        <v>61</v>
      </c>
      <c r="D3084">
        <v>1589</v>
      </c>
      <c r="E3084">
        <v>823</v>
      </c>
      <c r="F3084">
        <v>261</v>
      </c>
      <c r="G3084">
        <v>289</v>
      </c>
      <c r="H3084">
        <v>2962</v>
      </c>
      <c r="I3084" s="1">
        <v>45352</v>
      </c>
      <c r="J3084">
        <v>550</v>
      </c>
      <c r="K3084" t="s">
        <v>23</v>
      </c>
    </row>
    <row r="3085" spans="1:11">
      <c r="A3085" s="1">
        <v>45379</v>
      </c>
      <c r="B3085" t="s">
        <v>21</v>
      </c>
      <c r="C3085" t="s">
        <v>44</v>
      </c>
      <c r="D3085">
        <v>742</v>
      </c>
      <c r="E3085">
        <v>229</v>
      </c>
      <c r="F3085">
        <v>55</v>
      </c>
      <c r="G3085">
        <v>7</v>
      </c>
      <c r="H3085">
        <v>1033</v>
      </c>
      <c r="I3085" s="1">
        <v>45352</v>
      </c>
      <c r="J3085">
        <v>62</v>
      </c>
      <c r="K3085" t="s">
        <v>23</v>
      </c>
    </row>
    <row r="3086" spans="1:11">
      <c r="A3086" s="1">
        <v>45379</v>
      </c>
      <c r="B3086" t="s">
        <v>21</v>
      </c>
      <c r="C3086" t="s">
        <v>59</v>
      </c>
      <c r="D3086">
        <v>2715</v>
      </c>
      <c r="E3086">
        <v>906</v>
      </c>
      <c r="F3086">
        <v>258</v>
      </c>
      <c r="G3086">
        <v>138</v>
      </c>
      <c r="H3086">
        <v>4017</v>
      </c>
      <c r="I3086" s="1">
        <v>45352</v>
      </c>
      <c r="J3086">
        <v>396</v>
      </c>
      <c r="K3086" t="s">
        <v>23</v>
      </c>
    </row>
    <row r="3087" spans="1:11">
      <c r="A3087" s="1">
        <v>45379</v>
      </c>
      <c r="B3087" t="s">
        <v>21</v>
      </c>
      <c r="C3087" t="s">
        <v>67</v>
      </c>
      <c r="D3087">
        <v>2099</v>
      </c>
      <c r="E3087">
        <v>1062</v>
      </c>
      <c r="F3087">
        <v>347</v>
      </c>
      <c r="G3087">
        <v>306</v>
      </c>
      <c r="H3087">
        <v>3814</v>
      </c>
      <c r="I3087" s="1">
        <v>45352</v>
      </c>
      <c r="J3087">
        <v>653</v>
      </c>
      <c r="K3087" t="s">
        <v>23</v>
      </c>
    </row>
    <row r="3088" spans="1:11">
      <c r="A3088" s="1">
        <v>45379</v>
      </c>
      <c r="B3088" t="s">
        <v>21</v>
      </c>
      <c r="C3088" t="s">
        <v>49</v>
      </c>
      <c r="D3088">
        <v>628</v>
      </c>
      <c r="E3088">
        <v>312</v>
      </c>
      <c r="F3088">
        <v>86</v>
      </c>
      <c r="G3088">
        <v>1</v>
      </c>
      <c r="H3088">
        <v>1027</v>
      </c>
      <c r="I3088" s="1">
        <v>45352</v>
      </c>
      <c r="J3088">
        <v>87</v>
      </c>
      <c r="K3088" t="s">
        <v>23</v>
      </c>
    </row>
    <row r="3089" spans="1:11">
      <c r="A3089" s="1">
        <v>45407</v>
      </c>
      <c r="B3089" t="s">
        <v>21</v>
      </c>
      <c r="C3089" t="s">
        <v>41</v>
      </c>
      <c r="D3089">
        <v>856</v>
      </c>
      <c r="E3089">
        <v>323</v>
      </c>
      <c r="F3089">
        <v>4</v>
      </c>
      <c r="G3089">
        <v>4</v>
      </c>
      <c r="H3089">
        <v>1188</v>
      </c>
      <c r="I3089" s="1">
        <v>45383</v>
      </c>
      <c r="J3089">
        <v>8</v>
      </c>
      <c r="K3089" t="s">
        <v>23</v>
      </c>
    </row>
    <row r="3090" spans="1:11">
      <c r="A3090" s="1">
        <v>45407</v>
      </c>
      <c r="B3090" t="s">
        <v>21</v>
      </c>
      <c r="C3090" t="s">
        <v>64</v>
      </c>
      <c r="D3090">
        <v>19092</v>
      </c>
      <c r="E3090">
        <v>11016</v>
      </c>
      <c r="F3090">
        <v>6122</v>
      </c>
      <c r="G3090">
        <v>4957</v>
      </c>
      <c r="H3090">
        <v>41187</v>
      </c>
      <c r="I3090" s="1">
        <v>45383</v>
      </c>
      <c r="J3090">
        <v>11079</v>
      </c>
      <c r="K3090" t="s">
        <v>23</v>
      </c>
    </row>
    <row r="3091" spans="1:11">
      <c r="A3091" s="1">
        <v>45407</v>
      </c>
      <c r="B3091" t="s">
        <v>21</v>
      </c>
      <c r="C3091" t="s">
        <v>65</v>
      </c>
      <c r="D3091">
        <v>3420</v>
      </c>
      <c r="E3091">
        <v>1620</v>
      </c>
      <c r="F3091">
        <v>565</v>
      </c>
      <c r="G3091">
        <v>356</v>
      </c>
      <c r="H3091">
        <v>5960</v>
      </c>
      <c r="I3091" s="1">
        <v>45383</v>
      </c>
      <c r="J3091">
        <v>921</v>
      </c>
      <c r="K3091" t="s">
        <v>23</v>
      </c>
    </row>
    <row r="3092" spans="1:11">
      <c r="A3092" s="1">
        <v>45407</v>
      </c>
      <c r="B3092" t="s">
        <v>21</v>
      </c>
      <c r="C3092" t="s">
        <v>66</v>
      </c>
      <c r="D3092">
        <v>3091</v>
      </c>
      <c r="E3092">
        <v>1151</v>
      </c>
      <c r="F3092">
        <v>503</v>
      </c>
      <c r="G3092">
        <v>899</v>
      </c>
      <c r="H3092">
        <v>5644</v>
      </c>
      <c r="I3092" s="1">
        <v>45383</v>
      </c>
      <c r="J3092">
        <v>1402</v>
      </c>
      <c r="K3092" t="s">
        <v>23</v>
      </c>
    </row>
    <row r="3093" spans="1:11">
      <c r="A3093" s="1">
        <v>45407</v>
      </c>
      <c r="B3093" t="s">
        <v>21</v>
      </c>
      <c r="C3093" t="s">
        <v>57</v>
      </c>
      <c r="D3093">
        <v>1108</v>
      </c>
      <c r="E3093">
        <v>354</v>
      </c>
      <c r="F3093">
        <v>274</v>
      </c>
      <c r="G3093">
        <v>188</v>
      </c>
      <c r="H3093">
        <v>1924</v>
      </c>
      <c r="I3093" s="1">
        <v>45383</v>
      </c>
      <c r="J3093">
        <v>462</v>
      </c>
      <c r="K3093" t="s">
        <v>23</v>
      </c>
    </row>
    <row r="3094" spans="1:11">
      <c r="A3094" s="1">
        <v>45407</v>
      </c>
      <c r="B3094" t="s">
        <v>21</v>
      </c>
      <c r="C3094" t="s">
        <v>28</v>
      </c>
      <c r="D3094">
        <v>238</v>
      </c>
      <c r="E3094">
        <v>152</v>
      </c>
      <c r="F3094">
        <v>130</v>
      </c>
      <c r="G3094">
        <v>20</v>
      </c>
      <c r="H3094">
        <v>540</v>
      </c>
      <c r="I3094" s="1">
        <v>45383</v>
      </c>
      <c r="J3094">
        <v>150</v>
      </c>
      <c r="K3094" t="s">
        <v>23</v>
      </c>
    </row>
    <row r="3095" spans="1:11">
      <c r="A3095" s="1">
        <v>45407</v>
      </c>
      <c r="B3095" t="s">
        <v>21</v>
      </c>
      <c r="C3095" t="s">
        <v>47</v>
      </c>
      <c r="D3095">
        <v>595</v>
      </c>
      <c r="E3095">
        <v>111</v>
      </c>
      <c r="F3095">
        <v>25</v>
      </c>
      <c r="G3095">
        <v>29</v>
      </c>
      <c r="H3095">
        <v>761</v>
      </c>
      <c r="I3095" s="1">
        <v>45383</v>
      </c>
      <c r="J3095">
        <v>54</v>
      </c>
      <c r="K3095" t="s">
        <v>23</v>
      </c>
    </row>
    <row r="3096" spans="1:11">
      <c r="A3096" s="1">
        <v>45407</v>
      </c>
      <c r="B3096" t="s">
        <v>21</v>
      </c>
      <c r="C3096" t="s">
        <v>51</v>
      </c>
      <c r="D3096">
        <v>936</v>
      </c>
      <c r="E3096">
        <v>349</v>
      </c>
      <c r="F3096">
        <v>135</v>
      </c>
      <c r="G3096">
        <v>76</v>
      </c>
      <c r="H3096">
        <v>1496</v>
      </c>
      <c r="I3096" s="1">
        <v>45383</v>
      </c>
      <c r="J3096">
        <v>211</v>
      </c>
      <c r="K3096" t="s">
        <v>23</v>
      </c>
    </row>
    <row r="3097" spans="1:11">
      <c r="A3097" s="1">
        <v>45407</v>
      </c>
      <c r="B3097" t="s">
        <v>21</v>
      </c>
      <c r="C3097" t="s">
        <v>45</v>
      </c>
      <c r="D3097">
        <v>693</v>
      </c>
      <c r="E3097">
        <v>334</v>
      </c>
      <c r="F3097">
        <v>191</v>
      </c>
      <c r="G3097">
        <v>54</v>
      </c>
      <c r="H3097">
        <v>1272</v>
      </c>
      <c r="I3097" s="1">
        <v>45383</v>
      </c>
      <c r="J3097">
        <v>245</v>
      </c>
      <c r="K3097" t="s">
        <v>23</v>
      </c>
    </row>
    <row r="3098" spans="1:11">
      <c r="A3098" s="1">
        <v>45407</v>
      </c>
      <c r="B3098" t="s">
        <v>21</v>
      </c>
      <c r="C3098" t="s">
        <v>54</v>
      </c>
      <c r="D3098">
        <v>91</v>
      </c>
      <c r="E3098">
        <v>50</v>
      </c>
      <c r="F3098">
        <v>43</v>
      </c>
      <c r="G3098">
        <v>25</v>
      </c>
      <c r="H3098">
        <v>209</v>
      </c>
      <c r="I3098" s="1">
        <v>45383</v>
      </c>
      <c r="J3098">
        <v>68</v>
      </c>
      <c r="K3098" t="s">
        <v>23</v>
      </c>
    </row>
    <row r="3099" spans="1:11">
      <c r="A3099" s="1">
        <v>45407</v>
      </c>
      <c r="B3099" t="s">
        <v>21</v>
      </c>
      <c r="C3099" t="s">
        <v>52</v>
      </c>
      <c r="D3099">
        <v>2178</v>
      </c>
      <c r="E3099">
        <v>1184</v>
      </c>
      <c r="F3099">
        <v>222</v>
      </c>
      <c r="G3099">
        <v>28</v>
      </c>
      <c r="H3099">
        <v>3613</v>
      </c>
      <c r="I3099" s="1">
        <v>45383</v>
      </c>
      <c r="J3099">
        <v>250</v>
      </c>
      <c r="K3099" t="s">
        <v>23</v>
      </c>
    </row>
    <row r="3100" spans="1:11">
      <c r="A3100" s="1">
        <v>45407</v>
      </c>
      <c r="B3100" t="s">
        <v>21</v>
      </c>
      <c r="C3100" t="s">
        <v>63</v>
      </c>
      <c r="D3100">
        <v>299</v>
      </c>
      <c r="E3100">
        <v>202</v>
      </c>
      <c r="F3100">
        <v>114</v>
      </c>
      <c r="G3100">
        <v>70</v>
      </c>
      <c r="H3100">
        <v>685</v>
      </c>
      <c r="I3100" s="1">
        <v>45383</v>
      </c>
      <c r="J3100">
        <v>184</v>
      </c>
      <c r="K3100" t="s">
        <v>23</v>
      </c>
    </row>
    <row r="3101" spans="1:11">
      <c r="A3101" s="1">
        <v>45407</v>
      </c>
      <c r="B3101" t="s">
        <v>21</v>
      </c>
      <c r="C3101" t="s">
        <v>60</v>
      </c>
      <c r="D3101">
        <v>1270</v>
      </c>
      <c r="E3101">
        <v>148</v>
      </c>
      <c r="F3101">
        <v>36</v>
      </c>
      <c r="G3101">
        <v>79</v>
      </c>
      <c r="H3101">
        <v>1533</v>
      </c>
      <c r="I3101" s="1">
        <v>45383</v>
      </c>
      <c r="J3101">
        <v>115</v>
      </c>
      <c r="K3101" t="s">
        <v>23</v>
      </c>
    </row>
    <row r="3102" spans="1:11">
      <c r="A3102" s="1">
        <v>45407</v>
      </c>
      <c r="B3102" t="s">
        <v>21</v>
      </c>
      <c r="C3102" t="s">
        <v>61</v>
      </c>
      <c r="D3102">
        <v>1568</v>
      </c>
      <c r="E3102">
        <v>784</v>
      </c>
      <c r="F3102">
        <v>315</v>
      </c>
      <c r="G3102">
        <v>284</v>
      </c>
      <c r="H3102">
        <v>2951</v>
      </c>
      <c r="I3102" s="1">
        <v>45383</v>
      </c>
      <c r="J3102">
        <v>599</v>
      </c>
      <c r="K3102" t="s">
        <v>23</v>
      </c>
    </row>
    <row r="3103" spans="1:11">
      <c r="A3103" s="1">
        <v>45407</v>
      </c>
      <c r="B3103" t="s">
        <v>21</v>
      </c>
      <c r="C3103" t="s">
        <v>44</v>
      </c>
      <c r="D3103">
        <v>714</v>
      </c>
      <c r="E3103">
        <v>268</v>
      </c>
      <c r="F3103">
        <v>53</v>
      </c>
      <c r="G3103">
        <v>12</v>
      </c>
      <c r="H3103">
        <v>1048</v>
      </c>
      <c r="I3103" s="1">
        <v>45383</v>
      </c>
      <c r="J3103">
        <v>65</v>
      </c>
      <c r="K3103" t="s">
        <v>23</v>
      </c>
    </row>
    <row r="3104" spans="1:11">
      <c r="A3104" s="1">
        <v>45407</v>
      </c>
      <c r="B3104" t="s">
        <v>21</v>
      </c>
      <c r="C3104" t="s">
        <v>59</v>
      </c>
      <c r="D3104">
        <v>2805</v>
      </c>
      <c r="E3104">
        <v>788</v>
      </c>
      <c r="F3104">
        <v>248</v>
      </c>
      <c r="G3104">
        <v>134</v>
      </c>
      <c r="H3104">
        <v>3975</v>
      </c>
      <c r="I3104" s="1">
        <v>45383</v>
      </c>
      <c r="J3104">
        <v>382</v>
      </c>
      <c r="K3104" t="s">
        <v>23</v>
      </c>
    </row>
    <row r="3105" spans="1:11">
      <c r="A3105" s="1">
        <v>45407</v>
      </c>
      <c r="B3105" t="s">
        <v>21</v>
      </c>
      <c r="C3105" t="s">
        <v>67</v>
      </c>
      <c r="D3105">
        <v>2127</v>
      </c>
      <c r="E3105">
        <v>1068</v>
      </c>
      <c r="F3105">
        <v>373</v>
      </c>
      <c r="G3105">
        <v>290</v>
      </c>
      <c r="H3105">
        <v>3857</v>
      </c>
      <c r="I3105" s="1">
        <v>45383</v>
      </c>
      <c r="J3105">
        <v>663</v>
      </c>
      <c r="K3105" t="s">
        <v>23</v>
      </c>
    </row>
    <row r="3106" spans="1:11">
      <c r="A3106" s="1">
        <v>45442</v>
      </c>
      <c r="B3106" t="s">
        <v>21</v>
      </c>
      <c r="C3106" t="s">
        <v>64</v>
      </c>
      <c r="D3106">
        <v>19830</v>
      </c>
      <c r="E3106">
        <v>10292</v>
      </c>
      <c r="F3106">
        <v>6538</v>
      </c>
      <c r="G3106">
        <v>5002</v>
      </c>
      <c r="H3106">
        <v>41662</v>
      </c>
      <c r="I3106" s="1">
        <v>45413</v>
      </c>
      <c r="J3106">
        <v>11540</v>
      </c>
      <c r="K3106" t="s">
        <v>23</v>
      </c>
    </row>
    <row r="3107" spans="1:11">
      <c r="A3107" s="1">
        <v>45442</v>
      </c>
      <c r="B3107" t="s">
        <v>21</v>
      </c>
      <c r="C3107" t="s">
        <v>65</v>
      </c>
      <c r="D3107">
        <v>3555</v>
      </c>
      <c r="E3107">
        <v>1583</v>
      </c>
      <c r="F3107">
        <v>612</v>
      </c>
      <c r="G3107">
        <v>370</v>
      </c>
      <c r="H3107">
        <v>6120</v>
      </c>
      <c r="I3107" s="1">
        <v>45413</v>
      </c>
      <c r="J3107">
        <v>982</v>
      </c>
      <c r="K3107" t="s">
        <v>23</v>
      </c>
    </row>
    <row r="3108" spans="1:11">
      <c r="A3108" s="1">
        <v>45442</v>
      </c>
      <c r="B3108" t="s">
        <v>21</v>
      </c>
      <c r="C3108" t="s">
        <v>66</v>
      </c>
      <c r="D3108">
        <v>3142</v>
      </c>
      <c r="E3108">
        <v>1108</v>
      </c>
      <c r="F3108">
        <v>510</v>
      </c>
      <c r="G3108">
        <v>778</v>
      </c>
      <c r="H3108">
        <v>5538</v>
      </c>
      <c r="I3108" s="1">
        <v>45413</v>
      </c>
      <c r="J3108">
        <v>1288</v>
      </c>
      <c r="K3108" t="s">
        <v>23</v>
      </c>
    </row>
    <row r="3109" spans="1:11">
      <c r="A3109" s="1">
        <v>45442</v>
      </c>
      <c r="B3109" t="s">
        <v>21</v>
      </c>
      <c r="C3109" t="s">
        <v>57</v>
      </c>
      <c r="D3109">
        <v>1149</v>
      </c>
      <c r="E3109">
        <v>335</v>
      </c>
      <c r="F3109">
        <v>268</v>
      </c>
      <c r="G3109">
        <v>135</v>
      </c>
      <c r="H3109">
        <v>1887</v>
      </c>
      <c r="I3109" s="1">
        <v>45413</v>
      </c>
      <c r="J3109">
        <v>403</v>
      </c>
      <c r="K3109" t="s">
        <v>23</v>
      </c>
    </row>
    <row r="3110" spans="1:11">
      <c r="A3110" s="1">
        <v>45442</v>
      </c>
      <c r="B3110" t="s">
        <v>21</v>
      </c>
      <c r="C3110" t="s">
        <v>28</v>
      </c>
      <c r="D3110">
        <v>235</v>
      </c>
      <c r="E3110">
        <v>134</v>
      </c>
      <c r="F3110">
        <v>154</v>
      </c>
      <c r="G3110">
        <v>26</v>
      </c>
      <c r="H3110">
        <v>548</v>
      </c>
      <c r="I3110" s="1">
        <v>45413</v>
      </c>
      <c r="J3110">
        <v>180</v>
      </c>
      <c r="K3110" t="s">
        <v>23</v>
      </c>
    </row>
    <row r="3111" spans="1:11">
      <c r="A3111" s="1">
        <v>45442</v>
      </c>
      <c r="B3111" t="s">
        <v>21</v>
      </c>
      <c r="C3111" t="s">
        <v>47</v>
      </c>
      <c r="D3111">
        <v>583</v>
      </c>
      <c r="E3111">
        <v>84</v>
      </c>
      <c r="F3111">
        <v>24</v>
      </c>
      <c r="G3111">
        <v>24</v>
      </c>
      <c r="H3111">
        <v>716</v>
      </c>
      <c r="I3111" s="1">
        <v>45413</v>
      </c>
      <c r="J3111">
        <v>48</v>
      </c>
      <c r="K3111" t="s">
        <v>23</v>
      </c>
    </row>
    <row r="3112" spans="1:11">
      <c r="A3112" s="1">
        <v>45442</v>
      </c>
      <c r="B3112" t="s">
        <v>21</v>
      </c>
      <c r="C3112" t="s">
        <v>51</v>
      </c>
      <c r="D3112">
        <v>869</v>
      </c>
      <c r="E3112">
        <v>369</v>
      </c>
      <c r="F3112">
        <v>109</v>
      </c>
      <c r="G3112">
        <v>10</v>
      </c>
      <c r="H3112">
        <v>1357</v>
      </c>
      <c r="I3112" s="1">
        <v>45413</v>
      </c>
      <c r="J3112">
        <v>119</v>
      </c>
      <c r="K3112" t="s">
        <v>23</v>
      </c>
    </row>
    <row r="3113" spans="1:11">
      <c r="A3113" s="1">
        <v>45442</v>
      </c>
      <c r="B3113" t="s">
        <v>21</v>
      </c>
      <c r="C3113" t="s">
        <v>45</v>
      </c>
      <c r="D3113">
        <v>766</v>
      </c>
      <c r="E3113">
        <v>337</v>
      </c>
      <c r="F3113">
        <v>205</v>
      </c>
      <c r="G3113">
        <v>58</v>
      </c>
      <c r="H3113">
        <v>1365</v>
      </c>
      <c r="I3113" s="1">
        <v>45413</v>
      </c>
      <c r="J3113">
        <v>263</v>
      </c>
      <c r="K3113" t="s">
        <v>23</v>
      </c>
    </row>
    <row r="3114" spans="1:11">
      <c r="A3114" s="1">
        <v>45442</v>
      </c>
      <c r="B3114" t="s">
        <v>21</v>
      </c>
      <c r="C3114" t="s">
        <v>54</v>
      </c>
      <c r="D3114">
        <v>140</v>
      </c>
      <c r="E3114">
        <v>46</v>
      </c>
      <c r="F3114">
        <v>42</v>
      </c>
      <c r="G3114">
        <v>25</v>
      </c>
      <c r="H3114">
        <v>253</v>
      </c>
      <c r="I3114" s="1">
        <v>45413</v>
      </c>
      <c r="J3114">
        <v>67</v>
      </c>
      <c r="K3114" t="s">
        <v>23</v>
      </c>
    </row>
    <row r="3115" spans="1:11">
      <c r="A3115" s="1">
        <v>45442</v>
      </c>
      <c r="B3115" t="s">
        <v>21</v>
      </c>
      <c r="C3115" t="s">
        <v>52</v>
      </c>
      <c r="D3115">
        <v>2213</v>
      </c>
      <c r="E3115">
        <v>1166</v>
      </c>
      <c r="F3115">
        <v>269</v>
      </c>
      <c r="G3115">
        <v>29</v>
      </c>
      <c r="H3115">
        <v>3677</v>
      </c>
      <c r="I3115" s="1">
        <v>45413</v>
      </c>
      <c r="J3115">
        <v>298</v>
      </c>
      <c r="K3115" t="s">
        <v>23</v>
      </c>
    </row>
    <row r="3116" spans="1:11">
      <c r="A3116" s="1">
        <v>45442</v>
      </c>
      <c r="B3116" t="s">
        <v>21</v>
      </c>
      <c r="C3116" t="s">
        <v>63</v>
      </c>
      <c r="D3116">
        <v>306</v>
      </c>
      <c r="E3116">
        <v>166</v>
      </c>
      <c r="F3116">
        <v>131</v>
      </c>
      <c r="G3116">
        <v>68</v>
      </c>
      <c r="H3116">
        <v>671</v>
      </c>
      <c r="I3116" s="1">
        <v>45413</v>
      </c>
      <c r="J3116">
        <v>199</v>
      </c>
      <c r="K3116" t="s">
        <v>23</v>
      </c>
    </row>
    <row r="3117" spans="1:11">
      <c r="A3117" s="1">
        <v>45442</v>
      </c>
      <c r="B3117" t="s">
        <v>21</v>
      </c>
      <c r="C3117" t="s">
        <v>60</v>
      </c>
      <c r="D3117">
        <v>1361</v>
      </c>
      <c r="E3117">
        <v>140</v>
      </c>
      <c r="F3117">
        <v>37</v>
      </c>
      <c r="G3117">
        <v>73</v>
      </c>
      <c r="H3117">
        <v>1611</v>
      </c>
      <c r="I3117" s="1">
        <v>45413</v>
      </c>
      <c r="J3117">
        <v>110</v>
      </c>
      <c r="K3117" t="s">
        <v>23</v>
      </c>
    </row>
    <row r="3118" spans="1:11">
      <c r="A3118" s="1">
        <v>45442</v>
      </c>
      <c r="B3118" t="s">
        <v>21</v>
      </c>
      <c r="C3118" t="s">
        <v>61</v>
      </c>
      <c r="D3118">
        <v>1596</v>
      </c>
      <c r="E3118">
        <v>738</v>
      </c>
      <c r="F3118">
        <v>372</v>
      </c>
      <c r="G3118">
        <v>288</v>
      </c>
      <c r="H3118">
        <v>2993</v>
      </c>
      <c r="I3118" s="1">
        <v>45413</v>
      </c>
      <c r="J3118">
        <v>660</v>
      </c>
      <c r="K3118" t="s">
        <v>23</v>
      </c>
    </row>
    <row r="3119" spans="1:11">
      <c r="A3119" s="1">
        <v>45442</v>
      </c>
      <c r="B3119" t="s">
        <v>21</v>
      </c>
      <c r="C3119" t="s">
        <v>29</v>
      </c>
      <c r="D3119">
        <v>479</v>
      </c>
      <c r="E3119">
        <v>15</v>
      </c>
      <c r="F3119">
        <v>15</v>
      </c>
      <c r="G3119">
        <v>7</v>
      </c>
      <c r="H3119">
        <v>516</v>
      </c>
      <c r="I3119" s="1">
        <v>45413</v>
      </c>
      <c r="J3119">
        <v>22</v>
      </c>
      <c r="K3119" t="s">
        <v>23</v>
      </c>
    </row>
    <row r="3120" spans="1:11">
      <c r="A3120" s="1">
        <v>45442</v>
      </c>
      <c r="B3120" t="s">
        <v>21</v>
      </c>
      <c r="C3120" t="s">
        <v>44</v>
      </c>
      <c r="D3120">
        <v>731</v>
      </c>
      <c r="E3120">
        <v>307</v>
      </c>
      <c r="F3120">
        <v>60</v>
      </c>
      <c r="G3120">
        <v>13</v>
      </c>
      <c r="H3120">
        <v>1111</v>
      </c>
      <c r="I3120" s="1">
        <v>45413</v>
      </c>
      <c r="J3120">
        <v>73</v>
      </c>
      <c r="K3120" t="s">
        <v>23</v>
      </c>
    </row>
    <row r="3121" spans="1:11">
      <c r="A3121" s="1">
        <v>45442</v>
      </c>
      <c r="B3121" t="s">
        <v>21</v>
      </c>
      <c r="C3121" t="s">
        <v>59</v>
      </c>
      <c r="D3121">
        <v>2757</v>
      </c>
      <c r="E3121">
        <v>783</v>
      </c>
      <c r="F3121">
        <v>283</v>
      </c>
      <c r="G3121">
        <v>140</v>
      </c>
      <c r="H3121">
        <v>3963</v>
      </c>
      <c r="I3121" s="1">
        <v>45413</v>
      </c>
      <c r="J3121">
        <v>423</v>
      </c>
      <c r="K3121" t="s">
        <v>23</v>
      </c>
    </row>
    <row r="3122" spans="1:11">
      <c r="A3122" s="1">
        <v>45442</v>
      </c>
      <c r="B3122" t="s">
        <v>21</v>
      </c>
      <c r="C3122" t="s">
        <v>67</v>
      </c>
      <c r="D3122">
        <v>2163</v>
      </c>
      <c r="E3122">
        <v>1007</v>
      </c>
      <c r="F3122">
        <v>436</v>
      </c>
      <c r="G3122">
        <v>309</v>
      </c>
      <c r="H3122">
        <v>3915</v>
      </c>
      <c r="I3122" s="1">
        <v>45413</v>
      </c>
      <c r="J3122">
        <v>745</v>
      </c>
      <c r="K3122" t="s">
        <v>23</v>
      </c>
    </row>
    <row r="3123" spans="1:11">
      <c r="A3123" s="1">
        <v>45470</v>
      </c>
      <c r="B3123" t="s">
        <v>21</v>
      </c>
      <c r="C3123" t="s">
        <v>64</v>
      </c>
      <c r="D3123">
        <v>19992</v>
      </c>
      <c r="E3123">
        <v>9565</v>
      </c>
      <c r="F3123">
        <v>6420</v>
      </c>
      <c r="G3123">
        <v>5069</v>
      </c>
      <c r="H3123">
        <v>41046</v>
      </c>
      <c r="I3123" s="1">
        <v>45444</v>
      </c>
      <c r="J3123">
        <v>11489</v>
      </c>
      <c r="K3123" t="s">
        <v>23</v>
      </c>
    </row>
    <row r="3124" spans="1:11">
      <c r="A3124" s="1">
        <v>45470</v>
      </c>
      <c r="B3124" t="s">
        <v>21</v>
      </c>
      <c r="C3124" t="s">
        <v>65</v>
      </c>
      <c r="D3124">
        <v>3503</v>
      </c>
      <c r="E3124">
        <v>1550</v>
      </c>
      <c r="F3124">
        <v>629</v>
      </c>
      <c r="G3124">
        <v>354</v>
      </c>
      <c r="H3124">
        <v>6037</v>
      </c>
      <c r="I3124" s="1">
        <v>45444</v>
      </c>
      <c r="J3124">
        <v>983</v>
      </c>
      <c r="K3124" t="s">
        <v>23</v>
      </c>
    </row>
    <row r="3125" spans="1:11">
      <c r="A3125" s="1">
        <v>45470</v>
      </c>
      <c r="B3125" t="s">
        <v>21</v>
      </c>
      <c r="C3125" t="s">
        <v>66</v>
      </c>
      <c r="D3125">
        <v>3151</v>
      </c>
      <c r="E3125">
        <v>1047</v>
      </c>
      <c r="F3125">
        <v>511</v>
      </c>
      <c r="G3125">
        <v>802</v>
      </c>
      <c r="H3125">
        <v>5511</v>
      </c>
      <c r="I3125" s="1">
        <v>45444</v>
      </c>
      <c r="J3125">
        <v>1313</v>
      </c>
      <c r="K3125" t="s">
        <v>23</v>
      </c>
    </row>
    <row r="3126" spans="1:11">
      <c r="A3126" s="1">
        <v>45470</v>
      </c>
      <c r="B3126" t="s">
        <v>21</v>
      </c>
      <c r="C3126" t="s">
        <v>57</v>
      </c>
      <c r="D3126">
        <v>1159</v>
      </c>
      <c r="E3126">
        <v>341</v>
      </c>
      <c r="F3126">
        <v>269</v>
      </c>
      <c r="G3126">
        <v>158</v>
      </c>
      <c r="H3126">
        <v>1926</v>
      </c>
      <c r="I3126" s="1">
        <v>45444</v>
      </c>
      <c r="J3126">
        <v>427</v>
      </c>
      <c r="K3126" t="s">
        <v>23</v>
      </c>
    </row>
    <row r="3127" spans="1:11">
      <c r="A3127" s="1">
        <v>45470</v>
      </c>
      <c r="B3127" t="s">
        <v>21</v>
      </c>
      <c r="C3127" t="s">
        <v>28</v>
      </c>
      <c r="D3127">
        <v>216</v>
      </c>
      <c r="E3127">
        <v>146</v>
      </c>
      <c r="F3127">
        <v>163</v>
      </c>
      <c r="G3127">
        <v>32</v>
      </c>
      <c r="H3127">
        <v>557</v>
      </c>
      <c r="I3127" s="1">
        <v>45444</v>
      </c>
      <c r="J3127">
        <v>195</v>
      </c>
      <c r="K3127" t="s">
        <v>23</v>
      </c>
    </row>
    <row r="3128" spans="1:11">
      <c r="A3128" s="1">
        <v>45470</v>
      </c>
      <c r="B3128" t="s">
        <v>21</v>
      </c>
      <c r="C3128" t="s">
        <v>47</v>
      </c>
      <c r="D3128">
        <v>652</v>
      </c>
      <c r="E3128">
        <v>88</v>
      </c>
      <c r="F3128">
        <v>12</v>
      </c>
      <c r="G3128">
        <v>29</v>
      </c>
      <c r="H3128">
        <v>780</v>
      </c>
      <c r="I3128" s="1">
        <v>45444</v>
      </c>
      <c r="J3128">
        <v>41</v>
      </c>
      <c r="K3128" t="s">
        <v>23</v>
      </c>
    </row>
    <row r="3129" spans="1:11">
      <c r="A3129" s="1">
        <v>45470</v>
      </c>
      <c r="B3129" t="s">
        <v>21</v>
      </c>
      <c r="C3129" t="s">
        <v>51</v>
      </c>
      <c r="D3129">
        <v>894</v>
      </c>
      <c r="E3129">
        <v>302</v>
      </c>
      <c r="F3129">
        <v>96</v>
      </c>
      <c r="G3129">
        <v>5</v>
      </c>
      <c r="H3129">
        <v>1297</v>
      </c>
      <c r="I3129" s="1">
        <v>45444</v>
      </c>
      <c r="J3129">
        <v>101</v>
      </c>
      <c r="K3129" t="s">
        <v>23</v>
      </c>
    </row>
    <row r="3130" spans="1:11">
      <c r="A3130" s="1">
        <v>45470</v>
      </c>
      <c r="B3130" t="s">
        <v>21</v>
      </c>
      <c r="C3130" t="s">
        <v>45</v>
      </c>
      <c r="D3130">
        <v>755</v>
      </c>
      <c r="E3130">
        <v>347</v>
      </c>
      <c r="F3130">
        <v>206</v>
      </c>
      <c r="G3130">
        <v>56</v>
      </c>
      <c r="H3130">
        <v>1365</v>
      </c>
      <c r="I3130" s="1">
        <v>45444</v>
      </c>
      <c r="J3130">
        <v>262</v>
      </c>
      <c r="K3130" t="s">
        <v>23</v>
      </c>
    </row>
    <row r="3131" spans="1:11">
      <c r="A3131" s="1">
        <v>45470</v>
      </c>
      <c r="B3131" t="s">
        <v>21</v>
      </c>
      <c r="C3131" t="s">
        <v>54</v>
      </c>
      <c r="D3131">
        <v>133</v>
      </c>
      <c r="E3131">
        <v>49</v>
      </c>
      <c r="F3131">
        <v>39</v>
      </c>
      <c r="G3131">
        <v>20</v>
      </c>
      <c r="H3131">
        <v>241</v>
      </c>
      <c r="I3131" s="1">
        <v>45444</v>
      </c>
      <c r="J3131">
        <v>59</v>
      </c>
      <c r="K3131" t="s">
        <v>23</v>
      </c>
    </row>
    <row r="3132" spans="1:11">
      <c r="A3132" s="1">
        <v>45470</v>
      </c>
      <c r="B3132" t="s">
        <v>21</v>
      </c>
      <c r="C3132" t="s">
        <v>52</v>
      </c>
      <c r="D3132">
        <v>2230</v>
      </c>
      <c r="E3132">
        <v>1249</v>
      </c>
      <c r="F3132">
        <v>260</v>
      </c>
      <c r="G3132">
        <v>21</v>
      </c>
      <c r="H3132">
        <v>3760</v>
      </c>
      <c r="I3132" s="1">
        <v>45444</v>
      </c>
      <c r="J3132">
        <v>281</v>
      </c>
      <c r="K3132" t="s">
        <v>23</v>
      </c>
    </row>
    <row r="3133" spans="1:11">
      <c r="A3133" s="1">
        <v>45470</v>
      </c>
      <c r="B3133" t="s">
        <v>21</v>
      </c>
      <c r="C3133" t="s">
        <v>63</v>
      </c>
      <c r="D3133">
        <v>288</v>
      </c>
      <c r="E3133">
        <v>148</v>
      </c>
      <c r="F3133">
        <v>120</v>
      </c>
      <c r="G3133">
        <v>63</v>
      </c>
      <c r="H3133">
        <v>619</v>
      </c>
      <c r="I3133" s="1">
        <v>45444</v>
      </c>
      <c r="J3133">
        <v>183</v>
      </c>
      <c r="K3133" t="s">
        <v>23</v>
      </c>
    </row>
    <row r="3134" spans="1:11">
      <c r="A3134" s="1">
        <v>45470</v>
      </c>
      <c r="B3134" t="s">
        <v>21</v>
      </c>
      <c r="C3134" t="s">
        <v>60</v>
      </c>
      <c r="D3134">
        <v>1356</v>
      </c>
      <c r="E3134">
        <v>152</v>
      </c>
      <c r="F3134">
        <v>40</v>
      </c>
      <c r="G3134">
        <v>81</v>
      </c>
      <c r="H3134">
        <v>1629</v>
      </c>
      <c r="I3134" s="1">
        <v>45444</v>
      </c>
      <c r="J3134">
        <v>121</v>
      </c>
      <c r="K3134" t="s">
        <v>23</v>
      </c>
    </row>
    <row r="3135" spans="1:11">
      <c r="A3135" s="1">
        <v>45470</v>
      </c>
      <c r="B3135" t="s">
        <v>21</v>
      </c>
      <c r="C3135" t="s">
        <v>61</v>
      </c>
      <c r="D3135">
        <v>1582</v>
      </c>
      <c r="E3135">
        <v>704</v>
      </c>
      <c r="F3135">
        <v>389</v>
      </c>
      <c r="G3135">
        <v>278</v>
      </c>
      <c r="H3135">
        <v>2953</v>
      </c>
      <c r="I3135" s="1">
        <v>45444</v>
      </c>
      <c r="J3135">
        <v>667</v>
      </c>
      <c r="K3135" t="s">
        <v>23</v>
      </c>
    </row>
    <row r="3136" spans="1:11">
      <c r="A3136" s="1">
        <v>45470</v>
      </c>
      <c r="B3136" t="s">
        <v>21</v>
      </c>
      <c r="C3136" t="s">
        <v>29</v>
      </c>
      <c r="D3136">
        <v>463</v>
      </c>
      <c r="E3136">
        <v>11</v>
      </c>
      <c r="F3136">
        <v>15</v>
      </c>
      <c r="G3136">
        <v>7</v>
      </c>
      <c r="H3136">
        <v>495</v>
      </c>
      <c r="I3136" s="1">
        <v>45444</v>
      </c>
      <c r="J3136">
        <v>22</v>
      </c>
      <c r="K3136" t="s">
        <v>23</v>
      </c>
    </row>
    <row r="3137" spans="1:11">
      <c r="A3137" s="1">
        <v>45470</v>
      </c>
      <c r="B3137" t="s">
        <v>21</v>
      </c>
      <c r="C3137" t="s">
        <v>44</v>
      </c>
      <c r="D3137">
        <v>759</v>
      </c>
      <c r="E3137">
        <v>323</v>
      </c>
      <c r="F3137">
        <v>68</v>
      </c>
      <c r="G3137">
        <v>14</v>
      </c>
      <c r="H3137">
        <v>1164</v>
      </c>
      <c r="I3137" s="1">
        <v>45444</v>
      </c>
      <c r="J3137">
        <v>82</v>
      </c>
      <c r="K3137" t="s">
        <v>23</v>
      </c>
    </row>
    <row r="3138" spans="1:11">
      <c r="A3138" s="1">
        <v>45470</v>
      </c>
      <c r="B3138" t="s">
        <v>21</v>
      </c>
      <c r="C3138" t="s">
        <v>59</v>
      </c>
      <c r="D3138">
        <v>2875</v>
      </c>
      <c r="E3138">
        <v>817</v>
      </c>
      <c r="F3138">
        <v>293</v>
      </c>
      <c r="G3138">
        <v>127</v>
      </c>
      <c r="H3138">
        <v>4111</v>
      </c>
      <c r="I3138" s="1">
        <v>45444</v>
      </c>
      <c r="J3138">
        <v>420</v>
      </c>
      <c r="K3138" t="s">
        <v>23</v>
      </c>
    </row>
    <row r="3139" spans="1:11">
      <c r="A3139" s="1">
        <v>45470</v>
      </c>
      <c r="B3139" t="s">
        <v>21</v>
      </c>
      <c r="C3139" t="s">
        <v>67</v>
      </c>
      <c r="D3139">
        <v>2170</v>
      </c>
      <c r="E3139">
        <v>1011</v>
      </c>
      <c r="F3139">
        <v>470</v>
      </c>
      <c r="G3139">
        <v>329</v>
      </c>
      <c r="H3139">
        <v>3980</v>
      </c>
      <c r="I3139" s="1">
        <v>45444</v>
      </c>
      <c r="J3139">
        <v>799</v>
      </c>
      <c r="K3139" t="s">
        <v>23</v>
      </c>
    </row>
    <row r="3140" spans="1:11">
      <c r="A3140" s="1">
        <v>45498</v>
      </c>
      <c r="B3140" t="s">
        <v>21</v>
      </c>
      <c r="C3140" t="s">
        <v>48</v>
      </c>
      <c r="D3140">
        <v>41</v>
      </c>
      <c r="E3140">
        <v>9</v>
      </c>
      <c r="F3140">
        <v>1</v>
      </c>
      <c r="G3140">
        <v>1</v>
      </c>
      <c r="H3140">
        <v>52</v>
      </c>
      <c r="I3140" s="1">
        <v>45474</v>
      </c>
      <c r="J3140">
        <v>2</v>
      </c>
      <c r="K3140" t="s">
        <v>23</v>
      </c>
    </row>
    <row r="3141" spans="1:11">
      <c r="A3141" s="1">
        <v>45498</v>
      </c>
      <c r="B3141" t="s">
        <v>21</v>
      </c>
      <c r="C3141" t="s">
        <v>64</v>
      </c>
      <c r="D3141">
        <v>19937</v>
      </c>
      <c r="E3141">
        <v>9448</v>
      </c>
      <c r="F3141">
        <v>6569</v>
      </c>
      <c r="G3141">
        <v>4837</v>
      </c>
      <c r="H3141">
        <v>40791</v>
      </c>
      <c r="I3141" s="1">
        <v>45474</v>
      </c>
      <c r="J3141">
        <v>11406</v>
      </c>
      <c r="K3141" t="s">
        <v>23</v>
      </c>
    </row>
    <row r="3142" spans="1:11">
      <c r="A3142" s="1">
        <v>45498</v>
      </c>
      <c r="B3142" t="s">
        <v>21</v>
      </c>
      <c r="C3142" t="s">
        <v>65</v>
      </c>
      <c r="D3142">
        <v>3623</v>
      </c>
      <c r="E3142">
        <v>1563</v>
      </c>
      <c r="F3142">
        <v>647</v>
      </c>
      <c r="G3142">
        <v>362</v>
      </c>
      <c r="H3142">
        <v>6195</v>
      </c>
      <c r="I3142" s="1">
        <v>45474</v>
      </c>
      <c r="J3142">
        <v>1009</v>
      </c>
      <c r="K3142" t="s">
        <v>23</v>
      </c>
    </row>
    <row r="3143" spans="1:11">
      <c r="A3143" s="1">
        <v>45498</v>
      </c>
      <c r="B3143" t="s">
        <v>21</v>
      </c>
      <c r="C3143" t="s">
        <v>66</v>
      </c>
      <c r="D3143">
        <v>3116</v>
      </c>
      <c r="E3143">
        <v>876</v>
      </c>
      <c r="F3143">
        <v>475</v>
      </c>
      <c r="G3143">
        <v>762</v>
      </c>
      <c r="H3143">
        <v>5230</v>
      </c>
      <c r="I3143" s="1">
        <v>45474</v>
      </c>
      <c r="J3143">
        <v>1237</v>
      </c>
      <c r="K3143" t="s">
        <v>23</v>
      </c>
    </row>
    <row r="3144" spans="1:11">
      <c r="A3144" s="1">
        <v>45498</v>
      </c>
      <c r="B3144" t="s">
        <v>21</v>
      </c>
      <c r="C3144" t="s">
        <v>57</v>
      </c>
      <c r="D3144">
        <v>1163</v>
      </c>
      <c r="E3144">
        <v>330</v>
      </c>
      <c r="F3144">
        <v>279</v>
      </c>
      <c r="G3144">
        <v>152</v>
      </c>
      <c r="H3144">
        <v>1924</v>
      </c>
      <c r="I3144" s="1">
        <v>45474</v>
      </c>
      <c r="J3144">
        <v>431</v>
      </c>
      <c r="K3144" t="s">
        <v>23</v>
      </c>
    </row>
    <row r="3145" spans="1:11">
      <c r="A3145" s="1">
        <v>45498</v>
      </c>
      <c r="B3145" t="s">
        <v>21</v>
      </c>
      <c r="C3145" t="s">
        <v>28</v>
      </c>
      <c r="D3145">
        <v>199</v>
      </c>
      <c r="E3145">
        <v>143</v>
      </c>
      <c r="F3145">
        <v>163</v>
      </c>
      <c r="G3145">
        <v>42</v>
      </c>
      <c r="H3145">
        <v>547</v>
      </c>
      <c r="I3145" s="1">
        <v>45474</v>
      </c>
      <c r="J3145">
        <v>205</v>
      </c>
      <c r="K3145" t="s">
        <v>23</v>
      </c>
    </row>
    <row r="3146" spans="1:11">
      <c r="A3146" s="1">
        <v>45498</v>
      </c>
      <c r="B3146" t="s">
        <v>21</v>
      </c>
      <c r="C3146" t="s">
        <v>47</v>
      </c>
      <c r="D3146">
        <v>660</v>
      </c>
      <c r="E3146">
        <v>82</v>
      </c>
      <c r="F3146">
        <v>8</v>
      </c>
      <c r="G3146">
        <v>30</v>
      </c>
      <c r="H3146">
        <v>779</v>
      </c>
      <c r="I3146" s="1">
        <v>45474</v>
      </c>
      <c r="J3146">
        <v>38</v>
      </c>
      <c r="K3146" t="s">
        <v>23</v>
      </c>
    </row>
    <row r="3147" spans="1:11">
      <c r="A3147" s="1">
        <v>45498</v>
      </c>
      <c r="B3147" t="s">
        <v>21</v>
      </c>
      <c r="C3147" t="s">
        <v>51</v>
      </c>
      <c r="D3147">
        <v>871</v>
      </c>
      <c r="E3147">
        <v>318</v>
      </c>
      <c r="F3147">
        <v>91</v>
      </c>
      <c r="G3147">
        <v>5</v>
      </c>
      <c r="H3147">
        <v>1285</v>
      </c>
      <c r="I3147" s="1">
        <v>45474</v>
      </c>
      <c r="J3147">
        <v>96</v>
      </c>
      <c r="K3147" t="s">
        <v>23</v>
      </c>
    </row>
    <row r="3148" spans="1:11">
      <c r="A3148" s="1">
        <v>45498</v>
      </c>
      <c r="B3148" t="s">
        <v>21</v>
      </c>
      <c r="C3148" t="s">
        <v>45</v>
      </c>
      <c r="D3148">
        <v>746</v>
      </c>
      <c r="E3148">
        <v>355</v>
      </c>
      <c r="F3148">
        <v>201</v>
      </c>
      <c r="G3148">
        <v>50</v>
      </c>
      <c r="H3148">
        <v>1353</v>
      </c>
      <c r="I3148" s="1">
        <v>45474</v>
      </c>
      <c r="J3148">
        <v>251</v>
      </c>
      <c r="K3148" t="s">
        <v>23</v>
      </c>
    </row>
    <row r="3149" spans="1:11">
      <c r="A3149" s="1">
        <v>45498</v>
      </c>
      <c r="B3149" t="s">
        <v>21</v>
      </c>
      <c r="C3149" t="s">
        <v>54</v>
      </c>
      <c r="D3149">
        <v>128</v>
      </c>
      <c r="E3149">
        <v>45</v>
      </c>
      <c r="F3149">
        <v>32</v>
      </c>
      <c r="G3149">
        <v>17</v>
      </c>
      <c r="H3149">
        <v>222</v>
      </c>
      <c r="I3149" s="1">
        <v>45474</v>
      </c>
      <c r="J3149">
        <v>49</v>
      </c>
      <c r="K3149" t="s">
        <v>23</v>
      </c>
    </row>
    <row r="3150" spans="1:11">
      <c r="A3150" s="1">
        <v>45498</v>
      </c>
      <c r="B3150" t="s">
        <v>21</v>
      </c>
      <c r="C3150" t="s">
        <v>52</v>
      </c>
      <c r="D3150">
        <v>2145</v>
      </c>
      <c r="E3150">
        <v>1266</v>
      </c>
      <c r="F3150">
        <v>304</v>
      </c>
      <c r="G3150">
        <v>12</v>
      </c>
      <c r="H3150">
        <v>3727</v>
      </c>
      <c r="I3150" s="1">
        <v>45474</v>
      </c>
      <c r="J3150">
        <v>316</v>
      </c>
      <c r="K3150" t="s">
        <v>23</v>
      </c>
    </row>
    <row r="3151" spans="1:11">
      <c r="A3151" s="1">
        <v>45498</v>
      </c>
      <c r="B3151" t="s">
        <v>21</v>
      </c>
      <c r="C3151" t="s">
        <v>31</v>
      </c>
      <c r="D3151">
        <v>144</v>
      </c>
      <c r="E3151">
        <v>36</v>
      </c>
      <c r="F3151">
        <v>12</v>
      </c>
      <c r="G3151">
        <v>8</v>
      </c>
      <c r="H3151">
        <v>200</v>
      </c>
      <c r="I3151" s="1">
        <v>45474</v>
      </c>
      <c r="J3151">
        <v>20</v>
      </c>
      <c r="K3151" t="s">
        <v>23</v>
      </c>
    </row>
    <row r="3152" spans="1:11">
      <c r="A3152" s="1">
        <v>45498</v>
      </c>
      <c r="B3152" t="s">
        <v>21</v>
      </c>
      <c r="C3152" t="s">
        <v>63</v>
      </c>
      <c r="D3152">
        <v>305</v>
      </c>
      <c r="E3152">
        <v>146</v>
      </c>
      <c r="F3152">
        <v>121</v>
      </c>
      <c r="G3152">
        <v>48</v>
      </c>
      <c r="H3152">
        <v>620</v>
      </c>
      <c r="I3152" s="1">
        <v>45474</v>
      </c>
      <c r="J3152">
        <v>169</v>
      </c>
      <c r="K3152" t="s">
        <v>23</v>
      </c>
    </row>
    <row r="3153" spans="1:11">
      <c r="A3153" s="1">
        <v>45498</v>
      </c>
      <c r="B3153" t="s">
        <v>21</v>
      </c>
      <c r="C3153" t="s">
        <v>60</v>
      </c>
      <c r="D3153">
        <v>1404</v>
      </c>
      <c r="E3153">
        <v>163</v>
      </c>
      <c r="F3153">
        <v>47</v>
      </c>
      <c r="G3153">
        <v>85</v>
      </c>
      <c r="H3153">
        <v>1700</v>
      </c>
      <c r="I3153" s="1">
        <v>45474</v>
      </c>
      <c r="J3153">
        <v>132</v>
      </c>
      <c r="K3153" t="s">
        <v>23</v>
      </c>
    </row>
    <row r="3154" spans="1:11">
      <c r="A3154" s="1">
        <v>45498</v>
      </c>
      <c r="B3154" t="s">
        <v>21</v>
      </c>
      <c r="C3154" t="s">
        <v>61</v>
      </c>
      <c r="D3154">
        <v>1576</v>
      </c>
      <c r="E3154">
        <v>663</v>
      </c>
      <c r="F3154">
        <v>394</v>
      </c>
      <c r="G3154">
        <v>305</v>
      </c>
      <c r="H3154">
        <v>2938</v>
      </c>
      <c r="I3154" s="1">
        <v>45474</v>
      </c>
      <c r="J3154">
        <v>699</v>
      </c>
      <c r="K3154" t="s">
        <v>23</v>
      </c>
    </row>
    <row r="3155" spans="1:11">
      <c r="A3155" s="1">
        <v>45498</v>
      </c>
      <c r="B3155" t="s">
        <v>21</v>
      </c>
      <c r="C3155" t="s">
        <v>29</v>
      </c>
      <c r="D3155">
        <v>478</v>
      </c>
      <c r="E3155">
        <v>13</v>
      </c>
      <c r="F3155">
        <v>17</v>
      </c>
      <c r="G3155">
        <v>7</v>
      </c>
      <c r="H3155">
        <v>515</v>
      </c>
      <c r="I3155" s="1">
        <v>45474</v>
      </c>
      <c r="J3155">
        <v>24</v>
      </c>
      <c r="K3155" t="s">
        <v>23</v>
      </c>
    </row>
    <row r="3156" spans="1:11">
      <c r="A3156" s="1">
        <v>45498</v>
      </c>
      <c r="B3156" t="s">
        <v>21</v>
      </c>
      <c r="C3156" t="s">
        <v>44</v>
      </c>
      <c r="D3156">
        <v>758</v>
      </c>
      <c r="E3156">
        <v>309</v>
      </c>
      <c r="F3156">
        <v>75</v>
      </c>
      <c r="G3156">
        <v>16</v>
      </c>
      <c r="H3156">
        <v>1158</v>
      </c>
      <c r="I3156" s="1">
        <v>45474</v>
      </c>
      <c r="J3156">
        <v>91</v>
      </c>
      <c r="K3156" t="s">
        <v>23</v>
      </c>
    </row>
    <row r="3157" spans="1:11">
      <c r="A3157" s="1">
        <v>45498</v>
      </c>
      <c r="B3157" t="s">
        <v>21</v>
      </c>
      <c r="C3157" t="s">
        <v>59</v>
      </c>
      <c r="D3157">
        <v>2754</v>
      </c>
      <c r="E3157">
        <v>845</v>
      </c>
      <c r="F3157">
        <v>309</v>
      </c>
      <c r="G3157">
        <v>103</v>
      </c>
      <c r="H3157">
        <v>4010</v>
      </c>
      <c r="I3157" s="1">
        <v>45474</v>
      </c>
      <c r="J3157">
        <v>412</v>
      </c>
      <c r="K3157" t="s">
        <v>23</v>
      </c>
    </row>
    <row r="3158" spans="1:11">
      <c r="A3158" s="1">
        <v>45498</v>
      </c>
      <c r="B3158" t="s">
        <v>21</v>
      </c>
      <c r="C3158" t="s">
        <v>67</v>
      </c>
      <c r="D3158">
        <v>2146</v>
      </c>
      <c r="E3158">
        <v>1032</v>
      </c>
      <c r="F3158">
        <v>504</v>
      </c>
      <c r="G3158">
        <v>315</v>
      </c>
      <c r="H3158">
        <v>3997</v>
      </c>
      <c r="I3158" s="1">
        <v>45474</v>
      </c>
      <c r="J3158">
        <v>819</v>
      </c>
      <c r="K3158" t="s">
        <v>23</v>
      </c>
    </row>
    <row r="3159" spans="1:11">
      <c r="A3159" s="1">
        <v>45533</v>
      </c>
      <c r="B3159" t="s">
        <v>21</v>
      </c>
      <c r="C3159" t="s">
        <v>64</v>
      </c>
      <c r="D3159">
        <v>19697</v>
      </c>
      <c r="E3159">
        <v>9992</v>
      </c>
      <c r="F3159">
        <v>6319</v>
      </c>
      <c r="G3159">
        <v>4821</v>
      </c>
      <c r="H3159">
        <v>40829</v>
      </c>
      <c r="I3159" s="1">
        <v>45505</v>
      </c>
      <c r="J3159">
        <v>11140</v>
      </c>
      <c r="K3159" t="s">
        <v>23</v>
      </c>
    </row>
    <row r="3160" spans="1:11">
      <c r="A3160" s="1">
        <v>45533</v>
      </c>
      <c r="B3160" t="s">
        <v>21</v>
      </c>
      <c r="C3160" t="s">
        <v>65</v>
      </c>
      <c r="D3160">
        <v>3415</v>
      </c>
      <c r="E3160">
        <v>1645</v>
      </c>
      <c r="F3160">
        <v>593</v>
      </c>
      <c r="G3160">
        <v>390</v>
      </c>
      <c r="H3160">
        <v>6043</v>
      </c>
      <c r="I3160" s="1">
        <v>45505</v>
      </c>
      <c r="J3160">
        <v>983</v>
      </c>
      <c r="K3160" t="s">
        <v>23</v>
      </c>
    </row>
    <row r="3161" spans="1:11">
      <c r="A3161" s="1">
        <v>45533</v>
      </c>
      <c r="B3161" t="s">
        <v>21</v>
      </c>
      <c r="C3161" t="s">
        <v>27</v>
      </c>
      <c r="D3161">
        <v>205</v>
      </c>
      <c r="E3161">
        <v>16</v>
      </c>
      <c r="F3161">
        <v>3</v>
      </c>
      <c r="G3161">
        <v>3</v>
      </c>
      <c r="H3161">
        <v>227</v>
      </c>
      <c r="I3161" s="1">
        <v>45505</v>
      </c>
      <c r="J3161">
        <v>6</v>
      </c>
      <c r="K3161" t="s">
        <v>23</v>
      </c>
    </row>
    <row r="3162" spans="1:11">
      <c r="A3162" s="1">
        <v>45533</v>
      </c>
      <c r="B3162" t="s">
        <v>21</v>
      </c>
      <c r="C3162" t="s">
        <v>66</v>
      </c>
      <c r="D3162">
        <v>3040</v>
      </c>
      <c r="E3162">
        <v>916</v>
      </c>
      <c r="F3162">
        <v>476</v>
      </c>
      <c r="G3162">
        <v>742</v>
      </c>
      <c r="H3162">
        <v>5174</v>
      </c>
      <c r="I3162" s="1">
        <v>45505</v>
      </c>
      <c r="J3162">
        <v>1218</v>
      </c>
      <c r="K3162" t="s">
        <v>23</v>
      </c>
    </row>
    <row r="3163" spans="1:11">
      <c r="A3163" s="1">
        <v>45533</v>
      </c>
      <c r="B3163" t="s">
        <v>21</v>
      </c>
      <c r="C3163" t="s">
        <v>57</v>
      </c>
      <c r="D3163">
        <v>1090</v>
      </c>
      <c r="E3163">
        <v>340</v>
      </c>
      <c r="F3163">
        <v>253</v>
      </c>
      <c r="G3163">
        <v>141</v>
      </c>
      <c r="H3163">
        <v>1824</v>
      </c>
      <c r="I3163" s="1">
        <v>45505</v>
      </c>
      <c r="J3163">
        <v>394</v>
      </c>
      <c r="K3163" t="s">
        <v>23</v>
      </c>
    </row>
    <row r="3164" spans="1:11">
      <c r="A3164" s="1">
        <v>45533</v>
      </c>
      <c r="B3164" t="s">
        <v>21</v>
      </c>
      <c r="C3164" t="s">
        <v>28</v>
      </c>
      <c r="D3164">
        <v>165</v>
      </c>
      <c r="E3164">
        <v>151</v>
      </c>
      <c r="F3164">
        <v>147</v>
      </c>
      <c r="G3164">
        <v>66</v>
      </c>
      <c r="H3164">
        <v>528</v>
      </c>
      <c r="I3164" s="1">
        <v>45505</v>
      </c>
      <c r="J3164">
        <v>213</v>
      </c>
      <c r="K3164" t="s">
        <v>23</v>
      </c>
    </row>
    <row r="3165" spans="1:11">
      <c r="A3165" s="1">
        <v>45533</v>
      </c>
      <c r="B3165" t="s">
        <v>21</v>
      </c>
      <c r="C3165" t="s">
        <v>47</v>
      </c>
      <c r="D3165">
        <v>578</v>
      </c>
      <c r="E3165">
        <v>90</v>
      </c>
      <c r="F3165">
        <v>12</v>
      </c>
      <c r="G3165">
        <v>31</v>
      </c>
      <c r="H3165">
        <v>711</v>
      </c>
      <c r="I3165" s="1">
        <v>45505</v>
      </c>
      <c r="J3165">
        <v>43</v>
      </c>
      <c r="K3165" t="s">
        <v>23</v>
      </c>
    </row>
    <row r="3166" spans="1:11">
      <c r="A3166" s="1">
        <v>45533</v>
      </c>
      <c r="B3166" t="s">
        <v>21</v>
      </c>
      <c r="C3166" t="s">
        <v>51</v>
      </c>
      <c r="D3166">
        <v>847</v>
      </c>
      <c r="E3166">
        <v>324</v>
      </c>
      <c r="F3166">
        <v>83</v>
      </c>
      <c r="G3166">
        <v>9</v>
      </c>
      <c r="H3166">
        <v>1263</v>
      </c>
      <c r="I3166" s="1">
        <v>45505</v>
      </c>
      <c r="J3166">
        <v>92</v>
      </c>
      <c r="K3166" t="s">
        <v>23</v>
      </c>
    </row>
    <row r="3167" spans="1:11">
      <c r="A3167" s="1">
        <v>45533</v>
      </c>
      <c r="B3167" t="s">
        <v>21</v>
      </c>
      <c r="C3167" t="s">
        <v>45</v>
      </c>
      <c r="D3167">
        <v>818</v>
      </c>
      <c r="E3167">
        <v>427</v>
      </c>
      <c r="F3167">
        <v>199</v>
      </c>
      <c r="G3167">
        <v>56</v>
      </c>
      <c r="H3167">
        <v>1500</v>
      </c>
      <c r="I3167" s="1">
        <v>45505</v>
      </c>
      <c r="J3167">
        <v>255</v>
      </c>
      <c r="K3167" t="s">
        <v>23</v>
      </c>
    </row>
    <row r="3168" spans="1:11">
      <c r="A3168" s="1">
        <v>45533</v>
      </c>
      <c r="B3168" t="s">
        <v>21</v>
      </c>
      <c r="C3168" t="s">
        <v>54</v>
      </c>
      <c r="D3168">
        <v>124</v>
      </c>
      <c r="E3168">
        <v>40</v>
      </c>
      <c r="F3168">
        <v>19</v>
      </c>
      <c r="G3168">
        <v>18</v>
      </c>
      <c r="H3168">
        <v>201</v>
      </c>
      <c r="I3168" s="1">
        <v>45505</v>
      </c>
      <c r="J3168">
        <v>37</v>
      </c>
      <c r="K3168" t="s">
        <v>23</v>
      </c>
    </row>
    <row r="3169" spans="1:11">
      <c r="A3169" s="1">
        <v>45533</v>
      </c>
      <c r="B3169" t="s">
        <v>21</v>
      </c>
      <c r="C3169" t="s">
        <v>52</v>
      </c>
      <c r="D3169">
        <v>2007</v>
      </c>
      <c r="E3169">
        <v>1274</v>
      </c>
      <c r="F3169">
        <v>344</v>
      </c>
      <c r="G3169">
        <v>13</v>
      </c>
      <c r="H3169">
        <v>3639</v>
      </c>
      <c r="I3169" s="1">
        <v>45505</v>
      </c>
      <c r="J3169">
        <v>357</v>
      </c>
      <c r="K3169" t="s">
        <v>23</v>
      </c>
    </row>
    <row r="3170" spans="1:11">
      <c r="A3170" s="1">
        <v>45533</v>
      </c>
      <c r="B3170" t="s">
        <v>21</v>
      </c>
      <c r="C3170" t="s">
        <v>31</v>
      </c>
      <c r="D3170">
        <v>154</v>
      </c>
      <c r="E3170">
        <v>43</v>
      </c>
      <c r="F3170">
        <v>11</v>
      </c>
      <c r="G3170">
        <v>10</v>
      </c>
      <c r="H3170">
        <v>219</v>
      </c>
      <c r="I3170" s="1">
        <v>45505</v>
      </c>
      <c r="J3170">
        <v>21</v>
      </c>
      <c r="K3170" t="s">
        <v>23</v>
      </c>
    </row>
    <row r="3171" spans="1:11">
      <c r="A3171" s="1">
        <v>45533</v>
      </c>
      <c r="B3171" t="s">
        <v>21</v>
      </c>
      <c r="C3171" t="s">
        <v>63</v>
      </c>
      <c r="D3171">
        <v>301</v>
      </c>
      <c r="E3171">
        <v>145</v>
      </c>
      <c r="F3171">
        <v>129</v>
      </c>
      <c r="G3171">
        <v>45</v>
      </c>
      <c r="H3171">
        <v>620</v>
      </c>
      <c r="I3171" s="1">
        <v>45505</v>
      </c>
      <c r="J3171">
        <v>174</v>
      </c>
      <c r="K3171" t="s">
        <v>23</v>
      </c>
    </row>
    <row r="3172" spans="1:11">
      <c r="A3172" s="1">
        <v>45533</v>
      </c>
      <c r="B3172" t="s">
        <v>21</v>
      </c>
      <c r="C3172" t="s">
        <v>60</v>
      </c>
      <c r="D3172">
        <v>1359</v>
      </c>
      <c r="E3172">
        <v>175</v>
      </c>
      <c r="F3172">
        <v>48</v>
      </c>
      <c r="G3172">
        <v>87</v>
      </c>
      <c r="H3172">
        <v>1669</v>
      </c>
      <c r="I3172" s="1">
        <v>45505</v>
      </c>
      <c r="J3172">
        <v>135</v>
      </c>
      <c r="K3172" t="s">
        <v>23</v>
      </c>
    </row>
    <row r="3173" spans="1:11">
      <c r="A3173" s="1">
        <v>45533</v>
      </c>
      <c r="B3173" t="s">
        <v>21</v>
      </c>
      <c r="C3173" t="s">
        <v>61</v>
      </c>
      <c r="D3173">
        <v>1568</v>
      </c>
      <c r="E3173">
        <v>697</v>
      </c>
      <c r="F3173">
        <v>365</v>
      </c>
      <c r="G3173">
        <v>313</v>
      </c>
      <c r="H3173">
        <v>2942</v>
      </c>
      <c r="I3173" s="1">
        <v>45505</v>
      </c>
      <c r="J3173">
        <v>678</v>
      </c>
      <c r="K3173" t="s">
        <v>23</v>
      </c>
    </row>
    <row r="3174" spans="1:11">
      <c r="A3174" s="1">
        <v>45533</v>
      </c>
      <c r="B3174" t="s">
        <v>21</v>
      </c>
      <c r="C3174" t="s">
        <v>29</v>
      </c>
      <c r="D3174">
        <v>438</v>
      </c>
      <c r="E3174">
        <v>14</v>
      </c>
      <c r="F3174">
        <v>14</v>
      </c>
      <c r="G3174">
        <v>9</v>
      </c>
      <c r="H3174">
        <v>475</v>
      </c>
      <c r="I3174" s="1">
        <v>45505</v>
      </c>
      <c r="J3174">
        <v>23</v>
      </c>
      <c r="K3174" t="s">
        <v>23</v>
      </c>
    </row>
    <row r="3175" spans="1:11">
      <c r="A3175" s="1">
        <v>45533</v>
      </c>
      <c r="B3175" t="s">
        <v>21</v>
      </c>
      <c r="C3175" t="s">
        <v>44</v>
      </c>
      <c r="D3175">
        <v>707</v>
      </c>
      <c r="E3175">
        <v>359</v>
      </c>
      <c r="F3175">
        <v>74</v>
      </c>
      <c r="G3175">
        <v>24</v>
      </c>
      <c r="H3175">
        <v>1163</v>
      </c>
      <c r="I3175" s="1">
        <v>45505</v>
      </c>
      <c r="J3175">
        <v>98</v>
      </c>
      <c r="K3175" t="s">
        <v>23</v>
      </c>
    </row>
    <row r="3176" spans="1:11">
      <c r="A3176" s="1">
        <v>45533</v>
      </c>
      <c r="B3176" t="s">
        <v>21</v>
      </c>
      <c r="C3176" t="s">
        <v>59</v>
      </c>
      <c r="D3176">
        <v>2728</v>
      </c>
      <c r="E3176">
        <v>993</v>
      </c>
      <c r="F3176">
        <v>313</v>
      </c>
      <c r="G3176">
        <v>77</v>
      </c>
      <c r="H3176">
        <v>4112</v>
      </c>
      <c r="I3176" s="1">
        <v>45505</v>
      </c>
      <c r="J3176">
        <v>390</v>
      </c>
      <c r="K3176" t="s">
        <v>23</v>
      </c>
    </row>
    <row r="3177" spans="1:11">
      <c r="A3177" s="1">
        <v>45533</v>
      </c>
      <c r="B3177" t="s">
        <v>21</v>
      </c>
      <c r="C3177" t="s">
        <v>67</v>
      </c>
      <c r="D3177">
        <v>2099</v>
      </c>
      <c r="E3177">
        <v>1070</v>
      </c>
      <c r="F3177">
        <v>482</v>
      </c>
      <c r="G3177">
        <v>342</v>
      </c>
      <c r="H3177">
        <v>3994</v>
      </c>
      <c r="I3177" s="1">
        <v>45505</v>
      </c>
      <c r="J3177">
        <v>824</v>
      </c>
      <c r="K3177" t="s">
        <v>23</v>
      </c>
    </row>
    <row r="3178" spans="1:11">
      <c r="A3178" s="1">
        <v>45561</v>
      </c>
      <c r="B3178" t="s">
        <v>21</v>
      </c>
      <c r="C3178" t="s">
        <v>48</v>
      </c>
      <c r="D3178">
        <v>49</v>
      </c>
      <c r="E3178">
        <v>15</v>
      </c>
      <c r="F3178">
        <v>0</v>
      </c>
      <c r="G3178">
        <v>1</v>
      </c>
      <c r="H3178">
        <v>65</v>
      </c>
      <c r="I3178" s="1">
        <v>45536</v>
      </c>
      <c r="J3178">
        <v>1</v>
      </c>
      <c r="K3178" t="s">
        <v>23</v>
      </c>
    </row>
    <row r="3179" spans="1:11">
      <c r="A3179" s="1">
        <v>45561</v>
      </c>
      <c r="B3179" t="s">
        <v>21</v>
      </c>
      <c r="C3179" t="s">
        <v>64</v>
      </c>
      <c r="D3179">
        <v>19220</v>
      </c>
      <c r="E3179">
        <v>10126</v>
      </c>
      <c r="F3179">
        <v>6254</v>
      </c>
      <c r="G3179">
        <v>4704</v>
      </c>
      <c r="H3179">
        <v>40304</v>
      </c>
      <c r="I3179" s="1">
        <v>45536</v>
      </c>
      <c r="J3179">
        <v>10958</v>
      </c>
      <c r="K3179" t="s">
        <v>23</v>
      </c>
    </row>
    <row r="3180" spans="1:11">
      <c r="A3180" s="1">
        <v>45561</v>
      </c>
      <c r="B3180" t="s">
        <v>21</v>
      </c>
      <c r="C3180" t="s">
        <v>65</v>
      </c>
      <c r="D3180">
        <v>3226</v>
      </c>
      <c r="E3180">
        <v>1680</v>
      </c>
      <c r="F3180">
        <v>546</v>
      </c>
      <c r="G3180">
        <v>432</v>
      </c>
      <c r="H3180">
        <v>5884</v>
      </c>
      <c r="I3180" s="1">
        <v>45536</v>
      </c>
      <c r="J3180">
        <v>978</v>
      </c>
      <c r="K3180" t="s">
        <v>23</v>
      </c>
    </row>
    <row r="3181" spans="1:11">
      <c r="A3181" s="1">
        <v>45561</v>
      </c>
      <c r="B3181" t="s">
        <v>21</v>
      </c>
      <c r="C3181" t="s">
        <v>27</v>
      </c>
      <c r="D3181">
        <v>188</v>
      </c>
      <c r="E3181">
        <v>16</v>
      </c>
      <c r="F3181">
        <v>3</v>
      </c>
      <c r="G3181">
        <v>3</v>
      </c>
      <c r="H3181">
        <v>210</v>
      </c>
      <c r="I3181" s="1">
        <v>45536</v>
      </c>
      <c r="J3181">
        <v>6</v>
      </c>
      <c r="K3181" t="s">
        <v>23</v>
      </c>
    </row>
    <row r="3182" spans="1:11">
      <c r="A3182" s="1">
        <v>45561</v>
      </c>
      <c r="B3182" t="s">
        <v>21</v>
      </c>
      <c r="C3182" t="s">
        <v>66</v>
      </c>
      <c r="D3182">
        <v>2927</v>
      </c>
      <c r="E3182">
        <v>848</v>
      </c>
      <c r="F3182">
        <v>491</v>
      </c>
      <c r="G3182">
        <v>714</v>
      </c>
      <c r="H3182">
        <v>4980</v>
      </c>
      <c r="I3182" s="1">
        <v>45536</v>
      </c>
      <c r="J3182">
        <v>1205</v>
      </c>
      <c r="K3182" t="s">
        <v>23</v>
      </c>
    </row>
    <row r="3183" spans="1:11">
      <c r="A3183" s="1">
        <v>45561</v>
      </c>
      <c r="B3183" t="s">
        <v>21</v>
      </c>
      <c r="C3183" t="s">
        <v>57</v>
      </c>
      <c r="D3183">
        <v>1046</v>
      </c>
      <c r="E3183">
        <v>386</v>
      </c>
      <c r="F3183">
        <v>185</v>
      </c>
      <c r="G3183">
        <v>86</v>
      </c>
      <c r="H3183">
        <v>1703</v>
      </c>
      <c r="I3183" s="1">
        <v>45536</v>
      </c>
      <c r="J3183">
        <v>271</v>
      </c>
      <c r="K3183" t="s">
        <v>23</v>
      </c>
    </row>
    <row r="3184" spans="1:11">
      <c r="A3184" s="1">
        <v>45561</v>
      </c>
      <c r="B3184" t="s">
        <v>21</v>
      </c>
      <c r="C3184" t="s">
        <v>28</v>
      </c>
      <c r="D3184">
        <v>132</v>
      </c>
      <c r="E3184">
        <v>167</v>
      </c>
      <c r="F3184">
        <v>144</v>
      </c>
      <c r="G3184">
        <v>83</v>
      </c>
      <c r="H3184">
        <v>526</v>
      </c>
      <c r="I3184" s="1">
        <v>45536</v>
      </c>
      <c r="J3184">
        <v>227</v>
      </c>
      <c r="K3184" t="s">
        <v>23</v>
      </c>
    </row>
    <row r="3185" spans="1:11">
      <c r="A3185" s="1">
        <v>45561</v>
      </c>
      <c r="B3185" t="s">
        <v>21</v>
      </c>
      <c r="C3185" t="s">
        <v>47</v>
      </c>
      <c r="D3185">
        <v>582</v>
      </c>
      <c r="E3185">
        <v>85</v>
      </c>
      <c r="F3185">
        <v>14</v>
      </c>
      <c r="G3185">
        <v>49</v>
      </c>
      <c r="H3185">
        <v>731</v>
      </c>
      <c r="I3185" s="1">
        <v>45536</v>
      </c>
      <c r="J3185">
        <v>63</v>
      </c>
      <c r="K3185" t="s">
        <v>23</v>
      </c>
    </row>
    <row r="3186" spans="1:11">
      <c r="A3186" s="1">
        <v>45561</v>
      </c>
      <c r="B3186" t="s">
        <v>21</v>
      </c>
      <c r="C3186" t="s">
        <v>51</v>
      </c>
      <c r="D3186">
        <v>814</v>
      </c>
      <c r="E3186">
        <v>329</v>
      </c>
      <c r="F3186">
        <v>99</v>
      </c>
      <c r="G3186">
        <v>10</v>
      </c>
      <c r="H3186">
        <v>1251</v>
      </c>
      <c r="I3186" s="1">
        <v>45536</v>
      </c>
      <c r="J3186">
        <v>109</v>
      </c>
      <c r="K3186" t="s">
        <v>23</v>
      </c>
    </row>
    <row r="3187" spans="1:11">
      <c r="A3187" s="1">
        <v>45561</v>
      </c>
      <c r="B3187" t="s">
        <v>21</v>
      </c>
      <c r="C3187" t="s">
        <v>45</v>
      </c>
      <c r="D3187">
        <v>786</v>
      </c>
      <c r="E3187">
        <v>416</v>
      </c>
      <c r="F3187">
        <v>174</v>
      </c>
      <c r="G3187">
        <v>34</v>
      </c>
      <c r="H3187">
        <v>1410</v>
      </c>
      <c r="I3187" s="1">
        <v>45536</v>
      </c>
      <c r="J3187">
        <v>208</v>
      </c>
      <c r="K3187" t="s">
        <v>23</v>
      </c>
    </row>
    <row r="3188" spans="1:11">
      <c r="A3188" s="1">
        <v>45561</v>
      </c>
      <c r="B3188" t="s">
        <v>21</v>
      </c>
      <c r="C3188" t="s">
        <v>54</v>
      </c>
      <c r="D3188">
        <v>120</v>
      </c>
      <c r="E3188">
        <v>42</v>
      </c>
      <c r="F3188">
        <v>14</v>
      </c>
      <c r="G3188">
        <v>15</v>
      </c>
      <c r="H3188">
        <v>191</v>
      </c>
      <c r="I3188" s="1">
        <v>45536</v>
      </c>
      <c r="J3188">
        <v>29</v>
      </c>
      <c r="K3188" t="s">
        <v>23</v>
      </c>
    </row>
    <row r="3189" spans="1:11">
      <c r="A3189" s="1">
        <v>45561</v>
      </c>
      <c r="B3189" t="s">
        <v>21</v>
      </c>
      <c r="C3189" t="s">
        <v>52</v>
      </c>
      <c r="D3189">
        <v>1945</v>
      </c>
      <c r="E3189">
        <v>1237</v>
      </c>
      <c r="F3189">
        <v>399</v>
      </c>
      <c r="G3189">
        <v>4</v>
      </c>
      <c r="H3189">
        <v>3585</v>
      </c>
      <c r="I3189" s="1">
        <v>45536</v>
      </c>
      <c r="J3189">
        <v>403</v>
      </c>
      <c r="K3189" t="s">
        <v>23</v>
      </c>
    </row>
    <row r="3190" spans="1:11">
      <c r="A3190" s="1">
        <v>45561</v>
      </c>
      <c r="B3190" t="s">
        <v>21</v>
      </c>
      <c r="C3190" t="s">
        <v>31</v>
      </c>
      <c r="D3190">
        <v>135</v>
      </c>
      <c r="E3190">
        <v>55</v>
      </c>
      <c r="F3190">
        <v>16</v>
      </c>
      <c r="G3190">
        <v>9</v>
      </c>
      <c r="H3190">
        <v>215</v>
      </c>
      <c r="I3190" s="1">
        <v>45536</v>
      </c>
      <c r="J3190">
        <v>25</v>
      </c>
      <c r="K3190" t="s">
        <v>23</v>
      </c>
    </row>
    <row r="3191" spans="1:11">
      <c r="A3191" s="1">
        <v>45561</v>
      </c>
      <c r="B3191" t="s">
        <v>21</v>
      </c>
      <c r="C3191" t="s">
        <v>63</v>
      </c>
      <c r="D3191">
        <v>265</v>
      </c>
      <c r="E3191">
        <v>143</v>
      </c>
      <c r="F3191">
        <v>117</v>
      </c>
      <c r="G3191">
        <v>61</v>
      </c>
      <c r="H3191">
        <v>586</v>
      </c>
      <c r="I3191" s="1">
        <v>45536</v>
      </c>
      <c r="J3191">
        <v>178</v>
      </c>
      <c r="K3191" t="s">
        <v>23</v>
      </c>
    </row>
    <row r="3192" spans="1:11">
      <c r="A3192" s="1">
        <v>45561</v>
      </c>
      <c r="B3192" t="s">
        <v>21</v>
      </c>
      <c r="C3192" t="s">
        <v>60</v>
      </c>
      <c r="D3192">
        <v>1276</v>
      </c>
      <c r="E3192">
        <v>180</v>
      </c>
      <c r="F3192">
        <v>57</v>
      </c>
      <c r="G3192">
        <v>92</v>
      </c>
      <c r="H3192">
        <v>1605</v>
      </c>
      <c r="I3192" s="1">
        <v>45536</v>
      </c>
      <c r="J3192">
        <v>149</v>
      </c>
      <c r="K3192" t="s">
        <v>23</v>
      </c>
    </row>
    <row r="3193" spans="1:11">
      <c r="A3193" s="1">
        <v>45561</v>
      </c>
      <c r="B3193" t="s">
        <v>21</v>
      </c>
      <c r="C3193" t="s">
        <v>61</v>
      </c>
      <c r="D3193">
        <v>1596</v>
      </c>
      <c r="E3193">
        <v>723</v>
      </c>
      <c r="F3193">
        <v>324</v>
      </c>
      <c r="G3193">
        <v>308</v>
      </c>
      <c r="H3193">
        <v>2950</v>
      </c>
      <c r="I3193" s="1">
        <v>45536</v>
      </c>
      <c r="J3193">
        <v>632</v>
      </c>
      <c r="K3193" t="s">
        <v>23</v>
      </c>
    </row>
    <row r="3194" spans="1:11">
      <c r="A3194" s="1">
        <v>45561</v>
      </c>
      <c r="B3194" t="s">
        <v>21</v>
      </c>
      <c r="C3194" t="s">
        <v>29</v>
      </c>
      <c r="D3194">
        <v>421</v>
      </c>
      <c r="E3194">
        <v>13</v>
      </c>
      <c r="F3194">
        <v>14</v>
      </c>
      <c r="G3194">
        <v>12</v>
      </c>
      <c r="H3194">
        <v>460</v>
      </c>
      <c r="I3194" s="1">
        <v>45536</v>
      </c>
      <c r="J3194">
        <v>26</v>
      </c>
      <c r="K3194" t="s">
        <v>23</v>
      </c>
    </row>
    <row r="3195" spans="1:11">
      <c r="A3195" s="1">
        <v>45561</v>
      </c>
      <c r="B3195" t="s">
        <v>21</v>
      </c>
      <c r="C3195" t="s">
        <v>44</v>
      </c>
      <c r="D3195">
        <v>709</v>
      </c>
      <c r="E3195">
        <v>389</v>
      </c>
      <c r="F3195">
        <v>75</v>
      </c>
      <c r="G3195">
        <v>30</v>
      </c>
      <c r="H3195">
        <v>1203</v>
      </c>
      <c r="I3195" s="1">
        <v>45536</v>
      </c>
      <c r="J3195">
        <v>105</v>
      </c>
      <c r="K3195" t="s">
        <v>23</v>
      </c>
    </row>
    <row r="3196" spans="1:11">
      <c r="A3196" s="1">
        <v>45561</v>
      </c>
      <c r="B3196" t="s">
        <v>21</v>
      </c>
      <c r="C3196" t="s">
        <v>59</v>
      </c>
      <c r="D3196">
        <v>2612</v>
      </c>
      <c r="E3196">
        <v>1137</v>
      </c>
      <c r="F3196">
        <v>312</v>
      </c>
      <c r="G3196">
        <v>88</v>
      </c>
      <c r="H3196">
        <v>4149</v>
      </c>
      <c r="I3196" s="1">
        <v>45536</v>
      </c>
      <c r="J3196">
        <v>400</v>
      </c>
      <c r="K3196" t="s">
        <v>23</v>
      </c>
    </row>
    <row r="3197" spans="1:11">
      <c r="A3197" s="1">
        <v>45561</v>
      </c>
      <c r="B3197" t="s">
        <v>21</v>
      </c>
      <c r="C3197" t="s">
        <v>67</v>
      </c>
      <c r="D3197">
        <v>2038</v>
      </c>
      <c r="E3197">
        <v>1062</v>
      </c>
      <c r="F3197">
        <v>451</v>
      </c>
      <c r="G3197">
        <v>345</v>
      </c>
      <c r="H3197">
        <v>3895</v>
      </c>
      <c r="I3197" s="1">
        <v>45536</v>
      </c>
      <c r="J3197">
        <v>796</v>
      </c>
      <c r="K3197" t="s">
        <v>23</v>
      </c>
    </row>
    <row r="3198" spans="1:11">
      <c r="A3198" s="1">
        <v>45596</v>
      </c>
      <c r="B3198" t="s">
        <v>21</v>
      </c>
      <c r="C3198" t="s">
        <v>64</v>
      </c>
      <c r="D3198">
        <v>18802</v>
      </c>
      <c r="E3198">
        <v>10130</v>
      </c>
      <c r="F3198">
        <v>5642</v>
      </c>
      <c r="G3198">
        <v>4535</v>
      </c>
      <c r="H3198">
        <v>39109</v>
      </c>
      <c r="I3198" s="1">
        <v>45566</v>
      </c>
      <c r="J3198">
        <v>10177</v>
      </c>
      <c r="K3198" t="s">
        <v>23</v>
      </c>
    </row>
    <row r="3199" spans="1:11">
      <c r="A3199" s="1">
        <v>45596</v>
      </c>
      <c r="B3199" t="s">
        <v>21</v>
      </c>
      <c r="C3199" t="s">
        <v>65</v>
      </c>
      <c r="D3199">
        <v>3250</v>
      </c>
      <c r="E3199">
        <v>1584</v>
      </c>
      <c r="F3199">
        <v>492</v>
      </c>
      <c r="G3199">
        <v>440</v>
      </c>
      <c r="H3199">
        <v>5766</v>
      </c>
      <c r="I3199" s="1">
        <v>45566</v>
      </c>
      <c r="J3199">
        <v>932</v>
      </c>
      <c r="K3199" t="s">
        <v>23</v>
      </c>
    </row>
    <row r="3200" spans="1:11">
      <c r="A3200" s="1">
        <v>45596</v>
      </c>
      <c r="B3200" t="s">
        <v>21</v>
      </c>
      <c r="C3200" t="s">
        <v>66</v>
      </c>
      <c r="D3200">
        <v>2851</v>
      </c>
      <c r="E3200">
        <v>788</v>
      </c>
      <c r="F3200">
        <v>468</v>
      </c>
      <c r="G3200">
        <v>709</v>
      </c>
      <c r="H3200">
        <v>4817</v>
      </c>
      <c r="I3200" s="1">
        <v>45566</v>
      </c>
      <c r="J3200">
        <v>1177</v>
      </c>
      <c r="K3200" t="s">
        <v>23</v>
      </c>
    </row>
    <row r="3201" spans="1:11">
      <c r="A3201" s="1">
        <v>45596</v>
      </c>
      <c r="B3201" t="s">
        <v>21</v>
      </c>
      <c r="C3201" t="s">
        <v>57</v>
      </c>
      <c r="D3201">
        <v>1019</v>
      </c>
      <c r="E3201">
        <v>357</v>
      </c>
      <c r="F3201">
        <v>184</v>
      </c>
      <c r="G3201">
        <v>88</v>
      </c>
      <c r="H3201">
        <v>1648</v>
      </c>
      <c r="I3201" s="1">
        <v>45566</v>
      </c>
      <c r="J3201">
        <v>272</v>
      </c>
      <c r="K3201" t="s">
        <v>23</v>
      </c>
    </row>
    <row r="3202" spans="1:11">
      <c r="A3202" s="1">
        <v>45596</v>
      </c>
      <c r="B3202" t="s">
        <v>21</v>
      </c>
      <c r="C3202" t="s">
        <v>28</v>
      </c>
      <c r="D3202">
        <v>131</v>
      </c>
      <c r="E3202">
        <v>165</v>
      </c>
      <c r="F3202">
        <v>127</v>
      </c>
      <c r="G3202">
        <v>120</v>
      </c>
      <c r="H3202">
        <v>542</v>
      </c>
      <c r="I3202" s="1">
        <v>45566</v>
      </c>
      <c r="J3202">
        <v>247</v>
      </c>
      <c r="K3202" t="s">
        <v>23</v>
      </c>
    </row>
    <row r="3203" spans="1:11">
      <c r="A3203" s="1">
        <v>45596</v>
      </c>
      <c r="B3203" t="s">
        <v>21</v>
      </c>
      <c r="C3203" t="s">
        <v>47</v>
      </c>
      <c r="D3203">
        <v>619</v>
      </c>
      <c r="E3203">
        <v>86</v>
      </c>
      <c r="F3203">
        <v>23</v>
      </c>
      <c r="G3203">
        <v>47</v>
      </c>
      <c r="H3203">
        <v>776</v>
      </c>
      <c r="I3203" s="1">
        <v>45566</v>
      </c>
      <c r="J3203">
        <v>70</v>
      </c>
      <c r="K3203" t="s">
        <v>23</v>
      </c>
    </row>
    <row r="3204" spans="1:11">
      <c r="A3204" s="1">
        <v>45596</v>
      </c>
      <c r="B3204" t="s">
        <v>21</v>
      </c>
      <c r="C3204" t="s">
        <v>51</v>
      </c>
      <c r="D3204">
        <v>766</v>
      </c>
      <c r="E3204">
        <v>306</v>
      </c>
      <c r="F3204">
        <v>79</v>
      </c>
      <c r="G3204">
        <v>12</v>
      </c>
      <c r="H3204">
        <v>1163</v>
      </c>
      <c r="I3204" s="1">
        <v>45566</v>
      </c>
      <c r="J3204">
        <v>91</v>
      </c>
      <c r="K3204" t="s">
        <v>23</v>
      </c>
    </row>
    <row r="3205" spans="1:11">
      <c r="A3205" s="1">
        <v>45596</v>
      </c>
      <c r="B3205" t="s">
        <v>21</v>
      </c>
      <c r="C3205" t="s">
        <v>45</v>
      </c>
      <c r="D3205">
        <v>813</v>
      </c>
      <c r="E3205">
        <v>464</v>
      </c>
      <c r="F3205">
        <v>175</v>
      </c>
      <c r="G3205">
        <v>39</v>
      </c>
      <c r="H3205">
        <v>1491</v>
      </c>
      <c r="I3205" s="1">
        <v>45566</v>
      </c>
      <c r="J3205">
        <v>214</v>
      </c>
      <c r="K3205" t="s">
        <v>23</v>
      </c>
    </row>
    <row r="3206" spans="1:11">
      <c r="A3206" s="1">
        <v>45596</v>
      </c>
      <c r="B3206" t="s">
        <v>21</v>
      </c>
      <c r="C3206" t="s">
        <v>54</v>
      </c>
      <c r="D3206">
        <v>136</v>
      </c>
      <c r="E3206">
        <v>43</v>
      </c>
      <c r="F3206">
        <v>13</v>
      </c>
      <c r="G3206">
        <v>15</v>
      </c>
      <c r="H3206">
        <v>207</v>
      </c>
      <c r="I3206" s="1">
        <v>45566</v>
      </c>
      <c r="J3206">
        <v>28</v>
      </c>
      <c r="K3206" t="s">
        <v>23</v>
      </c>
    </row>
    <row r="3207" spans="1:11">
      <c r="A3207" s="1">
        <v>45596</v>
      </c>
      <c r="B3207" t="s">
        <v>21</v>
      </c>
      <c r="C3207" t="s">
        <v>52</v>
      </c>
      <c r="D3207">
        <v>1885</v>
      </c>
      <c r="E3207">
        <v>1194</v>
      </c>
      <c r="F3207">
        <v>393</v>
      </c>
      <c r="G3207">
        <v>4</v>
      </c>
      <c r="H3207">
        <v>3475</v>
      </c>
      <c r="I3207" s="1">
        <v>45566</v>
      </c>
      <c r="J3207">
        <v>397</v>
      </c>
      <c r="K3207" t="s">
        <v>23</v>
      </c>
    </row>
    <row r="3208" spans="1:11">
      <c r="A3208" s="1">
        <v>45596</v>
      </c>
      <c r="B3208" t="s">
        <v>21</v>
      </c>
      <c r="C3208" t="s">
        <v>46</v>
      </c>
      <c r="D3208">
        <v>426</v>
      </c>
      <c r="E3208">
        <v>16</v>
      </c>
      <c r="F3208">
        <v>3</v>
      </c>
      <c r="G3208">
        <v>1</v>
      </c>
      <c r="H3208">
        <v>446</v>
      </c>
      <c r="I3208" s="1">
        <v>45566</v>
      </c>
      <c r="J3208">
        <v>4</v>
      </c>
      <c r="K3208" t="s">
        <v>23</v>
      </c>
    </row>
    <row r="3209" spans="1:11">
      <c r="A3209" s="1">
        <v>45596</v>
      </c>
      <c r="B3209" t="s">
        <v>21</v>
      </c>
      <c r="C3209" t="s">
        <v>31</v>
      </c>
      <c r="D3209">
        <v>121</v>
      </c>
      <c r="E3209">
        <v>72</v>
      </c>
      <c r="F3209">
        <v>18</v>
      </c>
      <c r="G3209">
        <v>13</v>
      </c>
      <c r="H3209">
        <v>224</v>
      </c>
      <c r="I3209" s="1">
        <v>45566</v>
      </c>
      <c r="J3209">
        <v>31</v>
      </c>
      <c r="K3209" t="s">
        <v>23</v>
      </c>
    </row>
    <row r="3210" spans="1:11">
      <c r="A3210" s="1">
        <v>45596</v>
      </c>
      <c r="B3210" t="s">
        <v>21</v>
      </c>
      <c r="C3210" t="s">
        <v>63</v>
      </c>
      <c r="D3210">
        <v>251</v>
      </c>
      <c r="E3210">
        <v>166</v>
      </c>
      <c r="F3210">
        <v>120</v>
      </c>
      <c r="G3210">
        <v>64</v>
      </c>
      <c r="H3210">
        <v>601</v>
      </c>
      <c r="I3210" s="1">
        <v>45566</v>
      </c>
      <c r="J3210">
        <v>184</v>
      </c>
      <c r="K3210" t="s">
        <v>23</v>
      </c>
    </row>
    <row r="3211" spans="1:11">
      <c r="A3211" s="1">
        <v>45596</v>
      </c>
      <c r="B3211" t="s">
        <v>21</v>
      </c>
      <c r="C3211" t="s">
        <v>60</v>
      </c>
      <c r="D3211">
        <v>1181</v>
      </c>
      <c r="E3211">
        <v>199</v>
      </c>
      <c r="F3211">
        <v>68</v>
      </c>
      <c r="G3211">
        <v>90</v>
      </c>
      <c r="H3211">
        <v>1537</v>
      </c>
      <c r="I3211" s="1">
        <v>45566</v>
      </c>
      <c r="J3211">
        <v>158</v>
      </c>
      <c r="K3211" t="s">
        <v>23</v>
      </c>
    </row>
    <row r="3212" spans="1:11">
      <c r="A3212" s="1">
        <v>45596</v>
      </c>
      <c r="B3212" t="s">
        <v>21</v>
      </c>
      <c r="C3212" t="s">
        <v>61</v>
      </c>
      <c r="D3212">
        <v>1665</v>
      </c>
      <c r="E3212">
        <v>711</v>
      </c>
      <c r="F3212">
        <v>287</v>
      </c>
      <c r="G3212">
        <v>331</v>
      </c>
      <c r="H3212">
        <v>2994</v>
      </c>
      <c r="I3212" s="1">
        <v>45566</v>
      </c>
      <c r="J3212">
        <v>618</v>
      </c>
      <c r="K3212" t="s">
        <v>23</v>
      </c>
    </row>
    <row r="3213" spans="1:11">
      <c r="A3213" s="1">
        <v>45596</v>
      </c>
      <c r="B3213" t="s">
        <v>21</v>
      </c>
      <c r="C3213" t="s">
        <v>29</v>
      </c>
      <c r="D3213">
        <v>353</v>
      </c>
      <c r="E3213">
        <v>22</v>
      </c>
      <c r="F3213">
        <v>11</v>
      </c>
      <c r="G3213">
        <v>11</v>
      </c>
      <c r="H3213">
        <v>397</v>
      </c>
      <c r="I3213" s="1">
        <v>45566</v>
      </c>
      <c r="J3213">
        <v>22</v>
      </c>
      <c r="K3213" t="s">
        <v>23</v>
      </c>
    </row>
    <row r="3214" spans="1:11">
      <c r="A3214" s="1">
        <v>45596</v>
      </c>
      <c r="B3214" t="s">
        <v>21</v>
      </c>
      <c r="C3214" t="s">
        <v>44</v>
      </c>
      <c r="D3214">
        <v>690</v>
      </c>
      <c r="E3214">
        <v>427</v>
      </c>
      <c r="F3214">
        <v>77</v>
      </c>
      <c r="G3214">
        <v>38</v>
      </c>
      <c r="H3214">
        <v>1232</v>
      </c>
      <c r="I3214" s="1">
        <v>45566</v>
      </c>
      <c r="J3214">
        <v>115</v>
      </c>
      <c r="K3214" t="s">
        <v>23</v>
      </c>
    </row>
    <row r="3215" spans="1:11">
      <c r="A3215" s="1">
        <v>45596</v>
      </c>
      <c r="B3215" t="s">
        <v>21</v>
      </c>
      <c r="C3215" t="s">
        <v>59</v>
      </c>
      <c r="D3215">
        <v>2533</v>
      </c>
      <c r="E3215">
        <v>1213</v>
      </c>
      <c r="F3215">
        <v>293</v>
      </c>
      <c r="G3215">
        <v>129</v>
      </c>
      <c r="H3215">
        <v>4168</v>
      </c>
      <c r="I3215" s="1">
        <v>45566</v>
      </c>
      <c r="J3215">
        <v>422</v>
      </c>
      <c r="K3215" t="s">
        <v>23</v>
      </c>
    </row>
    <row r="3216" spans="1:11">
      <c r="A3216" s="1">
        <v>45596</v>
      </c>
      <c r="B3216" t="s">
        <v>21</v>
      </c>
      <c r="C3216" t="s">
        <v>67</v>
      </c>
      <c r="D3216">
        <v>1992</v>
      </c>
      <c r="E3216">
        <v>1096</v>
      </c>
      <c r="F3216">
        <v>439</v>
      </c>
      <c r="G3216">
        <v>348</v>
      </c>
      <c r="H3216">
        <v>3875</v>
      </c>
      <c r="I3216" s="1">
        <v>45566</v>
      </c>
      <c r="J3216">
        <v>787</v>
      </c>
      <c r="K3216" t="s">
        <v>23</v>
      </c>
    </row>
    <row r="3217" spans="1:11">
      <c r="A3217" s="1">
        <v>45624</v>
      </c>
      <c r="B3217" t="s">
        <v>21</v>
      </c>
      <c r="C3217" t="s">
        <v>64</v>
      </c>
      <c r="D3217">
        <v>18332</v>
      </c>
      <c r="E3217">
        <v>9895</v>
      </c>
      <c r="F3217">
        <v>5092</v>
      </c>
      <c r="G3217">
        <v>4006</v>
      </c>
      <c r="H3217">
        <v>37325</v>
      </c>
      <c r="I3217" s="1">
        <v>45597</v>
      </c>
      <c r="J3217">
        <v>9098</v>
      </c>
      <c r="K3217" t="s">
        <v>23</v>
      </c>
    </row>
    <row r="3218" spans="1:11">
      <c r="A3218" s="1">
        <v>45624</v>
      </c>
      <c r="B3218" t="s">
        <v>21</v>
      </c>
      <c r="C3218" t="s">
        <v>65</v>
      </c>
      <c r="D3218">
        <v>3008</v>
      </c>
      <c r="E3218">
        <v>1314</v>
      </c>
      <c r="F3218">
        <v>254</v>
      </c>
      <c r="G3218">
        <v>131</v>
      </c>
      <c r="H3218">
        <v>4707</v>
      </c>
      <c r="I3218" s="1">
        <v>45597</v>
      </c>
      <c r="J3218">
        <v>385</v>
      </c>
      <c r="K3218" t="s">
        <v>23</v>
      </c>
    </row>
    <row r="3219" spans="1:11">
      <c r="A3219" s="1">
        <v>45624</v>
      </c>
      <c r="B3219" t="s">
        <v>21</v>
      </c>
      <c r="C3219" t="s">
        <v>66</v>
      </c>
      <c r="D3219">
        <v>2753</v>
      </c>
      <c r="E3219">
        <v>804</v>
      </c>
      <c r="F3219">
        <v>477</v>
      </c>
      <c r="G3219">
        <v>708</v>
      </c>
      <c r="H3219">
        <v>4742</v>
      </c>
      <c r="I3219" s="1">
        <v>45597</v>
      </c>
      <c r="J3219">
        <v>1185</v>
      </c>
      <c r="K3219" t="s">
        <v>23</v>
      </c>
    </row>
    <row r="3220" spans="1:11">
      <c r="A3220" s="1">
        <v>45624</v>
      </c>
      <c r="B3220" t="s">
        <v>21</v>
      </c>
      <c r="C3220" t="s">
        <v>57</v>
      </c>
      <c r="D3220">
        <v>1001</v>
      </c>
      <c r="E3220">
        <v>353</v>
      </c>
      <c r="F3220">
        <v>171</v>
      </c>
      <c r="G3220">
        <v>85</v>
      </c>
      <c r="H3220">
        <v>1610</v>
      </c>
      <c r="I3220" s="1">
        <v>45597</v>
      </c>
      <c r="J3220">
        <v>256</v>
      </c>
      <c r="K3220" t="s">
        <v>23</v>
      </c>
    </row>
    <row r="3221" spans="1:11">
      <c r="A3221" s="1">
        <v>45624</v>
      </c>
      <c r="B3221" t="s">
        <v>21</v>
      </c>
      <c r="C3221" t="s">
        <v>28</v>
      </c>
      <c r="D3221">
        <v>137</v>
      </c>
      <c r="E3221">
        <v>167</v>
      </c>
      <c r="F3221">
        <v>110</v>
      </c>
      <c r="G3221">
        <v>143</v>
      </c>
      <c r="H3221">
        <v>556</v>
      </c>
      <c r="I3221" s="1">
        <v>45597</v>
      </c>
      <c r="J3221">
        <v>253</v>
      </c>
      <c r="K3221" t="s">
        <v>23</v>
      </c>
    </row>
    <row r="3222" spans="1:11">
      <c r="A3222" s="1">
        <v>45624</v>
      </c>
      <c r="B3222" t="s">
        <v>21</v>
      </c>
      <c r="C3222" t="s">
        <v>47</v>
      </c>
      <c r="D3222">
        <v>635</v>
      </c>
      <c r="E3222">
        <v>102</v>
      </c>
      <c r="F3222">
        <v>19</v>
      </c>
      <c r="G3222">
        <v>50</v>
      </c>
      <c r="H3222">
        <v>806</v>
      </c>
      <c r="I3222" s="1">
        <v>45597</v>
      </c>
      <c r="J3222">
        <v>69</v>
      </c>
      <c r="K3222" t="s">
        <v>23</v>
      </c>
    </row>
    <row r="3223" spans="1:11">
      <c r="A3223" s="1">
        <v>45624</v>
      </c>
      <c r="B3223" t="s">
        <v>21</v>
      </c>
      <c r="C3223" t="s">
        <v>51</v>
      </c>
      <c r="D3223">
        <v>725</v>
      </c>
      <c r="E3223">
        <v>279</v>
      </c>
      <c r="F3223">
        <v>88</v>
      </c>
      <c r="G3223">
        <v>7</v>
      </c>
      <c r="H3223">
        <v>1098</v>
      </c>
      <c r="I3223" s="1">
        <v>45597</v>
      </c>
      <c r="J3223">
        <v>95</v>
      </c>
      <c r="K3223" t="s">
        <v>23</v>
      </c>
    </row>
    <row r="3224" spans="1:11">
      <c r="A3224" s="1">
        <v>45624</v>
      </c>
      <c r="B3224" t="s">
        <v>21</v>
      </c>
      <c r="C3224" t="s">
        <v>45</v>
      </c>
      <c r="D3224">
        <v>794</v>
      </c>
      <c r="E3224">
        <v>479</v>
      </c>
      <c r="F3224">
        <v>182</v>
      </c>
      <c r="G3224">
        <v>36</v>
      </c>
      <c r="H3224">
        <v>1490</v>
      </c>
      <c r="I3224" s="1">
        <v>45597</v>
      </c>
      <c r="J3224">
        <v>218</v>
      </c>
      <c r="K3224" t="s">
        <v>23</v>
      </c>
    </row>
    <row r="3225" spans="1:11">
      <c r="A3225" s="1">
        <v>45624</v>
      </c>
      <c r="B3225" t="s">
        <v>21</v>
      </c>
      <c r="C3225" t="s">
        <v>54</v>
      </c>
      <c r="D3225">
        <v>101</v>
      </c>
      <c r="E3225">
        <v>46</v>
      </c>
      <c r="F3225">
        <v>16</v>
      </c>
      <c r="G3225">
        <v>17</v>
      </c>
      <c r="H3225">
        <v>180</v>
      </c>
      <c r="I3225" s="1">
        <v>45597</v>
      </c>
      <c r="J3225">
        <v>33</v>
      </c>
      <c r="K3225" t="s">
        <v>23</v>
      </c>
    </row>
    <row r="3226" spans="1:11">
      <c r="A3226" s="1">
        <v>45624</v>
      </c>
      <c r="B3226" t="s">
        <v>21</v>
      </c>
      <c r="C3226" t="s">
        <v>52</v>
      </c>
      <c r="D3226">
        <v>1955</v>
      </c>
      <c r="E3226">
        <v>1205</v>
      </c>
      <c r="F3226">
        <v>412</v>
      </c>
      <c r="G3226">
        <v>7</v>
      </c>
      <c r="H3226">
        <v>3579</v>
      </c>
      <c r="I3226" s="1">
        <v>45597</v>
      </c>
      <c r="J3226">
        <v>419</v>
      </c>
      <c r="K3226" t="s">
        <v>23</v>
      </c>
    </row>
    <row r="3227" spans="1:11">
      <c r="A3227" s="1">
        <v>45624</v>
      </c>
      <c r="B3227" t="s">
        <v>21</v>
      </c>
      <c r="C3227" t="s">
        <v>31</v>
      </c>
      <c r="D3227">
        <v>120</v>
      </c>
      <c r="E3227">
        <v>89</v>
      </c>
      <c r="F3227">
        <v>15</v>
      </c>
      <c r="G3227">
        <v>12</v>
      </c>
      <c r="H3227">
        <v>235</v>
      </c>
      <c r="I3227" s="1">
        <v>45597</v>
      </c>
      <c r="J3227">
        <v>27</v>
      </c>
      <c r="K3227" t="s">
        <v>23</v>
      </c>
    </row>
    <row r="3228" spans="1:11">
      <c r="A3228" s="1">
        <v>45624</v>
      </c>
      <c r="B3228" t="s">
        <v>21</v>
      </c>
      <c r="C3228" t="s">
        <v>63</v>
      </c>
      <c r="D3228">
        <v>211</v>
      </c>
      <c r="E3228">
        <v>173</v>
      </c>
      <c r="F3228">
        <v>111</v>
      </c>
      <c r="G3228">
        <v>73</v>
      </c>
      <c r="H3228">
        <v>568</v>
      </c>
      <c r="I3228" s="1">
        <v>45597</v>
      </c>
      <c r="J3228">
        <v>184</v>
      </c>
      <c r="K3228" t="s">
        <v>23</v>
      </c>
    </row>
    <row r="3229" spans="1:11">
      <c r="A3229" s="1">
        <v>45624</v>
      </c>
      <c r="B3229" t="s">
        <v>21</v>
      </c>
      <c r="C3229" t="s">
        <v>60</v>
      </c>
      <c r="D3229">
        <v>1094</v>
      </c>
      <c r="E3229">
        <v>201</v>
      </c>
      <c r="F3229">
        <v>70</v>
      </c>
      <c r="G3229">
        <v>96</v>
      </c>
      <c r="H3229">
        <v>1462</v>
      </c>
      <c r="I3229" s="1">
        <v>45597</v>
      </c>
      <c r="J3229">
        <v>166</v>
      </c>
      <c r="K3229" t="s">
        <v>23</v>
      </c>
    </row>
    <row r="3230" spans="1:11">
      <c r="A3230" s="1">
        <v>45624</v>
      </c>
      <c r="B3230" t="s">
        <v>21</v>
      </c>
      <c r="C3230" t="s">
        <v>61</v>
      </c>
      <c r="D3230">
        <v>1609</v>
      </c>
      <c r="E3230">
        <v>1001</v>
      </c>
      <c r="F3230">
        <v>442</v>
      </c>
      <c r="G3230">
        <v>617</v>
      </c>
      <c r="H3230">
        <v>3669</v>
      </c>
      <c r="I3230" s="1">
        <v>45597</v>
      </c>
      <c r="J3230">
        <v>1059</v>
      </c>
      <c r="K3230" t="s">
        <v>23</v>
      </c>
    </row>
    <row r="3231" spans="1:11">
      <c r="A3231" s="1">
        <v>45624</v>
      </c>
      <c r="B3231" t="s">
        <v>21</v>
      </c>
      <c r="C3231" t="s">
        <v>29</v>
      </c>
      <c r="D3231">
        <v>358</v>
      </c>
      <c r="E3231">
        <v>19</v>
      </c>
      <c r="F3231">
        <v>10</v>
      </c>
      <c r="G3231">
        <v>5</v>
      </c>
      <c r="H3231">
        <v>392</v>
      </c>
      <c r="I3231" s="1">
        <v>45597</v>
      </c>
      <c r="J3231">
        <v>15</v>
      </c>
      <c r="K3231" t="s">
        <v>23</v>
      </c>
    </row>
    <row r="3232" spans="1:11">
      <c r="A3232" s="1">
        <v>45624</v>
      </c>
      <c r="B3232" t="s">
        <v>21</v>
      </c>
      <c r="C3232" t="s">
        <v>44</v>
      </c>
      <c r="D3232">
        <v>682</v>
      </c>
      <c r="E3232">
        <v>453</v>
      </c>
      <c r="F3232">
        <v>79</v>
      </c>
      <c r="G3232">
        <v>44</v>
      </c>
      <c r="H3232">
        <v>1258</v>
      </c>
      <c r="I3232" s="1">
        <v>45597</v>
      </c>
      <c r="J3232">
        <v>123</v>
      </c>
      <c r="K3232" t="s">
        <v>23</v>
      </c>
    </row>
    <row r="3233" spans="1:11">
      <c r="A3233" s="1">
        <v>45624</v>
      </c>
      <c r="B3233" t="s">
        <v>21</v>
      </c>
      <c r="C3233" t="s">
        <v>59</v>
      </c>
      <c r="D3233">
        <v>2610</v>
      </c>
      <c r="E3233">
        <v>1170</v>
      </c>
      <c r="F3233">
        <v>304</v>
      </c>
      <c r="G3233">
        <v>149</v>
      </c>
      <c r="H3233">
        <v>4232</v>
      </c>
      <c r="I3233" s="1">
        <v>45597</v>
      </c>
      <c r="J3233">
        <v>453</v>
      </c>
      <c r="K3233" t="s">
        <v>23</v>
      </c>
    </row>
    <row r="3234" spans="1:11">
      <c r="A3234" s="1">
        <v>45624</v>
      </c>
      <c r="B3234" t="s">
        <v>21</v>
      </c>
      <c r="C3234" t="s">
        <v>67</v>
      </c>
      <c r="D3234">
        <v>1863</v>
      </c>
      <c r="E3234">
        <v>1079</v>
      </c>
      <c r="F3234">
        <v>403</v>
      </c>
      <c r="G3234">
        <v>354</v>
      </c>
      <c r="H3234">
        <v>3698</v>
      </c>
      <c r="I3234" s="1">
        <v>45597</v>
      </c>
      <c r="J3234">
        <v>757</v>
      </c>
      <c r="K3234" t="s">
        <v>23</v>
      </c>
    </row>
    <row r="3235" spans="1:11">
      <c r="A3235" s="1">
        <v>45645</v>
      </c>
      <c r="B3235" t="s">
        <v>21</v>
      </c>
      <c r="C3235" t="s">
        <v>41</v>
      </c>
      <c r="D3235">
        <v>488</v>
      </c>
      <c r="E3235">
        <v>172</v>
      </c>
      <c r="F3235">
        <v>3</v>
      </c>
      <c r="G3235">
        <v>3</v>
      </c>
      <c r="H3235">
        <v>665</v>
      </c>
      <c r="I3235" s="1">
        <v>45627</v>
      </c>
      <c r="J3235">
        <v>6</v>
      </c>
      <c r="K3235" t="s">
        <v>23</v>
      </c>
    </row>
    <row r="3236" spans="1:11">
      <c r="A3236" s="1">
        <v>45645</v>
      </c>
      <c r="B3236" t="s">
        <v>21</v>
      </c>
      <c r="C3236" t="s">
        <v>64</v>
      </c>
      <c r="D3236">
        <v>18313</v>
      </c>
      <c r="E3236">
        <v>9612</v>
      </c>
      <c r="F3236">
        <v>4647</v>
      </c>
      <c r="G3236">
        <v>3449</v>
      </c>
      <c r="H3236">
        <v>36021</v>
      </c>
      <c r="I3236" s="1">
        <v>45627</v>
      </c>
      <c r="J3236">
        <v>8096</v>
      </c>
      <c r="K3236" t="s">
        <v>23</v>
      </c>
    </row>
    <row r="3237" spans="1:11">
      <c r="A3237" s="1">
        <v>45645</v>
      </c>
      <c r="B3237" t="s">
        <v>21</v>
      </c>
      <c r="C3237" t="s">
        <v>65</v>
      </c>
      <c r="D3237">
        <v>2921</v>
      </c>
      <c r="E3237">
        <v>1187</v>
      </c>
      <c r="F3237">
        <v>169</v>
      </c>
      <c r="G3237">
        <v>121</v>
      </c>
      <c r="H3237">
        <v>4398</v>
      </c>
      <c r="I3237" s="1">
        <v>45627</v>
      </c>
      <c r="J3237">
        <v>290</v>
      </c>
      <c r="K3237" t="s">
        <v>23</v>
      </c>
    </row>
    <row r="3238" spans="1:11">
      <c r="A3238" s="1">
        <v>45645</v>
      </c>
      <c r="B3238" t="s">
        <v>21</v>
      </c>
      <c r="C3238" t="s">
        <v>27</v>
      </c>
      <c r="D3238">
        <v>196</v>
      </c>
      <c r="E3238">
        <v>24</v>
      </c>
      <c r="F3238">
        <v>3</v>
      </c>
      <c r="G3238">
        <v>3</v>
      </c>
      <c r="H3238">
        <v>225</v>
      </c>
      <c r="I3238" s="1">
        <v>45627</v>
      </c>
      <c r="J3238">
        <v>6</v>
      </c>
      <c r="K3238" t="s">
        <v>23</v>
      </c>
    </row>
    <row r="3239" spans="1:11">
      <c r="A3239" s="1">
        <v>45645</v>
      </c>
      <c r="B3239" t="s">
        <v>21</v>
      </c>
      <c r="C3239" t="s">
        <v>66</v>
      </c>
      <c r="D3239">
        <v>2683</v>
      </c>
      <c r="E3239">
        <v>696</v>
      </c>
      <c r="F3239">
        <v>453</v>
      </c>
      <c r="G3239">
        <v>678</v>
      </c>
      <c r="H3239">
        <v>4510</v>
      </c>
      <c r="I3239" s="1">
        <v>45627</v>
      </c>
      <c r="J3239">
        <v>1131</v>
      </c>
      <c r="K3239" t="s">
        <v>23</v>
      </c>
    </row>
    <row r="3240" spans="1:11">
      <c r="A3240" s="1">
        <v>45645</v>
      </c>
      <c r="B3240" t="s">
        <v>21</v>
      </c>
      <c r="C3240" t="s">
        <v>57</v>
      </c>
      <c r="D3240">
        <v>991</v>
      </c>
      <c r="E3240">
        <v>333</v>
      </c>
      <c r="F3240">
        <v>165</v>
      </c>
      <c r="G3240">
        <v>71</v>
      </c>
      <c r="H3240">
        <v>1560</v>
      </c>
      <c r="I3240" s="1">
        <v>45627</v>
      </c>
      <c r="J3240">
        <v>236</v>
      </c>
      <c r="K3240" t="s">
        <v>23</v>
      </c>
    </row>
    <row r="3241" spans="1:11">
      <c r="A3241" s="1">
        <v>45645</v>
      </c>
      <c r="B3241" t="s">
        <v>21</v>
      </c>
      <c r="C3241" t="s">
        <v>28</v>
      </c>
      <c r="D3241">
        <v>116</v>
      </c>
      <c r="E3241">
        <v>150</v>
      </c>
      <c r="F3241">
        <v>124</v>
      </c>
      <c r="G3241">
        <v>154</v>
      </c>
      <c r="H3241">
        <v>545</v>
      </c>
      <c r="I3241" s="1">
        <v>45627</v>
      </c>
      <c r="J3241">
        <v>278</v>
      </c>
      <c r="K3241" t="s">
        <v>23</v>
      </c>
    </row>
    <row r="3242" spans="1:11">
      <c r="A3242" s="1">
        <v>45645</v>
      </c>
      <c r="B3242" t="s">
        <v>21</v>
      </c>
      <c r="C3242" t="s">
        <v>47</v>
      </c>
      <c r="D3242">
        <v>664</v>
      </c>
      <c r="E3242">
        <v>109</v>
      </c>
      <c r="F3242">
        <v>19</v>
      </c>
      <c r="G3242">
        <v>31</v>
      </c>
      <c r="H3242">
        <v>824</v>
      </c>
      <c r="I3242" s="1">
        <v>45627</v>
      </c>
      <c r="J3242">
        <v>50</v>
      </c>
      <c r="K3242" t="s">
        <v>23</v>
      </c>
    </row>
    <row r="3243" spans="1:11">
      <c r="A3243" s="1">
        <v>45645</v>
      </c>
      <c r="B3243" t="s">
        <v>21</v>
      </c>
      <c r="C3243" t="s">
        <v>45</v>
      </c>
      <c r="D3243">
        <v>896</v>
      </c>
      <c r="E3243">
        <v>488</v>
      </c>
      <c r="F3243">
        <v>190</v>
      </c>
      <c r="G3243">
        <v>38</v>
      </c>
      <c r="H3243">
        <v>1612</v>
      </c>
      <c r="I3243" s="1">
        <v>45627</v>
      </c>
      <c r="J3243">
        <v>228</v>
      </c>
      <c r="K3243" t="s">
        <v>23</v>
      </c>
    </row>
    <row r="3244" spans="1:11">
      <c r="A3244" s="1">
        <v>45645</v>
      </c>
      <c r="B3244" t="s">
        <v>21</v>
      </c>
      <c r="C3244" t="s">
        <v>54</v>
      </c>
      <c r="D3244">
        <v>119</v>
      </c>
      <c r="E3244">
        <v>44</v>
      </c>
      <c r="F3244">
        <v>18</v>
      </c>
      <c r="G3244">
        <v>12</v>
      </c>
      <c r="H3244">
        <v>193</v>
      </c>
      <c r="I3244" s="1">
        <v>45627</v>
      </c>
      <c r="J3244">
        <v>30</v>
      </c>
      <c r="K3244" t="s">
        <v>23</v>
      </c>
    </row>
    <row r="3245" spans="1:11">
      <c r="A3245" s="1">
        <v>45645</v>
      </c>
      <c r="B3245" t="s">
        <v>21</v>
      </c>
      <c r="C3245" t="s">
        <v>31</v>
      </c>
      <c r="D3245">
        <v>154</v>
      </c>
      <c r="E3245">
        <v>77</v>
      </c>
      <c r="F3245">
        <v>25</v>
      </c>
      <c r="G3245">
        <v>11</v>
      </c>
      <c r="H3245">
        <v>267</v>
      </c>
      <c r="I3245" s="1">
        <v>45627</v>
      </c>
      <c r="J3245">
        <v>36</v>
      </c>
      <c r="K3245" t="s">
        <v>23</v>
      </c>
    </row>
    <row r="3246" spans="1:11">
      <c r="A3246" s="1">
        <v>45645</v>
      </c>
      <c r="B3246" t="s">
        <v>21</v>
      </c>
      <c r="C3246" t="s">
        <v>63</v>
      </c>
      <c r="D3246">
        <v>207</v>
      </c>
      <c r="E3246">
        <v>174</v>
      </c>
      <c r="F3246">
        <v>112</v>
      </c>
      <c r="G3246">
        <v>75</v>
      </c>
      <c r="H3246">
        <v>568</v>
      </c>
      <c r="I3246" s="1">
        <v>45627</v>
      </c>
      <c r="J3246">
        <v>187</v>
      </c>
      <c r="K3246" t="s">
        <v>23</v>
      </c>
    </row>
    <row r="3247" spans="1:11">
      <c r="A3247" s="1">
        <v>45645</v>
      </c>
      <c r="B3247" t="s">
        <v>21</v>
      </c>
      <c r="C3247" t="s">
        <v>60</v>
      </c>
      <c r="D3247">
        <v>1012</v>
      </c>
      <c r="E3247">
        <v>217</v>
      </c>
      <c r="F3247">
        <v>73</v>
      </c>
      <c r="G3247">
        <v>102</v>
      </c>
      <c r="H3247">
        <v>1404</v>
      </c>
      <c r="I3247" s="1">
        <v>45627</v>
      </c>
      <c r="J3247">
        <v>175</v>
      </c>
      <c r="K3247" t="s">
        <v>23</v>
      </c>
    </row>
    <row r="3248" spans="1:11">
      <c r="A3248" s="1">
        <v>45645</v>
      </c>
      <c r="B3248" t="s">
        <v>21</v>
      </c>
      <c r="C3248" t="s">
        <v>61</v>
      </c>
      <c r="D3248">
        <v>1597</v>
      </c>
      <c r="E3248">
        <v>947</v>
      </c>
      <c r="F3248">
        <v>449</v>
      </c>
      <c r="G3248">
        <v>563</v>
      </c>
      <c r="H3248">
        <v>3556</v>
      </c>
      <c r="I3248" s="1">
        <v>45627</v>
      </c>
      <c r="J3248">
        <v>1012</v>
      </c>
      <c r="K3248" t="s">
        <v>23</v>
      </c>
    </row>
    <row r="3249" spans="1:11">
      <c r="A3249" s="1">
        <v>45645</v>
      </c>
      <c r="B3249" t="s">
        <v>21</v>
      </c>
      <c r="C3249" t="s">
        <v>29</v>
      </c>
      <c r="D3249">
        <v>358</v>
      </c>
      <c r="E3249">
        <v>21</v>
      </c>
      <c r="F3249">
        <v>4</v>
      </c>
      <c r="G3249">
        <v>6</v>
      </c>
      <c r="H3249">
        <v>389</v>
      </c>
      <c r="I3249" s="1">
        <v>45627</v>
      </c>
      <c r="J3249">
        <v>10</v>
      </c>
      <c r="K3249" t="s">
        <v>23</v>
      </c>
    </row>
    <row r="3250" spans="1:11">
      <c r="A3250" s="1">
        <v>45645</v>
      </c>
      <c r="B3250" t="s">
        <v>21</v>
      </c>
      <c r="C3250" t="s">
        <v>44</v>
      </c>
      <c r="D3250">
        <v>666</v>
      </c>
      <c r="E3250">
        <v>455</v>
      </c>
      <c r="F3250">
        <v>84</v>
      </c>
      <c r="G3250">
        <v>52</v>
      </c>
      <c r="H3250">
        <v>1257</v>
      </c>
      <c r="I3250" s="1">
        <v>45627</v>
      </c>
      <c r="J3250">
        <v>136</v>
      </c>
      <c r="K3250" t="s">
        <v>23</v>
      </c>
    </row>
    <row r="3251" spans="1:11">
      <c r="A3251" s="1">
        <v>45645</v>
      </c>
      <c r="B3251" t="s">
        <v>21</v>
      </c>
      <c r="C3251" t="s">
        <v>59</v>
      </c>
      <c r="D3251">
        <v>2610</v>
      </c>
      <c r="E3251">
        <v>1183</v>
      </c>
      <c r="F3251">
        <v>308</v>
      </c>
      <c r="G3251">
        <v>169</v>
      </c>
      <c r="H3251">
        <v>4270</v>
      </c>
      <c r="I3251" s="1">
        <v>45627</v>
      </c>
      <c r="J3251">
        <v>477</v>
      </c>
      <c r="K3251" t="s">
        <v>23</v>
      </c>
    </row>
    <row r="3252" spans="1:11">
      <c r="A3252" s="1">
        <v>45645</v>
      </c>
      <c r="B3252" t="s">
        <v>21</v>
      </c>
      <c r="C3252" t="s">
        <v>67</v>
      </c>
      <c r="D3252">
        <v>1859</v>
      </c>
      <c r="E3252">
        <v>1028</v>
      </c>
      <c r="F3252">
        <v>398</v>
      </c>
      <c r="G3252">
        <v>340</v>
      </c>
      <c r="H3252">
        <v>3625</v>
      </c>
      <c r="I3252" s="1">
        <v>45627</v>
      </c>
      <c r="J3252">
        <v>738</v>
      </c>
      <c r="K3252" t="s">
        <v>23</v>
      </c>
    </row>
    <row r="3253" spans="1:11">
      <c r="A3253" s="1">
        <v>45687</v>
      </c>
      <c r="B3253" t="s">
        <v>21</v>
      </c>
      <c r="C3253" t="s">
        <v>64</v>
      </c>
      <c r="D3253">
        <v>18285</v>
      </c>
      <c r="E3253">
        <v>10221</v>
      </c>
      <c r="F3253">
        <v>4514</v>
      </c>
      <c r="G3253">
        <v>3515</v>
      </c>
      <c r="H3253">
        <v>36535</v>
      </c>
      <c r="I3253" s="1">
        <v>45658</v>
      </c>
      <c r="J3253">
        <v>8029</v>
      </c>
      <c r="K3253" t="s">
        <v>23</v>
      </c>
    </row>
    <row r="3254" spans="1:11">
      <c r="A3254" s="1">
        <v>45687</v>
      </c>
      <c r="B3254" t="s">
        <v>21</v>
      </c>
      <c r="C3254" t="s">
        <v>65</v>
      </c>
      <c r="D3254">
        <v>2752</v>
      </c>
      <c r="E3254">
        <v>1222</v>
      </c>
      <c r="F3254">
        <v>219</v>
      </c>
      <c r="G3254">
        <v>138</v>
      </c>
      <c r="H3254">
        <v>4331</v>
      </c>
      <c r="I3254" s="1">
        <v>45658</v>
      </c>
      <c r="J3254">
        <v>357</v>
      </c>
      <c r="K3254" t="s">
        <v>23</v>
      </c>
    </row>
    <row r="3255" spans="1:11">
      <c r="A3255" s="1">
        <v>45687</v>
      </c>
      <c r="B3255" t="s">
        <v>21</v>
      </c>
      <c r="C3255" t="s">
        <v>27</v>
      </c>
      <c r="D3255">
        <v>186</v>
      </c>
      <c r="E3255">
        <v>23</v>
      </c>
      <c r="F3255">
        <v>5</v>
      </c>
      <c r="G3255">
        <v>3</v>
      </c>
      <c r="H3255">
        <v>216</v>
      </c>
      <c r="I3255" s="1">
        <v>45658</v>
      </c>
      <c r="J3255">
        <v>8</v>
      </c>
      <c r="K3255" t="s">
        <v>23</v>
      </c>
    </row>
    <row r="3256" spans="1:11">
      <c r="A3256" s="1">
        <v>45687</v>
      </c>
      <c r="B3256" t="s">
        <v>21</v>
      </c>
      <c r="C3256" t="s">
        <v>66</v>
      </c>
      <c r="D3256">
        <v>2785</v>
      </c>
      <c r="E3256">
        <v>870</v>
      </c>
      <c r="F3256">
        <v>434</v>
      </c>
      <c r="G3256">
        <v>726</v>
      </c>
      <c r="H3256">
        <v>4816</v>
      </c>
      <c r="I3256" s="1">
        <v>45658</v>
      </c>
      <c r="J3256">
        <v>1160</v>
      </c>
      <c r="K3256" t="s">
        <v>23</v>
      </c>
    </row>
    <row r="3257" spans="1:11">
      <c r="A3257" s="1">
        <v>45687</v>
      </c>
      <c r="B3257" t="s">
        <v>21</v>
      </c>
      <c r="C3257" t="s">
        <v>57</v>
      </c>
      <c r="D3257">
        <v>980</v>
      </c>
      <c r="E3257">
        <v>362</v>
      </c>
      <c r="F3257">
        <v>172</v>
      </c>
      <c r="G3257">
        <v>98</v>
      </c>
      <c r="H3257">
        <v>1612</v>
      </c>
      <c r="I3257" s="1">
        <v>45658</v>
      </c>
      <c r="J3257">
        <v>270</v>
      </c>
      <c r="K3257" t="s">
        <v>23</v>
      </c>
    </row>
    <row r="3258" spans="1:11">
      <c r="A3258" s="1">
        <v>45687</v>
      </c>
      <c r="B3258" t="s">
        <v>21</v>
      </c>
      <c r="C3258" t="s">
        <v>28</v>
      </c>
      <c r="D3258">
        <v>115</v>
      </c>
      <c r="E3258">
        <v>136</v>
      </c>
      <c r="F3258">
        <v>126</v>
      </c>
      <c r="G3258">
        <v>182</v>
      </c>
      <c r="H3258">
        <v>559</v>
      </c>
      <c r="I3258" s="1">
        <v>45658</v>
      </c>
      <c r="J3258">
        <v>308</v>
      </c>
      <c r="K3258" t="s">
        <v>23</v>
      </c>
    </row>
    <row r="3259" spans="1:11">
      <c r="A3259" s="1">
        <v>45687</v>
      </c>
      <c r="B3259" t="s">
        <v>21</v>
      </c>
      <c r="C3259" t="s">
        <v>47</v>
      </c>
      <c r="D3259">
        <v>680</v>
      </c>
      <c r="E3259">
        <v>143</v>
      </c>
      <c r="F3259">
        <v>20</v>
      </c>
      <c r="G3259">
        <v>33</v>
      </c>
      <c r="H3259">
        <v>876</v>
      </c>
      <c r="I3259" s="1">
        <v>45658</v>
      </c>
      <c r="J3259">
        <v>53</v>
      </c>
      <c r="K3259" t="s">
        <v>23</v>
      </c>
    </row>
    <row r="3260" spans="1:11">
      <c r="A3260" s="1">
        <v>45687</v>
      </c>
      <c r="B3260" t="s">
        <v>21</v>
      </c>
      <c r="C3260" t="s">
        <v>45</v>
      </c>
      <c r="D3260">
        <v>864</v>
      </c>
      <c r="E3260">
        <v>514</v>
      </c>
      <c r="F3260">
        <v>212</v>
      </c>
      <c r="G3260">
        <v>49</v>
      </c>
      <c r="H3260">
        <v>1640</v>
      </c>
      <c r="I3260" s="1">
        <v>45658</v>
      </c>
      <c r="J3260">
        <v>261</v>
      </c>
      <c r="K3260" t="s">
        <v>23</v>
      </c>
    </row>
    <row r="3261" spans="1:11">
      <c r="A3261" s="1">
        <v>45687</v>
      </c>
      <c r="B3261" t="s">
        <v>21</v>
      </c>
      <c r="C3261" t="s">
        <v>54</v>
      </c>
      <c r="D3261">
        <v>98</v>
      </c>
      <c r="E3261">
        <v>48</v>
      </c>
      <c r="F3261">
        <v>20</v>
      </c>
      <c r="G3261">
        <v>12</v>
      </c>
      <c r="H3261">
        <v>178</v>
      </c>
      <c r="I3261" s="1">
        <v>45658</v>
      </c>
      <c r="J3261">
        <v>32</v>
      </c>
      <c r="K3261" t="s">
        <v>23</v>
      </c>
    </row>
    <row r="3262" spans="1:11">
      <c r="A3262" s="1">
        <v>45687</v>
      </c>
      <c r="B3262" t="s">
        <v>21</v>
      </c>
      <c r="C3262" t="s">
        <v>31</v>
      </c>
      <c r="D3262">
        <v>97</v>
      </c>
      <c r="E3262">
        <v>80</v>
      </c>
      <c r="F3262">
        <v>29</v>
      </c>
      <c r="G3262">
        <v>8</v>
      </c>
      <c r="H3262">
        <v>214</v>
      </c>
      <c r="I3262" s="1">
        <v>45658</v>
      </c>
      <c r="J3262">
        <v>37</v>
      </c>
      <c r="K3262" t="s">
        <v>23</v>
      </c>
    </row>
    <row r="3263" spans="1:11">
      <c r="A3263" s="1">
        <v>45687</v>
      </c>
      <c r="B3263" t="s">
        <v>21</v>
      </c>
      <c r="C3263" t="s">
        <v>63</v>
      </c>
      <c r="D3263">
        <v>204</v>
      </c>
      <c r="E3263">
        <v>166</v>
      </c>
      <c r="F3263">
        <v>105</v>
      </c>
      <c r="G3263">
        <v>78</v>
      </c>
      <c r="H3263">
        <v>553</v>
      </c>
      <c r="I3263" s="1">
        <v>45658</v>
      </c>
      <c r="J3263">
        <v>183</v>
      </c>
      <c r="K3263" t="s">
        <v>23</v>
      </c>
    </row>
    <row r="3264" spans="1:11">
      <c r="A3264" s="1">
        <v>45687</v>
      </c>
      <c r="B3264" t="s">
        <v>21</v>
      </c>
      <c r="C3264" t="s">
        <v>60</v>
      </c>
      <c r="D3264">
        <v>1037</v>
      </c>
      <c r="E3264">
        <v>253</v>
      </c>
      <c r="F3264">
        <v>73</v>
      </c>
      <c r="G3264">
        <v>110</v>
      </c>
      <c r="H3264">
        <v>1473</v>
      </c>
      <c r="I3264" s="1">
        <v>45658</v>
      </c>
      <c r="J3264">
        <v>183</v>
      </c>
      <c r="K3264" t="s">
        <v>23</v>
      </c>
    </row>
    <row r="3265" spans="1:11">
      <c r="A3265" s="1">
        <v>45687</v>
      </c>
      <c r="B3265" t="s">
        <v>21</v>
      </c>
      <c r="C3265" t="s">
        <v>61</v>
      </c>
      <c r="D3265">
        <v>1575</v>
      </c>
      <c r="E3265">
        <v>952</v>
      </c>
      <c r="F3265">
        <v>442</v>
      </c>
      <c r="G3265">
        <v>511</v>
      </c>
      <c r="H3265">
        <v>3480</v>
      </c>
      <c r="I3265" s="1">
        <v>45658</v>
      </c>
      <c r="J3265">
        <v>953</v>
      </c>
      <c r="K3265" t="s">
        <v>23</v>
      </c>
    </row>
    <row r="3266" spans="1:11">
      <c r="A3266" s="1">
        <v>45687</v>
      </c>
      <c r="B3266" t="s">
        <v>21</v>
      </c>
      <c r="C3266" t="s">
        <v>29</v>
      </c>
      <c r="D3266">
        <v>375</v>
      </c>
      <c r="E3266">
        <v>14</v>
      </c>
      <c r="F3266">
        <v>4</v>
      </c>
      <c r="G3266">
        <v>8</v>
      </c>
      <c r="H3266">
        <v>401</v>
      </c>
      <c r="I3266" s="1">
        <v>45658</v>
      </c>
      <c r="J3266">
        <v>12</v>
      </c>
      <c r="K3266" t="s">
        <v>23</v>
      </c>
    </row>
    <row r="3267" spans="1:11">
      <c r="A3267" s="1">
        <v>45687</v>
      </c>
      <c r="B3267" t="s">
        <v>21</v>
      </c>
      <c r="C3267" t="s">
        <v>44</v>
      </c>
      <c r="D3267">
        <v>704</v>
      </c>
      <c r="E3267">
        <v>479</v>
      </c>
      <c r="F3267">
        <v>99</v>
      </c>
      <c r="G3267">
        <v>6</v>
      </c>
      <c r="H3267">
        <v>1288</v>
      </c>
      <c r="I3267" s="1">
        <v>45658</v>
      </c>
      <c r="J3267">
        <v>105</v>
      </c>
      <c r="K3267" t="s">
        <v>23</v>
      </c>
    </row>
    <row r="3268" spans="1:11">
      <c r="A3268" s="1">
        <v>45687</v>
      </c>
      <c r="B3268" t="s">
        <v>21</v>
      </c>
      <c r="C3268" t="s">
        <v>59</v>
      </c>
      <c r="D3268">
        <v>2530</v>
      </c>
      <c r="E3268">
        <v>1132</v>
      </c>
      <c r="F3268">
        <v>334</v>
      </c>
      <c r="G3268">
        <v>195</v>
      </c>
      <c r="H3268">
        <v>4191</v>
      </c>
      <c r="I3268" s="1">
        <v>45658</v>
      </c>
      <c r="J3268">
        <v>529</v>
      </c>
      <c r="K3268" t="s">
        <v>23</v>
      </c>
    </row>
    <row r="3269" spans="1:11">
      <c r="A3269" s="1">
        <v>45687</v>
      </c>
      <c r="B3269" t="s">
        <v>21</v>
      </c>
      <c r="C3269" t="s">
        <v>67</v>
      </c>
      <c r="D3269">
        <v>1855</v>
      </c>
      <c r="E3269">
        <v>1058</v>
      </c>
      <c r="F3269">
        <v>430</v>
      </c>
      <c r="G3269">
        <v>298</v>
      </c>
      <c r="H3269">
        <v>3640</v>
      </c>
      <c r="I3269" s="1">
        <v>45658</v>
      </c>
      <c r="J3269">
        <v>728</v>
      </c>
      <c r="K3269" t="s">
        <v>23</v>
      </c>
    </row>
    <row r="3270" spans="1:11">
      <c r="A3270" s="1">
        <v>45715</v>
      </c>
      <c r="B3270" t="s">
        <v>21</v>
      </c>
      <c r="C3270" t="s">
        <v>64</v>
      </c>
      <c r="D3270">
        <v>18256</v>
      </c>
      <c r="E3270">
        <v>9740</v>
      </c>
      <c r="F3270">
        <v>4620</v>
      </c>
      <c r="G3270">
        <v>3496</v>
      </c>
      <c r="H3270">
        <v>36113</v>
      </c>
      <c r="I3270" s="1">
        <v>45689</v>
      </c>
      <c r="J3270">
        <v>8116</v>
      </c>
      <c r="K3270" t="s">
        <v>23</v>
      </c>
    </row>
    <row r="3271" spans="1:11">
      <c r="A3271" s="1">
        <v>45715</v>
      </c>
      <c r="B3271" t="s">
        <v>21</v>
      </c>
      <c r="C3271" t="s">
        <v>65</v>
      </c>
      <c r="D3271">
        <v>2784</v>
      </c>
      <c r="E3271">
        <v>1130</v>
      </c>
      <c r="F3271">
        <v>285</v>
      </c>
      <c r="G3271">
        <v>141</v>
      </c>
      <c r="H3271">
        <v>4339</v>
      </c>
      <c r="I3271" s="1">
        <v>45689</v>
      </c>
      <c r="J3271">
        <v>426</v>
      </c>
      <c r="K3271" t="s">
        <v>23</v>
      </c>
    </row>
    <row r="3272" spans="1:11">
      <c r="A3272" s="1">
        <v>45715</v>
      </c>
      <c r="B3272" t="s">
        <v>21</v>
      </c>
      <c r="C3272" t="s">
        <v>66</v>
      </c>
      <c r="D3272">
        <v>2848</v>
      </c>
      <c r="E3272">
        <v>834</v>
      </c>
      <c r="F3272">
        <v>441</v>
      </c>
      <c r="G3272">
        <v>751</v>
      </c>
      <c r="H3272">
        <v>4874</v>
      </c>
      <c r="I3272" s="1">
        <v>45689</v>
      </c>
      <c r="J3272">
        <v>1192</v>
      </c>
      <c r="K3272" t="s">
        <v>23</v>
      </c>
    </row>
    <row r="3273" spans="1:11">
      <c r="A3273" s="1">
        <v>45715</v>
      </c>
      <c r="B3273" t="s">
        <v>21</v>
      </c>
      <c r="C3273" t="s">
        <v>57</v>
      </c>
      <c r="D3273">
        <v>1046</v>
      </c>
      <c r="E3273">
        <v>299</v>
      </c>
      <c r="F3273">
        <v>193</v>
      </c>
      <c r="G3273">
        <v>81</v>
      </c>
      <c r="H3273">
        <v>1620</v>
      </c>
      <c r="I3273" s="1">
        <v>45689</v>
      </c>
      <c r="J3273">
        <v>274</v>
      </c>
      <c r="K3273" t="s">
        <v>23</v>
      </c>
    </row>
    <row r="3274" spans="1:11">
      <c r="A3274" s="1">
        <v>45715</v>
      </c>
      <c r="B3274" t="s">
        <v>21</v>
      </c>
      <c r="C3274" t="s">
        <v>28</v>
      </c>
      <c r="D3274">
        <v>120</v>
      </c>
      <c r="E3274">
        <v>115</v>
      </c>
      <c r="F3274">
        <v>130</v>
      </c>
      <c r="G3274">
        <v>190</v>
      </c>
      <c r="H3274">
        <v>555</v>
      </c>
      <c r="I3274" s="1">
        <v>45689</v>
      </c>
      <c r="J3274">
        <v>320</v>
      </c>
      <c r="K3274" t="s">
        <v>23</v>
      </c>
    </row>
    <row r="3275" spans="1:11">
      <c r="A3275" s="1">
        <v>45715</v>
      </c>
      <c r="B3275" t="s">
        <v>21</v>
      </c>
      <c r="C3275" t="s">
        <v>47</v>
      </c>
      <c r="D3275">
        <v>702</v>
      </c>
      <c r="E3275">
        <v>149</v>
      </c>
      <c r="F3275">
        <v>27</v>
      </c>
      <c r="G3275">
        <v>33</v>
      </c>
      <c r="H3275">
        <v>910</v>
      </c>
      <c r="I3275" s="1">
        <v>45689</v>
      </c>
      <c r="J3275">
        <v>60</v>
      </c>
      <c r="K3275" t="s">
        <v>23</v>
      </c>
    </row>
    <row r="3276" spans="1:11">
      <c r="A3276" s="1">
        <v>45715</v>
      </c>
      <c r="B3276" t="s">
        <v>21</v>
      </c>
      <c r="C3276" t="s">
        <v>51</v>
      </c>
      <c r="D3276">
        <v>764</v>
      </c>
      <c r="E3276">
        <v>265</v>
      </c>
      <c r="F3276">
        <v>69</v>
      </c>
      <c r="G3276">
        <v>1</v>
      </c>
      <c r="H3276">
        <v>1100</v>
      </c>
      <c r="I3276" s="1">
        <v>45689</v>
      </c>
      <c r="J3276">
        <v>70</v>
      </c>
      <c r="K3276" t="s">
        <v>23</v>
      </c>
    </row>
    <row r="3277" spans="1:11">
      <c r="A3277" s="1">
        <v>45715</v>
      </c>
      <c r="B3277" t="s">
        <v>21</v>
      </c>
      <c r="C3277" t="s">
        <v>45</v>
      </c>
      <c r="D3277">
        <v>864</v>
      </c>
      <c r="E3277">
        <v>517</v>
      </c>
      <c r="F3277">
        <v>270</v>
      </c>
      <c r="G3277">
        <v>53</v>
      </c>
      <c r="H3277">
        <v>1704</v>
      </c>
      <c r="I3277" s="1">
        <v>45689</v>
      </c>
      <c r="J3277">
        <v>323</v>
      </c>
      <c r="K3277" t="s">
        <v>23</v>
      </c>
    </row>
    <row r="3278" spans="1:11">
      <c r="A3278" s="1">
        <v>45715</v>
      </c>
      <c r="B3278" t="s">
        <v>21</v>
      </c>
      <c r="C3278" t="s">
        <v>54</v>
      </c>
      <c r="D3278">
        <v>114</v>
      </c>
      <c r="E3278">
        <v>54</v>
      </c>
      <c r="F3278">
        <v>16</v>
      </c>
      <c r="G3278">
        <v>13</v>
      </c>
      <c r="H3278">
        <v>197</v>
      </c>
      <c r="I3278" s="1">
        <v>45689</v>
      </c>
      <c r="J3278">
        <v>29</v>
      </c>
      <c r="K3278" t="s">
        <v>23</v>
      </c>
    </row>
    <row r="3279" spans="1:11">
      <c r="A3279" s="1">
        <v>45715</v>
      </c>
      <c r="B3279" t="s">
        <v>21</v>
      </c>
      <c r="C3279" t="s">
        <v>35</v>
      </c>
      <c r="D3279">
        <v>16</v>
      </c>
      <c r="E3279">
        <v>1</v>
      </c>
      <c r="F3279">
        <v>1</v>
      </c>
      <c r="G3279">
        <v>1</v>
      </c>
      <c r="H3279">
        <v>19</v>
      </c>
      <c r="I3279" s="1">
        <v>45689</v>
      </c>
      <c r="J3279">
        <v>2</v>
      </c>
      <c r="K3279" t="s">
        <v>23</v>
      </c>
    </row>
    <row r="3280" spans="1:11">
      <c r="A3280" s="1">
        <v>45715</v>
      </c>
      <c r="B3280" t="s">
        <v>21</v>
      </c>
      <c r="C3280" t="s">
        <v>52</v>
      </c>
      <c r="D3280">
        <v>1922</v>
      </c>
      <c r="E3280">
        <v>1223</v>
      </c>
      <c r="F3280">
        <v>625</v>
      </c>
      <c r="G3280">
        <v>5</v>
      </c>
      <c r="H3280">
        <v>3774</v>
      </c>
      <c r="I3280" s="1">
        <v>45689</v>
      </c>
      <c r="J3280">
        <v>630</v>
      </c>
      <c r="K3280" t="s">
        <v>23</v>
      </c>
    </row>
    <row r="3281" spans="1:11">
      <c r="A3281" s="1">
        <v>45715</v>
      </c>
      <c r="B3281" t="s">
        <v>21</v>
      </c>
      <c r="C3281" t="s">
        <v>63</v>
      </c>
      <c r="D3281">
        <v>213</v>
      </c>
      <c r="E3281">
        <v>169</v>
      </c>
      <c r="F3281">
        <v>108</v>
      </c>
      <c r="G3281">
        <v>78</v>
      </c>
      <c r="H3281">
        <v>568</v>
      </c>
      <c r="I3281" s="1">
        <v>45689</v>
      </c>
      <c r="J3281">
        <v>186</v>
      </c>
      <c r="K3281" t="s">
        <v>23</v>
      </c>
    </row>
    <row r="3282" spans="1:11">
      <c r="A3282" s="1">
        <v>45715</v>
      </c>
      <c r="B3282" t="s">
        <v>21</v>
      </c>
      <c r="C3282" t="s">
        <v>60</v>
      </c>
      <c r="D3282">
        <v>1169</v>
      </c>
      <c r="E3282">
        <v>259</v>
      </c>
      <c r="F3282">
        <v>80</v>
      </c>
      <c r="G3282">
        <v>111</v>
      </c>
      <c r="H3282">
        <v>1619</v>
      </c>
      <c r="I3282" s="1">
        <v>45689</v>
      </c>
      <c r="J3282">
        <v>191</v>
      </c>
      <c r="K3282" t="s">
        <v>23</v>
      </c>
    </row>
    <row r="3283" spans="1:11">
      <c r="A3283" s="1">
        <v>45715</v>
      </c>
      <c r="B3283" t="s">
        <v>21</v>
      </c>
      <c r="C3283" t="s">
        <v>61</v>
      </c>
      <c r="D3283">
        <v>1647</v>
      </c>
      <c r="E3283">
        <v>910</v>
      </c>
      <c r="F3283">
        <v>487</v>
      </c>
      <c r="G3283">
        <v>538</v>
      </c>
      <c r="H3283">
        <v>3582</v>
      </c>
      <c r="I3283" s="1">
        <v>45689</v>
      </c>
      <c r="J3283">
        <v>1025</v>
      </c>
      <c r="K3283" t="s">
        <v>23</v>
      </c>
    </row>
    <row r="3284" spans="1:11">
      <c r="A3284" s="1">
        <v>45715</v>
      </c>
      <c r="B3284" t="s">
        <v>21</v>
      </c>
      <c r="C3284" t="s">
        <v>29</v>
      </c>
      <c r="D3284">
        <v>430</v>
      </c>
      <c r="E3284">
        <v>14</v>
      </c>
      <c r="F3284">
        <v>4</v>
      </c>
      <c r="G3284">
        <v>10</v>
      </c>
      <c r="H3284">
        <v>458</v>
      </c>
      <c r="I3284" s="1">
        <v>45689</v>
      </c>
      <c r="J3284">
        <v>14</v>
      </c>
      <c r="K3284" t="s">
        <v>23</v>
      </c>
    </row>
    <row r="3285" spans="1:11">
      <c r="A3285" s="1">
        <v>45715</v>
      </c>
      <c r="B3285" t="s">
        <v>21</v>
      </c>
      <c r="C3285" t="s">
        <v>32</v>
      </c>
      <c r="D3285">
        <v>332</v>
      </c>
      <c r="E3285">
        <v>46</v>
      </c>
      <c r="F3285">
        <v>15</v>
      </c>
      <c r="G3285">
        <v>1</v>
      </c>
      <c r="H3285">
        <v>395</v>
      </c>
      <c r="I3285" s="1">
        <v>45689</v>
      </c>
      <c r="J3285">
        <v>16</v>
      </c>
      <c r="K3285" t="s">
        <v>23</v>
      </c>
    </row>
    <row r="3286" spans="1:11">
      <c r="A3286" s="1">
        <v>45715</v>
      </c>
      <c r="B3286" t="s">
        <v>21</v>
      </c>
      <c r="C3286" t="s">
        <v>44</v>
      </c>
      <c r="D3286">
        <v>712</v>
      </c>
      <c r="E3286">
        <v>455</v>
      </c>
      <c r="F3286">
        <v>116</v>
      </c>
      <c r="G3286">
        <v>7</v>
      </c>
      <c r="H3286">
        <v>1290</v>
      </c>
      <c r="I3286" s="1">
        <v>45689</v>
      </c>
      <c r="J3286">
        <v>123</v>
      </c>
      <c r="K3286" t="s">
        <v>23</v>
      </c>
    </row>
    <row r="3287" spans="1:11">
      <c r="A3287" s="1">
        <v>45715</v>
      </c>
      <c r="B3287" t="s">
        <v>21</v>
      </c>
      <c r="C3287" t="s">
        <v>59</v>
      </c>
      <c r="D3287">
        <v>2474</v>
      </c>
      <c r="E3287">
        <v>1135</v>
      </c>
      <c r="F3287">
        <v>383</v>
      </c>
      <c r="G3287">
        <v>205</v>
      </c>
      <c r="H3287">
        <v>4197</v>
      </c>
      <c r="I3287" s="1">
        <v>45689</v>
      </c>
      <c r="J3287">
        <v>588</v>
      </c>
      <c r="K3287" t="s">
        <v>23</v>
      </c>
    </row>
    <row r="3288" spans="1:11">
      <c r="A3288" s="1">
        <v>45715</v>
      </c>
      <c r="B3288" t="s">
        <v>21</v>
      </c>
      <c r="C3288" t="s">
        <v>67</v>
      </c>
      <c r="D3288">
        <v>1842</v>
      </c>
      <c r="E3288">
        <v>1041</v>
      </c>
      <c r="F3288">
        <v>489</v>
      </c>
      <c r="G3288">
        <v>321</v>
      </c>
      <c r="H3288">
        <v>3693</v>
      </c>
      <c r="I3288" s="1">
        <v>45689</v>
      </c>
      <c r="J3288">
        <v>810</v>
      </c>
      <c r="K3288" t="s">
        <v>23</v>
      </c>
    </row>
    <row r="3289" spans="1:11">
      <c r="A3289" s="1">
        <v>45743</v>
      </c>
      <c r="B3289" t="s">
        <v>21</v>
      </c>
      <c r="C3289" t="s">
        <v>64</v>
      </c>
      <c r="D3289">
        <v>18585</v>
      </c>
      <c r="E3289">
        <v>9230</v>
      </c>
      <c r="F3289">
        <v>4344</v>
      </c>
      <c r="G3289">
        <v>3521</v>
      </c>
      <c r="H3289">
        <v>35680</v>
      </c>
      <c r="I3289" s="1">
        <v>45717</v>
      </c>
      <c r="J3289">
        <v>7865</v>
      </c>
      <c r="K3289" t="s">
        <v>23</v>
      </c>
    </row>
    <row r="3290" spans="1:11">
      <c r="A3290" s="1">
        <v>45743</v>
      </c>
      <c r="B3290" t="s">
        <v>21</v>
      </c>
      <c r="C3290" t="s">
        <v>65</v>
      </c>
      <c r="D3290">
        <v>2912</v>
      </c>
      <c r="E3290">
        <v>1127</v>
      </c>
      <c r="F3290">
        <v>334</v>
      </c>
      <c r="G3290">
        <v>149</v>
      </c>
      <c r="H3290">
        <v>4522</v>
      </c>
      <c r="I3290" s="1">
        <v>45717</v>
      </c>
      <c r="J3290">
        <v>483</v>
      </c>
      <c r="K3290" t="s">
        <v>23</v>
      </c>
    </row>
    <row r="3291" spans="1:11">
      <c r="A3291" s="1">
        <v>45743</v>
      </c>
      <c r="B3291" t="s">
        <v>21</v>
      </c>
      <c r="C3291" t="s">
        <v>66</v>
      </c>
      <c r="D3291">
        <v>2906</v>
      </c>
      <c r="E3291">
        <v>836</v>
      </c>
      <c r="F3291">
        <v>413</v>
      </c>
      <c r="G3291">
        <v>795</v>
      </c>
      <c r="H3291">
        <v>4950</v>
      </c>
      <c r="I3291" s="1">
        <v>45717</v>
      </c>
      <c r="J3291">
        <v>1208</v>
      </c>
      <c r="K3291" t="s">
        <v>23</v>
      </c>
    </row>
    <row r="3292" spans="1:11">
      <c r="A3292" s="1">
        <v>45743</v>
      </c>
      <c r="B3292" t="s">
        <v>21</v>
      </c>
      <c r="C3292" t="s">
        <v>57</v>
      </c>
      <c r="D3292">
        <v>1114</v>
      </c>
      <c r="E3292">
        <v>270</v>
      </c>
      <c r="F3292">
        <v>205</v>
      </c>
      <c r="G3292">
        <v>70</v>
      </c>
      <c r="H3292">
        <v>1659</v>
      </c>
      <c r="I3292" s="1">
        <v>45717</v>
      </c>
      <c r="J3292">
        <v>275</v>
      </c>
      <c r="K3292" t="s">
        <v>23</v>
      </c>
    </row>
    <row r="3293" spans="1:11">
      <c r="A3293" s="1">
        <v>45743</v>
      </c>
      <c r="B3293" t="s">
        <v>21</v>
      </c>
      <c r="C3293" t="s">
        <v>28</v>
      </c>
      <c r="D3293">
        <v>115</v>
      </c>
      <c r="E3293">
        <v>83</v>
      </c>
      <c r="F3293">
        <v>139</v>
      </c>
      <c r="G3293">
        <v>198</v>
      </c>
      <c r="H3293">
        <v>535</v>
      </c>
      <c r="I3293" s="1">
        <v>45717</v>
      </c>
      <c r="J3293">
        <v>337</v>
      </c>
      <c r="K3293" t="s">
        <v>23</v>
      </c>
    </row>
    <row r="3294" spans="1:11">
      <c r="A3294" s="1">
        <v>45743</v>
      </c>
      <c r="B3294" t="s">
        <v>21</v>
      </c>
      <c r="C3294" t="s">
        <v>47</v>
      </c>
      <c r="D3294">
        <v>747</v>
      </c>
      <c r="E3294">
        <v>159</v>
      </c>
      <c r="F3294">
        <v>30</v>
      </c>
      <c r="G3294">
        <v>34</v>
      </c>
      <c r="H3294">
        <v>970</v>
      </c>
      <c r="I3294" s="1">
        <v>45717</v>
      </c>
      <c r="J3294">
        <v>64</v>
      </c>
      <c r="K3294" t="s">
        <v>23</v>
      </c>
    </row>
    <row r="3295" spans="1:11">
      <c r="A3295" s="1">
        <v>45743</v>
      </c>
      <c r="B3295" t="s">
        <v>21</v>
      </c>
      <c r="C3295" t="s">
        <v>45</v>
      </c>
      <c r="D3295">
        <v>896</v>
      </c>
      <c r="E3295">
        <v>507</v>
      </c>
      <c r="F3295">
        <v>304</v>
      </c>
      <c r="G3295">
        <v>68</v>
      </c>
      <c r="H3295">
        <v>1775</v>
      </c>
      <c r="I3295" s="1">
        <v>45717</v>
      </c>
      <c r="J3295">
        <v>372</v>
      </c>
      <c r="K3295" t="s">
        <v>23</v>
      </c>
    </row>
    <row r="3296" spans="1:11">
      <c r="A3296" s="1">
        <v>45743</v>
      </c>
      <c r="B3296" t="s">
        <v>21</v>
      </c>
      <c r="C3296" t="s">
        <v>54</v>
      </c>
      <c r="D3296">
        <v>114</v>
      </c>
      <c r="E3296">
        <v>46</v>
      </c>
      <c r="F3296">
        <v>18</v>
      </c>
      <c r="G3296">
        <v>11</v>
      </c>
      <c r="H3296">
        <v>189</v>
      </c>
      <c r="I3296" s="1">
        <v>45717</v>
      </c>
      <c r="J3296">
        <v>29</v>
      </c>
      <c r="K3296" t="s">
        <v>23</v>
      </c>
    </row>
    <row r="3297" spans="1:11">
      <c r="A3297" s="1">
        <v>45743</v>
      </c>
      <c r="B3297" t="s">
        <v>21</v>
      </c>
      <c r="C3297" t="s">
        <v>35</v>
      </c>
      <c r="D3297">
        <v>16</v>
      </c>
      <c r="E3297">
        <v>3</v>
      </c>
      <c r="F3297">
        <v>0</v>
      </c>
      <c r="G3297">
        <v>1</v>
      </c>
      <c r="H3297">
        <v>20</v>
      </c>
      <c r="I3297" s="1">
        <v>45717</v>
      </c>
      <c r="J3297">
        <v>1</v>
      </c>
      <c r="K3297" t="s">
        <v>23</v>
      </c>
    </row>
    <row r="3298" spans="1:11">
      <c r="A3298" s="1">
        <v>45743</v>
      </c>
      <c r="B3298" t="s">
        <v>21</v>
      </c>
      <c r="C3298" t="s">
        <v>52</v>
      </c>
      <c r="D3298">
        <v>1990</v>
      </c>
      <c r="E3298">
        <v>1265</v>
      </c>
      <c r="F3298">
        <v>628</v>
      </c>
      <c r="G3298">
        <v>45</v>
      </c>
      <c r="H3298">
        <v>3927</v>
      </c>
      <c r="I3298" s="1">
        <v>45717</v>
      </c>
      <c r="J3298">
        <v>673</v>
      </c>
      <c r="K3298" t="s">
        <v>23</v>
      </c>
    </row>
    <row r="3299" spans="1:11">
      <c r="A3299" s="1">
        <v>45743</v>
      </c>
      <c r="B3299" t="s">
        <v>21</v>
      </c>
      <c r="C3299" t="s">
        <v>63</v>
      </c>
      <c r="D3299">
        <v>223</v>
      </c>
      <c r="E3299">
        <v>148</v>
      </c>
      <c r="F3299">
        <v>115</v>
      </c>
      <c r="G3299">
        <v>89</v>
      </c>
      <c r="H3299">
        <v>575</v>
      </c>
      <c r="I3299" s="1">
        <v>45717</v>
      </c>
      <c r="J3299">
        <v>204</v>
      </c>
      <c r="K3299" t="s">
        <v>23</v>
      </c>
    </row>
    <row r="3300" spans="1:11">
      <c r="A3300" s="1">
        <v>45743</v>
      </c>
      <c r="B3300" t="s">
        <v>21</v>
      </c>
      <c r="C3300" t="s">
        <v>60</v>
      </c>
      <c r="D3300">
        <v>1143</v>
      </c>
      <c r="E3300">
        <v>237</v>
      </c>
      <c r="F3300">
        <v>78</v>
      </c>
      <c r="G3300">
        <v>124</v>
      </c>
      <c r="H3300">
        <v>1582</v>
      </c>
      <c r="I3300" s="1">
        <v>45717</v>
      </c>
      <c r="J3300">
        <v>202</v>
      </c>
      <c r="K3300" t="s">
        <v>23</v>
      </c>
    </row>
    <row r="3301" spans="1:11">
      <c r="A3301" s="1">
        <v>45743</v>
      </c>
      <c r="B3301" t="s">
        <v>21</v>
      </c>
      <c r="C3301" t="s">
        <v>61</v>
      </c>
      <c r="D3301">
        <v>1715</v>
      </c>
      <c r="E3301">
        <v>866</v>
      </c>
      <c r="F3301">
        <v>480</v>
      </c>
      <c r="G3301">
        <v>507</v>
      </c>
      <c r="H3301">
        <v>3568</v>
      </c>
      <c r="I3301" s="1">
        <v>45717</v>
      </c>
      <c r="J3301">
        <v>987</v>
      </c>
      <c r="K3301" t="s">
        <v>23</v>
      </c>
    </row>
    <row r="3302" spans="1:11">
      <c r="A3302" s="1">
        <v>45743</v>
      </c>
      <c r="B3302" t="s">
        <v>21</v>
      </c>
      <c r="C3302" t="s">
        <v>29</v>
      </c>
      <c r="D3302">
        <v>407</v>
      </c>
      <c r="E3302">
        <v>23</v>
      </c>
      <c r="F3302">
        <v>6</v>
      </c>
      <c r="G3302">
        <v>10</v>
      </c>
      <c r="H3302">
        <v>445</v>
      </c>
      <c r="I3302" s="1">
        <v>45717</v>
      </c>
      <c r="J3302">
        <v>16</v>
      </c>
      <c r="K3302" t="s">
        <v>23</v>
      </c>
    </row>
    <row r="3303" spans="1:11">
      <c r="A3303" s="1">
        <v>45743</v>
      </c>
      <c r="B3303" t="s">
        <v>21</v>
      </c>
      <c r="C3303" t="s">
        <v>44</v>
      </c>
      <c r="D3303">
        <v>690</v>
      </c>
      <c r="E3303">
        <v>450</v>
      </c>
      <c r="F3303">
        <v>123</v>
      </c>
      <c r="G3303">
        <v>9</v>
      </c>
      <c r="H3303">
        <v>1272</v>
      </c>
      <c r="I3303" s="1">
        <v>45717</v>
      </c>
      <c r="J3303">
        <v>132</v>
      </c>
      <c r="K3303" t="s">
        <v>23</v>
      </c>
    </row>
    <row r="3304" spans="1:11">
      <c r="A3304" s="1">
        <v>45743</v>
      </c>
      <c r="B3304" t="s">
        <v>21</v>
      </c>
      <c r="C3304" t="s">
        <v>59</v>
      </c>
      <c r="D3304">
        <v>2455</v>
      </c>
      <c r="E3304">
        <v>1152</v>
      </c>
      <c r="F3304">
        <v>440</v>
      </c>
      <c r="G3304">
        <v>218</v>
      </c>
      <c r="H3304">
        <v>4265</v>
      </c>
      <c r="I3304" s="1">
        <v>45717</v>
      </c>
      <c r="J3304">
        <v>658</v>
      </c>
      <c r="K3304" t="s">
        <v>23</v>
      </c>
    </row>
    <row r="3305" spans="1:11">
      <c r="A3305" s="1">
        <v>45743</v>
      </c>
      <c r="B3305" t="s">
        <v>21</v>
      </c>
      <c r="C3305" t="s">
        <v>67</v>
      </c>
      <c r="D3305">
        <v>1877</v>
      </c>
      <c r="E3305">
        <v>1008</v>
      </c>
      <c r="F3305">
        <v>506</v>
      </c>
      <c r="G3305">
        <v>321</v>
      </c>
      <c r="H3305">
        <v>3712</v>
      </c>
      <c r="I3305" s="1">
        <v>45717</v>
      </c>
      <c r="J3305">
        <v>827</v>
      </c>
      <c r="K3305" t="s">
        <v>23</v>
      </c>
    </row>
    <row r="3306" spans="1:11">
      <c r="A3306" s="1">
        <v>45771</v>
      </c>
      <c r="B3306" t="s">
        <v>21</v>
      </c>
      <c r="C3306" t="s">
        <v>64</v>
      </c>
      <c r="D3306">
        <v>18290</v>
      </c>
      <c r="E3306">
        <v>8966</v>
      </c>
      <c r="F3306">
        <v>4227</v>
      </c>
      <c r="G3306">
        <v>3408</v>
      </c>
      <c r="H3306">
        <v>34890</v>
      </c>
      <c r="I3306" s="1">
        <v>45748</v>
      </c>
      <c r="J3306">
        <v>7635</v>
      </c>
      <c r="K3306" t="s">
        <v>23</v>
      </c>
    </row>
    <row r="3307" spans="1:11">
      <c r="A3307" s="1">
        <v>45771</v>
      </c>
      <c r="B3307" t="s">
        <v>21</v>
      </c>
      <c r="C3307" t="s">
        <v>65</v>
      </c>
      <c r="D3307">
        <v>3033</v>
      </c>
      <c r="E3307">
        <v>1099</v>
      </c>
      <c r="F3307">
        <v>354</v>
      </c>
      <c r="G3307">
        <v>141</v>
      </c>
      <c r="H3307">
        <v>4627</v>
      </c>
      <c r="I3307" s="1">
        <v>45748</v>
      </c>
      <c r="J3307">
        <v>495</v>
      </c>
      <c r="K3307" t="s">
        <v>23</v>
      </c>
    </row>
    <row r="3308" spans="1:11">
      <c r="A3308" s="1">
        <v>45771</v>
      </c>
      <c r="B3308" t="s">
        <v>21</v>
      </c>
      <c r="C3308" t="s">
        <v>66</v>
      </c>
      <c r="D3308">
        <v>2853</v>
      </c>
      <c r="E3308">
        <v>814</v>
      </c>
      <c r="F3308">
        <v>369</v>
      </c>
      <c r="G3308">
        <v>712</v>
      </c>
      <c r="H3308">
        <v>4748</v>
      </c>
      <c r="I3308" s="1">
        <v>45748</v>
      </c>
      <c r="J3308">
        <v>1081</v>
      </c>
      <c r="K3308" t="s">
        <v>23</v>
      </c>
    </row>
    <row r="3309" spans="1:11">
      <c r="A3309" s="1">
        <v>45771</v>
      </c>
      <c r="B3309" t="s">
        <v>21</v>
      </c>
      <c r="C3309" t="s">
        <v>57</v>
      </c>
      <c r="D3309">
        <v>1170</v>
      </c>
      <c r="E3309">
        <v>261</v>
      </c>
      <c r="F3309">
        <v>196</v>
      </c>
      <c r="G3309">
        <v>73</v>
      </c>
      <c r="H3309">
        <v>1700</v>
      </c>
      <c r="I3309" s="1">
        <v>45748</v>
      </c>
      <c r="J3309">
        <v>269</v>
      </c>
      <c r="K3309" t="s">
        <v>23</v>
      </c>
    </row>
    <row r="3310" spans="1:11">
      <c r="A3310" s="1">
        <v>45771</v>
      </c>
      <c r="B3310" t="s">
        <v>21</v>
      </c>
      <c r="C3310" t="s">
        <v>28</v>
      </c>
      <c r="D3310">
        <v>131</v>
      </c>
      <c r="E3310">
        <v>73</v>
      </c>
      <c r="F3310">
        <v>135</v>
      </c>
      <c r="G3310">
        <v>203</v>
      </c>
      <c r="H3310">
        <v>541</v>
      </c>
      <c r="I3310" s="1">
        <v>45748</v>
      </c>
      <c r="J3310">
        <v>338</v>
      </c>
      <c r="K3310" t="s">
        <v>23</v>
      </c>
    </row>
    <row r="3311" spans="1:11">
      <c r="A3311" s="1">
        <v>45771</v>
      </c>
      <c r="B3311" t="s">
        <v>21</v>
      </c>
      <c r="C3311" t="s">
        <v>47</v>
      </c>
      <c r="D3311">
        <v>748</v>
      </c>
      <c r="E3311">
        <v>178</v>
      </c>
      <c r="F3311">
        <v>26</v>
      </c>
      <c r="G3311">
        <v>38</v>
      </c>
      <c r="H3311">
        <v>990</v>
      </c>
      <c r="I3311" s="1">
        <v>45748</v>
      </c>
      <c r="J3311">
        <v>64</v>
      </c>
      <c r="K3311" t="s">
        <v>23</v>
      </c>
    </row>
    <row r="3312" spans="1:11">
      <c r="A3312" s="1">
        <v>45771</v>
      </c>
      <c r="B3312" t="s">
        <v>21</v>
      </c>
      <c r="C3312" t="s">
        <v>45</v>
      </c>
      <c r="D3312">
        <v>844</v>
      </c>
      <c r="E3312">
        <v>491</v>
      </c>
      <c r="F3312">
        <v>307</v>
      </c>
      <c r="G3312">
        <v>65</v>
      </c>
      <c r="H3312">
        <v>1707</v>
      </c>
      <c r="I3312" s="1">
        <v>45748</v>
      </c>
      <c r="J3312">
        <v>372</v>
      </c>
      <c r="K3312" t="s">
        <v>23</v>
      </c>
    </row>
    <row r="3313" spans="1:11">
      <c r="A3313" s="1">
        <v>45771</v>
      </c>
      <c r="B3313" t="s">
        <v>21</v>
      </c>
      <c r="C3313" t="s">
        <v>54</v>
      </c>
      <c r="D3313">
        <v>118</v>
      </c>
      <c r="E3313">
        <v>49</v>
      </c>
      <c r="F3313">
        <v>19</v>
      </c>
      <c r="G3313">
        <v>13</v>
      </c>
      <c r="H3313">
        <v>199</v>
      </c>
      <c r="I3313" s="1">
        <v>45748</v>
      </c>
      <c r="J3313">
        <v>32</v>
      </c>
      <c r="K3313" t="s">
        <v>23</v>
      </c>
    </row>
    <row r="3314" spans="1:11">
      <c r="A3314" s="1">
        <v>45771</v>
      </c>
      <c r="B3314" t="s">
        <v>21</v>
      </c>
      <c r="C3314" t="s">
        <v>52</v>
      </c>
      <c r="D3314">
        <v>1887</v>
      </c>
      <c r="E3314">
        <v>1184</v>
      </c>
      <c r="F3314">
        <v>601</v>
      </c>
      <c r="G3314">
        <v>86</v>
      </c>
      <c r="H3314">
        <v>3757</v>
      </c>
      <c r="I3314" s="1">
        <v>45748</v>
      </c>
      <c r="J3314">
        <v>687</v>
      </c>
      <c r="K3314" t="s">
        <v>23</v>
      </c>
    </row>
    <row r="3315" spans="1:11">
      <c r="A3315" s="1">
        <v>45771</v>
      </c>
      <c r="B3315" t="s">
        <v>21</v>
      </c>
      <c r="C3315" t="s">
        <v>63</v>
      </c>
      <c r="D3315">
        <v>265</v>
      </c>
      <c r="E3315">
        <v>162</v>
      </c>
      <c r="F3315">
        <v>122</v>
      </c>
      <c r="G3315">
        <v>86</v>
      </c>
      <c r="H3315">
        <v>635</v>
      </c>
      <c r="I3315" s="1">
        <v>45748</v>
      </c>
      <c r="J3315">
        <v>208</v>
      </c>
      <c r="K3315" t="s">
        <v>23</v>
      </c>
    </row>
    <row r="3316" spans="1:11">
      <c r="A3316" s="1">
        <v>45771</v>
      </c>
      <c r="B3316" t="s">
        <v>21</v>
      </c>
      <c r="C3316" t="s">
        <v>60</v>
      </c>
      <c r="D3316">
        <v>1161</v>
      </c>
      <c r="E3316">
        <v>182</v>
      </c>
      <c r="F3316">
        <v>74</v>
      </c>
      <c r="G3316">
        <v>135</v>
      </c>
      <c r="H3316">
        <v>1552</v>
      </c>
      <c r="I3316" s="1">
        <v>45748</v>
      </c>
      <c r="J3316">
        <v>209</v>
      </c>
      <c r="K3316" t="s">
        <v>23</v>
      </c>
    </row>
    <row r="3317" spans="1:11">
      <c r="A3317" s="1">
        <v>45771</v>
      </c>
      <c r="B3317" t="s">
        <v>21</v>
      </c>
      <c r="C3317" t="s">
        <v>61</v>
      </c>
      <c r="D3317">
        <v>1737</v>
      </c>
      <c r="E3317">
        <v>874</v>
      </c>
      <c r="F3317">
        <v>462</v>
      </c>
      <c r="G3317">
        <v>524</v>
      </c>
      <c r="H3317">
        <v>3596</v>
      </c>
      <c r="I3317" s="1">
        <v>45748</v>
      </c>
      <c r="J3317">
        <v>986</v>
      </c>
      <c r="K3317" t="s">
        <v>23</v>
      </c>
    </row>
    <row r="3318" spans="1:11">
      <c r="A3318" s="1">
        <v>45771</v>
      </c>
      <c r="B3318" t="s">
        <v>21</v>
      </c>
      <c r="C3318" t="s">
        <v>29</v>
      </c>
      <c r="D3318">
        <v>411</v>
      </c>
      <c r="E3318">
        <v>21</v>
      </c>
      <c r="F3318">
        <v>11</v>
      </c>
      <c r="G3318">
        <v>11</v>
      </c>
      <c r="H3318">
        <v>453</v>
      </c>
      <c r="I3318" s="1">
        <v>45748</v>
      </c>
      <c r="J3318">
        <v>22</v>
      </c>
      <c r="K3318" t="s">
        <v>23</v>
      </c>
    </row>
    <row r="3319" spans="1:11">
      <c r="A3319" s="1">
        <v>45771</v>
      </c>
      <c r="B3319" t="s">
        <v>21</v>
      </c>
      <c r="C3319" t="s">
        <v>32</v>
      </c>
      <c r="D3319">
        <v>316</v>
      </c>
      <c r="E3319">
        <v>51</v>
      </c>
      <c r="F3319">
        <v>22</v>
      </c>
      <c r="G3319">
        <v>1</v>
      </c>
      <c r="H3319">
        <v>390</v>
      </c>
      <c r="I3319" s="1">
        <v>45748</v>
      </c>
      <c r="J3319">
        <v>23</v>
      </c>
      <c r="K3319" t="s">
        <v>23</v>
      </c>
    </row>
    <row r="3320" spans="1:11">
      <c r="A3320" s="1">
        <v>45771</v>
      </c>
      <c r="B3320" t="s">
        <v>21</v>
      </c>
      <c r="C3320" t="s">
        <v>59</v>
      </c>
      <c r="D3320">
        <v>2461</v>
      </c>
      <c r="E3320">
        <v>1113</v>
      </c>
      <c r="F3320">
        <v>492</v>
      </c>
      <c r="G3320">
        <v>237</v>
      </c>
      <c r="H3320">
        <v>4303</v>
      </c>
      <c r="I3320" s="1">
        <v>45748</v>
      </c>
      <c r="J3320">
        <v>729</v>
      </c>
      <c r="K3320" t="s">
        <v>23</v>
      </c>
    </row>
    <row r="3321" spans="1:11">
      <c r="A3321" s="1">
        <v>45771</v>
      </c>
      <c r="B3321" t="s">
        <v>21</v>
      </c>
      <c r="C3321" t="s">
        <v>67</v>
      </c>
      <c r="D3321">
        <v>1924</v>
      </c>
      <c r="E3321">
        <v>1005</v>
      </c>
      <c r="F3321">
        <v>506</v>
      </c>
      <c r="G3321">
        <v>338</v>
      </c>
      <c r="H3321">
        <v>3773</v>
      </c>
      <c r="I3321" s="1">
        <v>45748</v>
      </c>
      <c r="J3321">
        <v>844</v>
      </c>
      <c r="K3321" t="s">
        <v>23</v>
      </c>
    </row>
    <row r="3322" spans="1:11">
      <c r="A3322" s="1">
        <v>45806</v>
      </c>
      <c r="B3322" t="s">
        <v>21</v>
      </c>
      <c r="C3322" t="s">
        <v>64</v>
      </c>
      <c r="D3322">
        <v>18510</v>
      </c>
      <c r="E3322">
        <v>8365</v>
      </c>
      <c r="F3322">
        <v>4148</v>
      </c>
      <c r="G3322">
        <v>3303</v>
      </c>
      <c r="H3322">
        <v>34325</v>
      </c>
      <c r="I3322" s="1">
        <v>45778</v>
      </c>
      <c r="J3322">
        <v>7451</v>
      </c>
      <c r="K3322" t="s">
        <v>23</v>
      </c>
    </row>
    <row r="3323" spans="1:11">
      <c r="A3323" s="1">
        <v>45806</v>
      </c>
      <c r="B3323" t="s">
        <v>21</v>
      </c>
      <c r="C3323" t="s">
        <v>65</v>
      </c>
      <c r="D3323">
        <v>3072</v>
      </c>
      <c r="E3323">
        <v>959</v>
      </c>
      <c r="F3323">
        <v>364</v>
      </c>
      <c r="G3323">
        <v>120</v>
      </c>
      <c r="H3323">
        <v>4514</v>
      </c>
      <c r="I3323" s="1">
        <v>45778</v>
      </c>
      <c r="J3323">
        <v>484</v>
      </c>
      <c r="K3323" t="s">
        <v>23</v>
      </c>
    </row>
    <row r="3324" spans="1:11">
      <c r="A3324" s="1">
        <v>45806</v>
      </c>
      <c r="B3324" t="s">
        <v>21</v>
      </c>
      <c r="C3324" t="s">
        <v>66</v>
      </c>
      <c r="D3324">
        <v>2907</v>
      </c>
      <c r="E3324">
        <v>877</v>
      </c>
      <c r="F3324">
        <v>303</v>
      </c>
      <c r="G3324">
        <v>761</v>
      </c>
      <c r="H3324">
        <v>4848</v>
      </c>
      <c r="I3324" s="1">
        <v>45778</v>
      </c>
      <c r="J3324">
        <v>1064</v>
      </c>
      <c r="K3324" t="s">
        <v>23</v>
      </c>
    </row>
    <row r="3325" spans="1:11">
      <c r="A3325" s="1">
        <v>45806</v>
      </c>
      <c r="B3325" t="s">
        <v>21</v>
      </c>
      <c r="C3325" t="s">
        <v>57</v>
      </c>
      <c r="D3325">
        <v>1235</v>
      </c>
      <c r="E3325">
        <v>238</v>
      </c>
      <c r="F3325">
        <v>191</v>
      </c>
      <c r="G3325">
        <v>68</v>
      </c>
      <c r="H3325">
        <v>1732</v>
      </c>
      <c r="I3325" s="1">
        <v>45778</v>
      </c>
      <c r="J3325">
        <v>259</v>
      </c>
      <c r="K3325" t="s">
        <v>23</v>
      </c>
    </row>
    <row r="3326" spans="1:11">
      <c r="A3326" s="1">
        <v>45806</v>
      </c>
      <c r="B3326" t="s">
        <v>21</v>
      </c>
      <c r="C3326" t="s">
        <v>28</v>
      </c>
      <c r="D3326">
        <v>156</v>
      </c>
      <c r="E3326">
        <v>64</v>
      </c>
      <c r="F3326">
        <v>126</v>
      </c>
      <c r="G3326">
        <v>187</v>
      </c>
      <c r="H3326">
        <v>533</v>
      </c>
      <c r="I3326" s="1">
        <v>45778</v>
      </c>
      <c r="J3326">
        <v>313</v>
      </c>
      <c r="K3326" t="s">
        <v>23</v>
      </c>
    </row>
    <row r="3327" spans="1:11">
      <c r="A3327" s="1">
        <v>45806</v>
      </c>
      <c r="B3327" t="s">
        <v>21</v>
      </c>
      <c r="C3327" t="s">
        <v>47</v>
      </c>
      <c r="D3327">
        <v>783</v>
      </c>
      <c r="E3327">
        <v>192</v>
      </c>
      <c r="F3327">
        <v>41</v>
      </c>
      <c r="G3327">
        <v>38</v>
      </c>
      <c r="H3327">
        <v>1054</v>
      </c>
      <c r="I3327" s="1">
        <v>45778</v>
      </c>
      <c r="J3327">
        <v>79</v>
      </c>
      <c r="K3327" t="s">
        <v>23</v>
      </c>
    </row>
    <row r="3328" spans="1:11">
      <c r="A3328" s="1">
        <v>45806</v>
      </c>
      <c r="B3328" t="s">
        <v>21</v>
      </c>
      <c r="C3328" t="s">
        <v>45</v>
      </c>
      <c r="D3328">
        <v>862</v>
      </c>
      <c r="E3328">
        <v>475</v>
      </c>
      <c r="F3328">
        <v>321</v>
      </c>
      <c r="G3328">
        <v>65</v>
      </c>
      <c r="H3328">
        <v>1722</v>
      </c>
      <c r="I3328" s="1">
        <v>45778</v>
      </c>
      <c r="J3328">
        <v>386</v>
      </c>
      <c r="K3328" t="s">
        <v>23</v>
      </c>
    </row>
    <row r="3329" spans="1:11">
      <c r="A3329" s="1">
        <v>45806</v>
      </c>
      <c r="B3329" t="s">
        <v>21</v>
      </c>
      <c r="C3329" t="s">
        <v>54</v>
      </c>
      <c r="D3329">
        <v>117</v>
      </c>
      <c r="E3329">
        <v>54</v>
      </c>
      <c r="F3329">
        <v>19</v>
      </c>
      <c r="G3329">
        <v>12</v>
      </c>
      <c r="H3329">
        <v>202</v>
      </c>
      <c r="I3329" s="1">
        <v>45778</v>
      </c>
      <c r="J3329">
        <v>31</v>
      </c>
      <c r="K3329" t="s">
        <v>23</v>
      </c>
    </row>
    <row r="3330" spans="1:11">
      <c r="A3330" s="1">
        <v>45806</v>
      </c>
      <c r="B3330" t="s">
        <v>21</v>
      </c>
      <c r="C3330" t="s">
        <v>35</v>
      </c>
      <c r="D3330">
        <v>19</v>
      </c>
      <c r="E3330">
        <v>1</v>
      </c>
      <c r="F3330">
        <v>0</v>
      </c>
      <c r="G3330">
        <v>1</v>
      </c>
      <c r="H3330">
        <v>22</v>
      </c>
      <c r="I3330" s="1">
        <v>45778</v>
      </c>
      <c r="J3330">
        <v>1</v>
      </c>
      <c r="K3330" t="s">
        <v>23</v>
      </c>
    </row>
    <row r="3331" spans="1:11">
      <c r="A3331" s="1">
        <v>45806</v>
      </c>
      <c r="B3331" t="s">
        <v>21</v>
      </c>
      <c r="C3331" t="s">
        <v>52</v>
      </c>
      <c r="D3331">
        <v>1952</v>
      </c>
      <c r="E3331">
        <v>1191</v>
      </c>
      <c r="F3331">
        <v>661</v>
      </c>
      <c r="G3331">
        <v>141</v>
      </c>
      <c r="H3331">
        <v>3945</v>
      </c>
      <c r="I3331" s="1">
        <v>45778</v>
      </c>
      <c r="J3331">
        <v>802</v>
      </c>
      <c r="K3331" t="s">
        <v>23</v>
      </c>
    </row>
    <row r="3332" spans="1:11">
      <c r="A3332" s="1">
        <v>45806</v>
      </c>
      <c r="B3332" t="s">
        <v>21</v>
      </c>
      <c r="C3332" t="s">
        <v>63</v>
      </c>
      <c r="D3332">
        <v>293</v>
      </c>
      <c r="E3332">
        <v>139</v>
      </c>
      <c r="F3332">
        <v>133</v>
      </c>
      <c r="G3332">
        <v>92</v>
      </c>
      <c r="H3332">
        <v>657</v>
      </c>
      <c r="I3332" s="1">
        <v>45778</v>
      </c>
      <c r="J3332">
        <v>225</v>
      </c>
      <c r="K3332" t="s">
        <v>23</v>
      </c>
    </row>
    <row r="3333" spans="1:11">
      <c r="A3333" s="1">
        <v>45806</v>
      </c>
      <c r="B3333" t="s">
        <v>21</v>
      </c>
      <c r="C3333" t="s">
        <v>60</v>
      </c>
      <c r="D3333">
        <v>1185</v>
      </c>
      <c r="E3333">
        <v>152</v>
      </c>
      <c r="F3333">
        <v>70</v>
      </c>
      <c r="G3333">
        <v>145</v>
      </c>
      <c r="H3333">
        <v>1552</v>
      </c>
      <c r="I3333" s="1">
        <v>45778</v>
      </c>
      <c r="J3333">
        <v>215</v>
      </c>
      <c r="K3333" t="s">
        <v>23</v>
      </c>
    </row>
    <row r="3334" spans="1:11">
      <c r="A3334" s="1">
        <v>45806</v>
      </c>
      <c r="B3334" t="s">
        <v>21</v>
      </c>
      <c r="C3334" t="s">
        <v>61</v>
      </c>
      <c r="D3334">
        <v>1778</v>
      </c>
      <c r="E3334">
        <v>799</v>
      </c>
      <c r="F3334">
        <v>480</v>
      </c>
      <c r="G3334">
        <v>482</v>
      </c>
      <c r="H3334">
        <v>3539</v>
      </c>
      <c r="I3334" s="1">
        <v>45778</v>
      </c>
      <c r="J3334">
        <v>962</v>
      </c>
      <c r="K3334" t="s">
        <v>23</v>
      </c>
    </row>
    <row r="3335" spans="1:11">
      <c r="A3335" s="1">
        <v>45806</v>
      </c>
      <c r="B3335" t="s">
        <v>21</v>
      </c>
      <c r="C3335" t="s">
        <v>29</v>
      </c>
      <c r="D3335">
        <v>409</v>
      </c>
      <c r="E3335">
        <v>15</v>
      </c>
      <c r="F3335">
        <v>9</v>
      </c>
      <c r="G3335">
        <v>12</v>
      </c>
      <c r="H3335">
        <v>445</v>
      </c>
      <c r="I3335" s="1">
        <v>45778</v>
      </c>
      <c r="J3335">
        <v>21</v>
      </c>
      <c r="K3335" t="s">
        <v>23</v>
      </c>
    </row>
    <row r="3336" spans="1:11">
      <c r="A3336" s="1">
        <v>45806</v>
      </c>
      <c r="B3336" t="s">
        <v>21</v>
      </c>
      <c r="C3336" t="s">
        <v>59</v>
      </c>
      <c r="D3336">
        <v>2381</v>
      </c>
      <c r="E3336">
        <v>1080</v>
      </c>
      <c r="F3336">
        <v>489</v>
      </c>
      <c r="G3336">
        <v>237</v>
      </c>
      <c r="H3336">
        <v>4187</v>
      </c>
      <c r="I3336" s="1">
        <v>45778</v>
      </c>
      <c r="J3336">
        <v>726</v>
      </c>
      <c r="K3336" t="s">
        <v>23</v>
      </c>
    </row>
    <row r="3337" spans="1:11">
      <c r="A3337" s="1">
        <v>45806</v>
      </c>
      <c r="B3337" t="s">
        <v>21</v>
      </c>
      <c r="C3337" t="s">
        <v>67</v>
      </c>
      <c r="D3337">
        <v>1985</v>
      </c>
      <c r="E3337">
        <v>1011</v>
      </c>
      <c r="F3337">
        <v>514</v>
      </c>
      <c r="G3337">
        <v>350</v>
      </c>
      <c r="H3337">
        <v>3860</v>
      </c>
      <c r="I3337" s="1">
        <v>45778</v>
      </c>
      <c r="J3337">
        <v>864</v>
      </c>
      <c r="K3337" t="s">
        <v>23</v>
      </c>
    </row>
    <row r="3338" spans="1:11">
      <c r="A3338" s="1">
        <v>45834</v>
      </c>
      <c r="B3338" t="s">
        <v>21</v>
      </c>
      <c r="C3338" t="s">
        <v>41</v>
      </c>
      <c r="D3338">
        <v>475</v>
      </c>
      <c r="E3338">
        <v>209</v>
      </c>
      <c r="F3338">
        <v>53</v>
      </c>
      <c r="G3338">
        <v>3</v>
      </c>
      <c r="H3338">
        <v>740</v>
      </c>
      <c r="I3338" s="1">
        <v>45809</v>
      </c>
      <c r="J3338">
        <v>56</v>
      </c>
      <c r="K3338" t="s">
        <v>23</v>
      </c>
    </row>
    <row r="3339" spans="1:11">
      <c r="A3339" s="1">
        <v>45834</v>
      </c>
      <c r="B3339" t="s">
        <v>21</v>
      </c>
      <c r="C3339" t="s">
        <v>64</v>
      </c>
      <c r="D3339">
        <v>18396</v>
      </c>
      <c r="E3339">
        <v>8177</v>
      </c>
      <c r="F3339">
        <v>4118</v>
      </c>
      <c r="G3339">
        <v>3366</v>
      </c>
      <c r="H3339">
        <v>34057</v>
      </c>
      <c r="I3339" s="1">
        <v>45809</v>
      </c>
      <c r="J3339">
        <v>7484</v>
      </c>
      <c r="K3339" t="s">
        <v>23</v>
      </c>
    </row>
    <row r="3340" spans="1:11">
      <c r="A3340" s="1">
        <v>45834</v>
      </c>
      <c r="B3340" t="s">
        <v>21</v>
      </c>
      <c r="C3340" t="s">
        <v>65</v>
      </c>
      <c r="D3340">
        <v>3166</v>
      </c>
      <c r="E3340">
        <v>895</v>
      </c>
      <c r="F3340">
        <v>321</v>
      </c>
      <c r="G3340">
        <v>135</v>
      </c>
      <c r="H3340">
        <v>4516</v>
      </c>
      <c r="I3340" s="1">
        <v>45809</v>
      </c>
      <c r="J3340">
        <v>456</v>
      </c>
      <c r="K3340" t="s">
        <v>23</v>
      </c>
    </row>
    <row r="3341" spans="1:11">
      <c r="A3341" s="1">
        <v>45834</v>
      </c>
      <c r="B3341" t="s">
        <v>21</v>
      </c>
      <c r="C3341" t="s">
        <v>37</v>
      </c>
      <c r="D3341">
        <v>19</v>
      </c>
      <c r="E3341">
        <v>37</v>
      </c>
      <c r="F3341">
        <v>7</v>
      </c>
      <c r="G3341">
        <v>1</v>
      </c>
      <c r="H3341">
        <v>64</v>
      </c>
      <c r="I3341" s="1">
        <v>45809</v>
      </c>
      <c r="J3341">
        <v>8</v>
      </c>
      <c r="K3341" t="s">
        <v>23</v>
      </c>
    </row>
    <row r="3342" spans="1:11">
      <c r="A3342" s="1">
        <v>45834</v>
      </c>
      <c r="B3342" t="s">
        <v>21</v>
      </c>
      <c r="C3342" t="s">
        <v>66</v>
      </c>
      <c r="D3342">
        <v>2876</v>
      </c>
      <c r="E3342">
        <v>949</v>
      </c>
      <c r="F3342">
        <v>320</v>
      </c>
      <c r="G3342">
        <v>763</v>
      </c>
      <c r="H3342">
        <v>4907</v>
      </c>
      <c r="I3342" s="1">
        <v>45809</v>
      </c>
      <c r="J3342">
        <v>1083</v>
      </c>
      <c r="K3342" t="s">
        <v>23</v>
      </c>
    </row>
    <row r="3343" spans="1:11">
      <c r="A3343" s="1">
        <v>45834</v>
      </c>
      <c r="B3343" t="s">
        <v>21</v>
      </c>
      <c r="C3343" t="s">
        <v>57</v>
      </c>
      <c r="D3343">
        <v>1218</v>
      </c>
      <c r="E3343">
        <v>240</v>
      </c>
      <c r="F3343">
        <v>187</v>
      </c>
      <c r="G3343">
        <v>57</v>
      </c>
      <c r="H3343">
        <v>1702</v>
      </c>
      <c r="I3343" s="1">
        <v>45809</v>
      </c>
      <c r="J3343">
        <v>244</v>
      </c>
      <c r="K3343" t="s">
        <v>23</v>
      </c>
    </row>
    <row r="3344" spans="1:11">
      <c r="A3344" s="1">
        <v>45834</v>
      </c>
      <c r="B3344" t="s">
        <v>21</v>
      </c>
      <c r="C3344" t="s">
        <v>28</v>
      </c>
      <c r="D3344">
        <v>169</v>
      </c>
      <c r="E3344">
        <v>51</v>
      </c>
      <c r="F3344">
        <v>108</v>
      </c>
      <c r="G3344">
        <v>184</v>
      </c>
      <c r="H3344">
        <v>510</v>
      </c>
      <c r="I3344" s="1">
        <v>45809</v>
      </c>
      <c r="J3344">
        <v>292</v>
      </c>
      <c r="K3344" t="s">
        <v>23</v>
      </c>
    </row>
    <row r="3345" spans="1:11">
      <c r="A3345" s="1">
        <v>45834</v>
      </c>
      <c r="B3345" t="s">
        <v>21</v>
      </c>
      <c r="C3345" t="s">
        <v>47</v>
      </c>
      <c r="D3345">
        <v>740</v>
      </c>
      <c r="E3345">
        <v>220</v>
      </c>
      <c r="F3345">
        <v>38</v>
      </c>
      <c r="G3345">
        <v>42</v>
      </c>
      <c r="H3345">
        <v>1039</v>
      </c>
      <c r="I3345" s="1">
        <v>45809</v>
      </c>
      <c r="J3345">
        <v>80</v>
      </c>
      <c r="K3345" t="s">
        <v>23</v>
      </c>
    </row>
    <row r="3346" spans="1:11">
      <c r="A3346" s="1">
        <v>45834</v>
      </c>
      <c r="B3346" t="s">
        <v>21</v>
      </c>
      <c r="C3346" t="s">
        <v>51</v>
      </c>
      <c r="D3346">
        <v>859</v>
      </c>
      <c r="E3346">
        <v>216</v>
      </c>
      <c r="F3346">
        <v>67</v>
      </c>
      <c r="G3346">
        <v>4</v>
      </c>
      <c r="H3346">
        <v>1147</v>
      </c>
      <c r="I3346" s="1">
        <v>45809</v>
      </c>
      <c r="J3346">
        <v>71</v>
      </c>
      <c r="K3346" t="s">
        <v>23</v>
      </c>
    </row>
    <row r="3347" spans="1:11">
      <c r="A3347" s="1">
        <v>45834</v>
      </c>
      <c r="B3347" t="s">
        <v>21</v>
      </c>
      <c r="C3347" t="s">
        <v>45</v>
      </c>
      <c r="D3347">
        <v>868</v>
      </c>
      <c r="E3347">
        <v>479</v>
      </c>
      <c r="F3347">
        <v>313</v>
      </c>
      <c r="G3347">
        <v>44</v>
      </c>
      <c r="H3347">
        <v>1704</v>
      </c>
      <c r="I3347" s="1">
        <v>45809</v>
      </c>
      <c r="J3347">
        <v>357</v>
      </c>
      <c r="K3347" t="s">
        <v>23</v>
      </c>
    </row>
    <row r="3348" spans="1:11">
      <c r="A3348" s="1">
        <v>45834</v>
      </c>
      <c r="B3348" t="s">
        <v>21</v>
      </c>
      <c r="C3348" t="s">
        <v>54</v>
      </c>
      <c r="D3348">
        <v>83</v>
      </c>
      <c r="E3348">
        <v>63</v>
      </c>
      <c r="F3348">
        <v>16</v>
      </c>
      <c r="G3348">
        <v>13</v>
      </c>
      <c r="H3348">
        <v>175</v>
      </c>
      <c r="I3348" s="1">
        <v>45809</v>
      </c>
      <c r="J3348">
        <v>29</v>
      </c>
      <c r="K3348" t="s">
        <v>23</v>
      </c>
    </row>
    <row r="3349" spans="1:11">
      <c r="A3349" s="1">
        <v>45834</v>
      </c>
      <c r="B3349" t="s">
        <v>21</v>
      </c>
      <c r="C3349" t="s">
        <v>52</v>
      </c>
      <c r="D3349">
        <v>1975</v>
      </c>
      <c r="E3349">
        <v>1148</v>
      </c>
      <c r="F3349">
        <v>697</v>
      </c>
      <c r="G3349">
        <v>186</v>
      </c>
      <c r="H3349">
        <v>4006</v>
      </c>
      <c r="I3349" s="1">
        <v>45809</v>
      </c>
      <c r="J3349">
        <v>883</v>
      </c>
      <c r="K3349" t="s">
        <v>23</v>
      </c>
    </row>
    <row r="3350" spans="1:11">
      <c r="A3350" s="1">
        <v>45834</v>
      </c>
      <c r="B3350" t="s">
        <v>21</v>
      </c>
      <c r="C3350" t="s">
        <v>63</v>
      </c>
      <c r="D3350">
        <v>307</v>
      </c>
      <c r="E3350">
        <v>141</v>
      </c>
      <c r="F3350">
        <v>133</v>
      </c>
      <c r="G3350">
        <v>99</v>
      </c>
      <c r="H3350">
        <v>680</v>
      </c>
      <c r="I3350" s="1">
        <v>45809</v>
      </c>
      <c r="J3350">
        <v>232</v>
      </c>
      <c r="K3350" t="s">
        <v>23</v>
      </c>
    </row>
    <row r="3351" spans="1:11">
      <c r="A3351" s="1">
        <v>45834</v>
      </c>
      <c r="B3351" t="s">
        <v>21</v>
      </c>
      <c r="C3351" t="s">
        <v>60</v>
      </c>
      <c r="D3351">
        <v>1211</v>
      </c>
      <c r="E3351">
        <v>137</v>
      </c>
      <c r="F3351">
        <v>76</v>
      </c>
      <c r="G3351">
        <v>153</v>
      </c>
      <c r="H3351">
        <v>1577</v>
      </c>
      <c r="I3351" s="1">
        <v>45809</v>
      </c>
      <c r="J3351">
        <v>229</v>
      </c>
      <c r="K3351" t="s">
        <v>23</v>
      </c>
    </row>
    <row r="3352" spans="1:11">
      <c r="A3352" s="1">
        <v>45834</v>
      </c>
      <c r="B3352" t="s">
        <v>21</v>
      </c>
      <c r="C3352" t="s">
        <v>61</v>
      </c>
      <c r="D3352">
        <v>1824</v>
      </c>
      <c r="E3352">
        <v>780</v>
      </c>
      <c r="F3352">
        <v>504</v>
      </c>
      <c r="G3352">
        <v>479</v>
      </c>
      <c r="H3352">
        <v>3587</v>
      </c>
      <c r="I3352" s="1">
        <v>45809</v>
      </c>
      <c r="J3352">
        <v>983</v>
      </c>
      <c r="K3352" t="s">
        <v>23</v>
      </c>
    </row>
    <row r="3353" spans="1:11">
      <c r="A3353" s="1">
        <v>45834</v>
      </c>
      <c r="B3353" t="s">
        <v>21</v>
      </c>
      <c r="C3353" t="s">
        <v>29</v>
      </c>
      <c r="D3353">
        <v>394</v>
      </c>
      <c r="E3353">
        <v>18</v>
      </c>
      <c r="F3353">
        <v>7</v>
      </c>
      <c r="G3353">
        <v>12</v>
      </c>
      <c r="H3353">
        <v>431</v>
      </c>
      <c r="I3353" s="1">
        <v>45809</v>
      </c>
      <c r="J3353">
        <v>19</v>
      </c>
      <c r="K3353" t="s">
        <v>23</v>
      </c>
    </row>
    <row r="3354" spans="1:11">
      <c r="A3354" s="1">
        <v>45834</v>
      </c>
      <c r="B3354" t="s">
        <v>21</v>
      </c>
      <c r="C3354" t="s">
        <v>59</v>
      </c>
      <c r="D3354">
        <v>2402</v>
      </c>
      <c r="E3354">
        <v>1053</v>
      </c>
      <c r="F3354">
        <v>459</v>
      </c>
      <c r="G3354">
        <v>237</v>
      </c>
      <c r="H3354">
        <v>4151</v>
      </c>
      <c r="I3354" s="1">
        <v>45809</v>
      </c>
      <c r="J3354">
        <v>696</v>
      </c>
      <c r="K3354" t="s">
        <v>23</v>
      </c>
    </row>
    <row r="3355" spans="1:11">
      <c r="A3355" s="1">
        <v>45834</v>
      </c>
      <c r="B3355" t="s">
        <v>21</v>
      </c>
      <c r="C3355" t="s">
        <v>67</v>
      </c>
      <c r="D3355">
        <v>1964</v>
      </c>
      <c r="E3355">
        <v>1042</v>
      </c>
      <c r="F3355">
        <v>501</v>
      </c>
      <c r="G3355">
        <v>371</v>
      </c>
      <c r="H3355">
        <v>3878</v>
      </c>
      <c r="I3355" s="1">
        <v>45809</v>
      </c>
      <c r="J3355">
        <v>872</v>
      </c>
      <c r="K3355" t="s">
        <v>23</v>
      </c>
    </row>
    <row r="3356" spans="1:11">
      <c r="A3356" s="1">
        <v>45869</v>
      </c>
      <c r="B3356" t="s">
        <v>21</v>
      </c>
      <c r="C3356" t="s">
        <v>64</v>
      </c>
      <c r="D3356">
        <v>18841</v>
      </c>
      <c r="E3356">
        <v>7491</v>
      </c>
      <c r="F3356">
        <v>4135</v>
      </c>
      <c r="G3356">
        <v>3298</v>
      </c>
      <c r="H3356">
        <v>33765</v>
      </c>
      <c r="I3356" s="1">
        <v>45839</v>
      </c>
      <c r="J3356">
        <v>7433</v>
      </c>
      <c r="K3356" t="s">
        <v>23</v>
      </c>
    </row>
    <row r="3357" spans="1:11">
      <c r="A3357" s="1">
        <v>45869</v>
      </c>
      <c r="B3357" t="s">
        <v>21</v>
      </c>
      <c r="C3357" t="s">
        <v>65</v>
      </c>
      <c r="D3357">
        <v>3199</v>
      </c>
      <c r="E3357">
        <v>847</v>
      </c>
      <c r="F3357">
        <v>295</v>
      </c>
      <c r="G3357">
        <v>133</v>
      </c>
      <c r="H3357">
        <v>4474</v>
      </c>
      <c r="I3357" s="1">
        <v>45839</v>
      </c>
      <c r="J3357">
        <v>428</v>
      </c>
      <c r="K3357" t="s">
        <v>23</v>
      </c>
    </row>
    <row r="3358" spans="1:11">
      <c r="A3358" s="1">
        <v>45869</v>
      </c>
      <c r="B3358" t="s">
        <v>21</v>
      </c>
      <c r="C3358" t="s">
        <v>27</v>
      </c>
      <c r="D3358">
        <v>204</v>
      </c>
      <c r="E3358">
        <v>10</v>
      </c>
      <c r="F3358">
        <v>0</v>
      </c>
      <c r="G3358">
        <v>3</v>
      </c>
      <c r="H3358">
        <v>217</v>
      </c>
      <c r="I3358" s="1">
        <v>45839</v>
      </c>
      <c r="J3358">
        <v>3</v>
      </c>
      <c r="K3358" t="s">
        <v>23</v>
      </c>
    </row>
    <row r="3359" spans="1:11">
      <c r="A3359" s="1">
        <v>45869</v>
      </c>
      <c r="B3359" t="s">
        <v>21</v>
      </c>
      <c r="C3359" t="s">
        <v>37</v>
      </c>
      <c r="D3359">
        <v>18</v>
      </c>
      <c r="E3359">
        <v>35</v>
      </c>
      <c r="F3359">
        <v>6</v>
      </c>
      <c r="G3359">
        <v>1</v>
      </c>
      <c r="H3359">
        <v>61</v>
      </c>
      <c r="I3359" s="1">
        <v>45839</v>
      </c>
      <c r="J3359">
        <v>7</v>
      </c>
      <c r="K3359" t="s">
        <v>23</v>
      </c>
    </row>
    <row r="3360" spans="1:11">
      <c r="A3360" s="1">
        <v>45869</v>
      </c>
      <c r="B3360" t="s">
        <v>21</v>
      </c>
      <c r="C3360" t="s">
        <v>66</v>
      </c>
      <c r="D3360">
        <v>3065</v>
      </c>
      <c r="E3360">
        <v>935</v>
      </c>
      <c r="F3360">
        <v>318</v>
      </c>
      <c r="G3360">
        <v>746</v>
      </c>
      <c r="H3360">
        <v>5064</v>
      </c>
      <c r="I3360" s="1">
        <v>45839</v>
      </c>
      <c r="J3360">
        <v>1064</v>
      </c>
      <c r="K3360" t="s">
        <v>23</v>
      </c>
    </row>
    <row r="3361" spans="1:11">
      <c r="A3361" s="1">
        <v>45869</v>
      </c>
      <c r="B3361" t="s">
        <v>21</v>
      </c>
      <c r="C3361" t="s">
        <v>57</v>
      </c>
      <c r="D3361">
        <v>1194</v>
      </c>
      <c r="E3361">
        <v>228</v>
      </c>
      <c r="F3361">
        <v>192</v>
      </c>
      <c r="G3361">
        <v>60</v>
      </c>
      <c r="H3361">
        <v>1674</v>
      </c>
      <c r="I3361" s="1">
        <v>45839</v>
      </c>
      <c r="J3361">
        <v>252</v>
      </c>
      <c r="K3361" t="s">
        <v>23</v>
      </c>
    </row>
    <row r="3362" spans="1:11">
      <c r="A3362" s="1">
        <v>45869</v>
      </c>
      <c r="B3362" t="s">
        <v>21</v>
      </c>
      <c r="C3362" t="s">
        <v>28</v>
      </c>
      <c r="D3362">
        <v>180</v>
      </c>
      <c r="E3362">
        <v>46</v>
      </c>
      <c r="F3362">
        <v>98</v>
      </c>
      <c r="G3362">
        <v>134</v>
      </c>
      <c r="H3362">
        <v>457</v>
      </c>
      <c r="I3362" s="1">
        <v>45839</v>
      </c>
      <c r="J3362">
        <v>232</v>
      </c>
      <c r="K3362" t="s">
        <v>23</v>
      </c>
    </row>
    <row r="3363" spans="1:11">
      <c r="A3363" s="1">
        <v>45869</v>
      </c>
      <c r="B3363" t="s">
        <v>21</v>
      </c>
      <c r="C3363" t="s">
        <v>47</v>
      </c>
      <c r="D3363">
        <v>740</v>
      </c>
      <c r="E3363">
        <v>203</v>
      </c>
      <c r="F3363">
        <v>47</v>
      </c>
      <c r="G3363">
        <v>43</v>
      </c>
      <c r="H3363">
        <v>1033</v>
      </c>
      <c r="I3363" s="1">
        <v>45839</v>
      </c>
      <c r="J3363">
        <v>90</v>
      </c>
      <c r="K3363" t="s">
        <v>23</v>
      </c>
    </row>
    <row r="3364" spans="1:11">
      <c r="A3364" s="1">
        <v>45869</v>
      </c>
      <c r="B3364" t="s">
        <v>21</v>
      </c>
      <c r="C3364" t="s">
        <v>51</v>
      </c>
      <c r="D3364">
        <v>837</v>
      </c>
      <c r="E3364">
        <v>203</v>
      </c>
      <c r="F3364">
        <v>74</v>
      </c>
      <c r="G3364">
        <v>3</v>
      </c>
      <c r="H3364">
        <v>1117</v>
      </c>
      <c r="I3364" s="1">
        <v>45839</v>
      </c>
      <c r="J3364">
        <v>77</v>
      </c>
      <c r="K3364" t="s">
        <v>23</v>
      </c>
    </row>
    <row r="3365" spans="1:11">
      <c r="A3365" s="1">
        <v>45869</v>
      </c>
      <c r="B3365" t="s">
        <v>21</v>
      </c>
      <c r="C3365" t="s">
        <v>45</v>
      </c>
      <c r="D3365">
        <v>933</v>
      </c>
      <c r="E3365">
        <v>471</v>
      </c>
      <c r="F3365">
        <v>287</v>
      </c>
      <c r="G3365">
        <v>41</v>
      </c>
      <c r="H3365">
        <v>1733</v>
      </c>
      <c r="I3365" s="1">
        <v>45839</v>
      </c>
      <c r="J3365">
        <v>328</v>
      </c>
      <c r="K3365" t="s">
        <v>23</v>
      </c>
    </row>
    <row r="3366" spans="1:11">
      <c r="A3366" s="1">
        <v>45869</v>
      </c>
      <c r="B3366" t="s">
        <v>21</v>
      </c>
      <c r="C3366" t="s">
        <v>54</v>
      </c>
      <c r="D3366">
        <v>114</v>
      </c>
      <c r="E3366">
        <v>51</v>
      </c>
      <c r="F3366">
        <v>18</v>
      </c>
      <c r="G3366">
        <v>13</v>
      </c>
      <c r="H3366">
        <v>196</v>
      </c>
      <c r="I3366" s="1">
        <v>45839</v>
      </c>
      <c r="J3366">
        <v>31</v>
      </c>
      <c r="K3366" t="s">
        <v>23</v>
      </c>
    </row>
    <row r="3367" spans="1:11">
      <c r="A3367" s="1">
        <v>45869</v>
      </c>
      <c r="B3367" t="s">
        <v>21</v>
      </c>
      <c r="C3367" t="s">
        <v>35</v>
      </c>
      <c r="D3367">
        <v>24</v>
      </c>
      <c r="E3367">
        <v>2</v>
      </c>
      <c r="F3367">
        <v>0</v>
      </c>
      <c r="G3367">
        <v>1</v>
      </c>
      <c r="H3367">
        <v>27</v>
      </c>
      <c r="I3367" s="1">
        <v>45839</v>
      </c>
      <c r="J3367">
        <v>1</v>
      </c>
      <c r="K3367" t="s">
        <v>23</v>
      </c>
    </row>
    <row r="3368" spans="1:11">
      <c r="A3368" s="1">
        <v>45869</v>
      </c>
      <c r="B3368" t="s">
        <v>21</v>
      </c>
      <c r="C3368" t="s">
        <v>52</v>
      </c>
      <c r="D3368">
        <v>1816</v>
      </c>
      <c r="E3368">
        <v>1070</v>
      </c>
      <c r="F3368">
        <v>693</v>
      </c>
      <c r="G3368">
        <v>222</v>
      </c>
      <c r="H3368">
        <v>3801</v>
      </c>
      <c r="I3368" s="1">
        <v>45839</v>
      </c>
      <c r="J3368">
        <v>915</v>
      </c>
      <c r="K3368" t="s">
        <v>23</v>
      </c>
    </row>
    <row r="3369" spans="1:11">
      <c r="A3369" s="1">
        <v>45869</v>
      </c>
      <c r="B3369" t="s">
        <v>21</v>
      </c>
      <c r="C3369" t="s">
        <v>63</v>
      </c>
      <c r="D3369">
        <v>297</v>
      </c>
      <c r="E3369">
        <v>131</v>
      </c>
      <c r="F3369">
        <v>102</v>
      </c>
      <c r="G3369">
        <v>93</v>
      </c>
      <c r="H3369">
        <v>623</v>
      </c>
      <c r="I3369" s="1">
        <v>45839</v>
      </c>
      <c r="J3369">
        <v>195</v>
      </c>
      <c r="K3369" t="s">
        <v>23</v>
      </c>
    </row>
    <row r="3370" spans="1:11">
      <c r="A3370" s="1">
        <v>45869</v>
      </c>
      <c r="B3370" t="s">
        <v>21</v>
      </c>
      <c r="C3370" t="s">
        <v>60</v>
      </c>
      <c r="D3370">
        <v>1194</v>
      </c>
      <c r="E3370">
        <v>144</v>
      </c>
      <c r="F3370">
        <v>76</v>
      </c>
      <c r="G3370">
        <v>161</v>
      </c>
      <c r="H3370">
        <v>1575</v>
      </c>
      <c r="I3370" s="1">
        <v>45839</v>
      </c>
      <c r="J3370">
        <v>237</v>
      </c>
      <c r="K3370" t="s">
        <v>23</v>
      </c>
    </row>
    <row r="3371" spans="1:11">
      <c r="A3371" s="1">
        <v>45869</v>
      </c>
      <c r="B3371" t="s">
        <v>21</v>
      </c>
      <c r="C3371" t="s">
        <v>61</v>
      </c>
      <c r="D3371">
        <v>1772</v>
      </c>
      <c r="E3371">
        <v>727</v>
      </c>
      <c r="F3371">
        <v>456</v>
      </c>
      <c r="G3371">
        <v>443</v>
      </c>
      <c r="H3371">
        <v>3398</v>
      </c>
      <c r="I3371" s="1">
        <v>45839</v>
      </c>
      <c r="J3371">
        <v>899</v>
      </c>
      <c r="K3371" t="s">
        <v>23</v>
      </c>
    </row>
    <row r="3372" spans="1:11">
      <c r="A3372" s="1">
        <v>45869</v>
      </c>
      <c r="B3372" t="s">
        <v>21</v>
      </c>
      <c r="C3372" t="s">
        <v>29</v>
      </c>
      <c r="D3372">
        <v>349</v>
      </c>
      <c r="E3372">
        <v>18</v>
      </c>
      <c r="F3372">
        <v>9</v>
      </c>
      <c r="G3372">
        <v>14</v>
      </c>
      <c r="H3372">
        <v>390</v>
      </c>
      <c r="I3372" s="1">
        <v>45839</v>
      </c>
      <c r="J3372">
        <v>23</v>
      </c>
      <c r="K3372" t="s">
        <v>23</v>
      </c>
    </row>
    <row r="3373" spans="1:11">
      <c r="A3373" s="1">
        <v>45869</v>
      </c>
      <c r="B3373" t="s">
        <v>21</v>
      </c>
      <c r="C3373" t="s">
        <v>44</v>
      </c>
      <c r="D3373">
        <v>704</v>
      </c>
      <c r="E3373">
        <v>320</v>
      </c>
      <c r="F3373">
        <v>126</v>
      </c>
      <c r="G3373">
        <v>6</v>
      </c>
      <c r="H3373">
        <v>1157</v>
      </c>
      <c r="I3373" s="1">
        <v>45839</v>
      </c>
      <c r="J3373">
        <v>132</v>
      </c>
      <c r="K3373" t="s">
        <v>23</v>
      </c>
    </row>
    <row r="3374" spans="1:11">
      <c r="A3374" s="1">
        <v>45869</v>
      </c>
      <c r="B3374" t="s">
        <v>21</v>
      </c>
      <c r="C3374" t="s">
        <v>59</v>
      </c>
      <c r="D3374">
        <v>2545</v>
      </c>
      <c r="E3374">
        <v>932</v>
      </c>
      <c r="F3374">
        <v>436</v>
      </c>
      <c r="G3374">
        <v>238</v>
      </c>
      <c r="H3374">
        <v>4150</v>
      </c>
      <c r="I3374" s="1">
        <v>45839</v>
      </c>
      <c r="J3374">
        <v>674</v>
      </c>
      <c r="K3374" t="s">
        <v>23</v>
      </c>
    </row>
    <row r="3375" spans="1:11">
      <c r="A3375" s="1">
        <v>45869</v>
      </c>
      <c r="B3375" t="s">
        <v>21</v>
      </c>
      <c r="C3375" t="s">
        <v>67</v>
      </c>
      <c r="D3375">
        <v>2074</v>
      </c>
      <c r="E3375">
        <v>979</v>
      </c>
      <c r="F3375">
        <v>489</v>
      </c>
      <c r="G3375">
        <v>357</v>
      </c>
      <c r="H3375">
        <v>3899</v>
      </c>
      <c r="I3375" s="1">
        <v>45839</v>
      </c>
      <c r="J3375">
        <v>846</v>
      </c>
      <c r="K3375" t="s">
        <v>23</v>
      </c>
    </row>
    <row r="3376" spans="1:11">
      <c r="A3376" s="1">
        <v>45897</v>
      </c>
      <c r="B3376" t="s">
        <v>21</v>
      </c>
      <c r="C3376" t="s">
        <v>48</v>
      </c>
      <c r="D3376">
        <v>39</v>
      </c>
      <c r="E3376">
        <v>11</v>
      </c>
      <c r="F3376">
        <v>4</v>
      </c>
      <c r="G3376">
        <v>1</v>
      </c>
      <c r="H3376">
        <v>56</v>
      </c>
      <c r="I3376" s="1">
        <v>45870</v>
      </c>
      <c r="J3376">
        <v>5</v>
      </c>
      <c r="K3376" t="s">
        <v>23</v>
      </c>
    </row>
    <row r="3377" spans="1:11">
      <c r="A3377" s="1">
        <v>45897</v>
      </c>
      <c r="B3377" t="s">
        <v>21</v>
      </c>
      <c r="C3377" t="s">
        <v>64</v>
      </c>
      <c r="D3377">
        <v>18889</v>
      </c>
      <c r="E3377">
        <v>7790</v>
      </c>
      <c r="F3377">
        <v>3874</v>
      </c>
      <c r="G3377">
        <v>3456</v>
      </c>
      <c r="H3377">
        <v>34009</v>
      </c>
      <c r="I3377" s="1">
        <v>45870</v>
      </c>
      <c r="J3377">
        <v>7330</v>
      </c>
      <c r="K3377" t="s">
        <v>23</v>
      </c>
    </row>
    <row r="3378" spans="1:11">
      <c r="A3378" s="1">
        <v>45897</v>
      </c>
      <c r="B3378" t="s">
        <v>21</v>
      </c>
      <c r="C3378" t="s">
        <v>65</v>
      </c>
      <c r="D3378">
        <v>3170</v>
      </c>
      <c r="E3378">
        <v>901</v>
      </c>
      <c r="F3378">
        <v>286</v>
      </c>
      <c r="G3378">
        <v>141</v>
      </c>
      <c r="H3378">
        <v>4497</v>
      </c>
      <c r="I3378" s="1">
        <v>45870</v>
      </c>
      <c r="J3378">
        <v>427</v>
      </c>
      <c r="K3378" t="s">
        <v>23</v>
      </c>
    </row>
    <row r="3379" spans="1:11">
      <c r="A3379" s="1">
        <v>45897</v>
      </c>
      <c r="B3379" t="s">
        <v>21</v>
      </c>
      <c r="C3379" t="s">
        <v>66</v>
      </c>
      <c r="D3379">
        <v>2916</v>
      </c>
      <c r="E3379">
        <v>1039</v>
      </c>
      <c r="F3379">
        <v>326</v>
      </c>
      <c r="G3379">
        <v>773</v>
      </c>
      <c r="H3379">
        <v>5054</v>
      </c>
      <c r="I3379" s="1">
        <v>45870</v>
      </c>
      <c r="J3379">
        <v>1099</v>
      </c>
      <c r="K3379" t="s">
        <v>23</v>
      </c>
    </row>
    <row r="3380" spans="1:11">
      <c r="A3380" s="1">
        <v>45897</v>
      </c>
      <c r="B3380" t="s">
        <v>21</v>
      </c>
      <c r="C3380" t="s">
        <v>57</v>
      </c>
      <c r="D3380">
        <v>1188</v>
      </c>
      <c r="E3380">
        <v>262</v>
      </c>
      <c r="F3380">
        <v>171</v>
      </c>
      <c r="G3380">
        <v>57</v>
      </c>
      <c r="H3380">
        <v>1678</v>
      </c>
      <c r="I3380" s="1">
        <v>45870</v>
      </c>
      <c r="J3380">
        <v>228</v>
      </c>
      <c r="K3380" t="s">
        <v>23</v>
      </c>
    </row>
    <row r="3381" spans="1:11">
      <c r="A3381" s="1">
        <v>45897</v>
      </c>
      <c r="B3381" t="s">
        <v>21</v>
      </c>
      <c r="C3381" t="s">
        <v>28</v>
      </c>
      <c r="D3381">
        <v>180</v>
      </c>
      <c r="E3381">
        <v>45</v>
      </c>
      <c r="F3381">
        <v>67</v>
      </c>
      <c r="G3381">
        <v>123</v>
      </c>
      <c r="H3381">
        <v>415</v>
      </c>
      <c r="I3381" s="1">
        <v>45870</v>
      </c>
      <c r="J3381">
        <v>190</v>
      </c>
      <c r="K3381" t="s">
        <v>23</v>
      </c>
    </row>
    <row r="3382" spans="1:11">
      <c r="A3382" s="1">
        <v>45897</v>
      </c>
      <c r="B3382" t="s">
        <v>21</v>
      </c>
      <c r="C3382" t="s">
        <v>47</v>
      </c>
      <c r="D3382">
        <v>677</v>
      </c>
      <c r="E3382">
        <v>207</v>
      </c>
      <c r="F3382">
        <v>55</v>
      </c>
      <c r="G3382">
        <v>42</v>
      </c>
      <c r="H3382">
        <v>981</v>
      </c>
      <c r="I3382" s="1">
        <v>45870</v>
      </c>
      <c r="J3382">
        <v>97</v>
      </c>
      <c r="K3382" t="s">
        <v>23</v>
      </c>
    </row>
    <row r="3383" spans="1:11">
      <c r="A3383" s="1">
        <v>45897</v>
      </c>
      <c r="B3383" t="s">
        <v>21</v>
      </c>
      <c r="C3383" t="s">
        <v>45</v>
      </c>
      <c r="D3383">
        <v>923</v>
      </c>
      <c r="E3383">
        <v>489</v>
      </c>
      <c r="F3383">
        <v>297</v>
      </c>
      <c r="G3383">
        <v>59</v>
      </c>
      <c r="H3383">
        <v>1768</v>
      </c>
      <c r="I3383" s="1">
        <v>45870</v>
      </c>
      <c r="J3383">
        <v>356</v>
      </c>
      <c r="K3383" t="s">
        <v>23</v>
      </c>
    </row>
    <row r="3384" spans="1:11">
      <c r="A3384" s="1">
        <v>45897</v>
      </c>
      <c r="B3384" t="s">
        <v>21</v>
      </c>
      <c r="C3384" t="s">
        <v>54</v>
      </c>
      <c r="D3384">
        <v>78</v>
      </c>
      <c r="E3384">
        <v>53</v>
      </c>
      <c r="F3384">
        <v>24</v>
      </c>
      <c r="G3384">
        <v>12</v>
      </c>
      <c r="H3384">
        <v>167</v>
      </c>
      <c r="I3384" s="1">
        <v>45870</v>
      </c>
      <c r="J3384">
        <v>36</v>
      </c>
      <c r="K3384" t="s">
        <v>23</v>
      </c>
    </row>
    <row r="3385" spans="1:11">
      <c r="A3385" s="1">
        <v>45897</v>
      </c>
      <c r="B3385" t="s">
        <v>21</v>
      </c>
      <c r="C3385" t="s">
        <v>52</v>
      </c>
      <c r="D3385">
        <v>1919</v>
      </c>
      <c r="E3385">
        <v>1115</v>
      </c>
      <c r="F3385">
        <v>690</v>
      </c>
      <c r="G3385">
        <v>258</v>
      </c>
      <c r="H3385">
        <v>3983</v>
      </c>
      <c r="I3385" s="1">
        <v>45870</v>
      </c>
      <c r="J3385">
        <v>948</v>
      </c>
      <c r="K3385" t="s">
        <v>23</v>
      </c>
    </row>
    <row r="3386" spans="1:11">
      <c r="A3386" s="1">
        <v>45897</v>
      </c>
      <c r="B3386" t="s">
        <v>21</v>
      </c>
      <c r="C3386" t="s">
        <v>63</v>
      </c>
      <c r="D3386">
        <v>310</v>
      </c>
      <c r="E3386">
        <v>122</v>
      </c>
      <c r="F3386">
        <v>109</v>
      </c>
      <c r="G3386">
        <v>77</v>
      </c>
      <c r="H3386">
        <v>618</v>
      </c>
      <c r="I3386" s="1">
        <v>45870</v>
      </c>
      <c r="J3386">
        <v>186</v>
      </c>
      <c r="K3386" t="s">
        <v>23</v>
      </c>
    </row>
    <row r="3387" spans="1:11">
      <c r="A3387" s="1">
        <v>45897</v>
      </c>
      <c r="B3387" t="s">
        <v>21</v>
      </c>
      <c r="C3387" t="s">
        <v>60</v>
      </c>
      <c r="D3387">
        <v>1165</v>
      </c>
      <c r="E3387">
        <v>174</v>
      </c>
      <c r="F3387">
        <v>78</v>
      </c>
      <c r="G3387">
        <v>167</v>
      </c>
      <c r="H3387">
        <v>1583</v>
      </c>
      <c r="I3387" s="1">
        <v>45870</v>
      </c>
      <c r="J3387">
        <v>245</v>
      </c>
      <c r="K3387" t="s">
        <v>23</v>
      </c>
    </row>
    <row r="3388" spans="1:11">
      <c r="A3388" s="1">
        <v>45897</v>
      </c>
      <c r="B3388" t="s">
        <v>21</v>
      </c>
      <c r="C3388" t="s">
        <v>61</v>
      </c>
      <c r="D3388">
        <v>1771</v>
      </c>
      <c r="E3388">
        <v>738</v>
      </c>
      <c r="F3388">
        <v>452</v>
      </c>
      <c r="G3388">
        <v>439</v>
      </c>
      <c r="H3388">
        <v>3400</v>
      </c>
      <c r="I3388" s="1">
        <v>45870</v>
      </c>
      <c r="J3388">
        <v>891</v>
      </c>
      <c r="K3388" t="s">
        <v>23</v>
      </c>
    </row>
    <row r="3389" spans="1:11">
      <c r="A3389" s="1">
        <v>45897</v>
      </c>
      <c r="B3389" t="s">
        <v>21</v>
      </c>
      <c r="C3389" t="s">
        <v>29</v>
      </c>
      <c r="D3389">
        <v>338</v>
      </c>
      <c r="E3389">
        <v>22</v>
      </c>
      <c r="F3389">
        <v>6</v>
      </c>
      <c r="G3389">
        <v>17</v>
      </c>
      <c r="H3389">
        <v>382</v>
      </c>
      <c r="I3389" s="1">
        <v>45870</v>
      </c>
      <c r="J3389">
        <v>23</v>
      </c>
      <c r="K3389" t="s">
        <v>23</v>
      </c>
    </row>
    <row r="3390" spans="1:11">
      <c r="A3390" s="1">
        <v>45897</v>
      </c>
      <c r="B3390" t="s">
        <v>21</v>
      </c>
      <c r="C3390" t="s">
        <v>36</v>
      </c>
      <c r="D3390">
        <v>4</v>
      </c>
      <c r="E3390">
        <v>2</v>
      </c>
      <c r="F3390">
        <v>0</v>
      </c>
      <c r="G3390">
        <v>1</v>
      </c>
      <c r="H3390">
        <v>7</v>
      </c>
      <c r="I3390" s="1">
        <v>45870</v>
      </c>
      <c r="J3390">
        <v>1</v>
      </c>
      <c r="K3390" t="s">
        <v>23</v>
      </c>
    </row>
    <row r="3391" spans="1:11">
      <c r="A3391" s="1">
        <v>45897</v>
      </c>
      <c r="B3391" t="s">
        <v>21</v>
      </c>
      <c r="C3391" t="s">
        <v>32</v>
      </c>
      <c r="D3391">
        <v>348</v>
      </c>
      <c r="E3391">
        <v>81</v>
      </c>
      <c r="F3391">
        <v>27</v>
      </c>
      <c r="G3391">
        <v>1</v>
      </c>
      <c r="H3391">
        <v>457</v>
      </c>
      <c r="I3391" s="1">
        <v>45870</v>
      </c>
      <c r="J3391">
        <v>28</v>
      </c>
      <c r="K3391" t="s">
        <v>23</v>
      </c>
    </row>
    <row r="3392" spans="1:11">
      <c r="A3392" s="1">
        <v>45897</v>
      </c>
      <c r="B3392" t="s">
        <v>21</v>
      </c>
      <c r="C3392" t="s">
        <v>44</v>
      </c>
      <c r="D3392">
        <v>676</v>
      </c>
      <c r="E3392">
        <v>311</v>
      </c>
      <c r="F3392">
        <v>133</v>
      </c>
      <c r="G3392">
        <v>11</v>
      </c>
      <c r="H3392">
        <v>1131</v>
      </c>
      <c r="I3392" s="1">
        <v>45870</v>
      </c>
      <c r="J3392">
        <v>144</v>
      </c>
      <c r="K3392" t="s">
        <v>23</v>
      </c>
    </row>
    <row r="3393" spans="1:11">
      <c r="A3393" s="1">
        <v>45897</v>
      </c>
      <c r="B3393" t="s">
        <v>21</v>
      </c>
      <c r="C3393" t="s">
        <v>59</v>
      </c>
      <c r="D3393">
        <v>2468</v>
      </c>
      <c r="E3393">
        <v>879</v>
      </c>
      <c r="F3393">
        <v>416</v>
      </c>
      <c r="G3393">
        <v>230</v>
      </c>
      <c r="H3393">
        <v>3993</v>
      </c>
      <c r="I3393" s="1">
        <v>45870</v>
      </c>
      <c r="J3393">
        <v>646</v>
      </c>
      <c r="K3393" t="s">
        <v>23</v>
      </c>
    </row>
    <row r="3394" spans="1:11">
      <c r="A3394" s="1">
        <v>45897</v>
      </c>
      <c r="B3394" t="s">
        <v>21</v>
      </c>
      <c r="C3394" t="s">
        <v>67</v>
      </c>
      <c r="D3394">
        <v>2053</v>
      </c>
      <c r="E3394">
        <v>973</v>
      </c>
      <c r="F3394">
        <v>495</v>
      </c>
      <c r="G3394">
        <v>362</v>
      </c>
      <c r="H3394">
        <v>3883</v>
      </c>
      <c r="I3394" s="1">
        <v>45870</v>
      </c>
      <c r="J3394">
        <v>857</v>
      </c>
      <c r="K3394" t="s">
        <v>23</v>
      </c>
    </row>
    <row r="3395" spans="1:11">
      <c r="A3395" s="1">
        <v>45925</v>
      </c>
      <c r="B3395" t="s">
        <v>21</v>
      </c>
      <c r="C3395" t="s">
        <v>48</v>
      </c>
      <c r="D3395">
        <v>41</v>
      </c>
      <c r="E3395">
        <v>11</v>
      </c>
      <c r="F3395">
        <v>3</v>
      </c>
      <c r="G3395">
        <v>1</v>
      </c>
      <c r="H3395">
        <v>56</v>
      </c>
      <c r="I3395" s="1">
        <v>45901</v>
      </c>
      <c r="J3395">
        <v>4</v>
      </c>
      <c r="K3395" t="s">
        <v>23</v>
      </c>
    </row>
    <row r="3396" spans="1:11">
      <c r="A3396" s="1">
        <v>45925</v>
      </c>
      <c r="B3396" t="s">
        <v>21</v>
      </c>
      <c r="C3396" t="s">
        <v>64</v>
      </c>
      <c r="D3396">
        <v>18192</v>
      </c>
      <c r="E3396">
        <v>7985</v>
      </c>
      <c r="F3396">
        <v>3647</v>
      </c>
      <c r="G3396">
        <v>3405</v>
      </c>
      <c r="H3396">
        <v>33229</v>
      </c>
      <c r="I3396" s="1">
        <v>45901</v>
      </c>
      <c r="J3396">
        <v>7052</v>
      </c>
      <c r="K3396" t="s">
        <v>23</v>
      </c>
    </row>
    <row r="3397" spans="1:11">
      <c r="A3397" s="1">
        <v>45925</v>
      </c>
      <c r="B3397" t="s">
        <v>21</v>
      </c>
      <c r="C3397" t="s">
        <v>65</v>
      </c>
      <c r="D3397">
        <v>3211</v>
      </c>
      <c r="E3397">
        <v>904</v>
      </c>
      <c r="F3397">
        <v>280</v>
      </c>
      <c r="G3397">
        <v>132</v>
      </c>
      <c r="H3397">
        <v>4527</v>
      </c>
      <c r="I3397" s="1">
        <v>45901</v>
      </c>
      <c r="J3397">
        <v>412</v>
      </c>
      <c r="K3397" t="s">
        <v>23</v>
      </c>
    </row>
    <row r="3398" spans="1:11">
      <c r="A3398" s="1">
        <v>45925</v>
      </c>
      <c r="B3398" t="s">
        <v>21</v>
      </c>
      <c r="C3398" t="s">
        <v>37</v>
      </c>
      <c r="D3398">
        <v>14</v>
      </c>
      <c r="E3398">
        <v>19</v>
      </c>
      <c r="F3398">
        <v>5</v>
      </c>
      <c r="G3398">
        <v>3</v>
      </c>
      <c r="H3398">
        <v>41</v>
      </c>
      <c r="I3398" s="1">
        <v>45901</v>
      </c>
      <c r="J3398">
        <v>8</v>
      </c>
      <c r="K3398" t="s">
        <v>23</v>
      </c>
    </row>
    <row r="3399" spans="1:11">
      <c r="A3399" s="1">
        <v>45925</v>
      </c>
      <c r="B3399" t="s">
        <v>21</v>
      </c>
      <c r="C3399" t="s">
        <v>66</v>
      </c>
      <c r="D3399">
        <v>2806</v>
      </c>
      <c r="E3399">
        <v>1127</v>
      </c>
      <c r="F3399">
        <v>325</v>
      </c>
      <c r="G3399">
        <v>743</v>
      </c>
      <c r="H3399">
        <v>5002</v>
      </c>
      <c r="I3399" s="1">
        <v>45901</v>
      </c>
      <c r="J3399">
        <v>1068</v>
      </c>
      <c r="K3399" t="s">
        <v>23</v>
      </c>
    </row>
    <row r="3400" spans="1:11">
      <c r="A3400" s="1">
        <v>45925</v>
      </c>
      <c r="B3400" t="s">
        <v>21</v>
      </c>
      <c r="C3400" t="s">
        <v>57</v>
      </c>
      <c r="D3400">
        <v>1094</v>
      </c>
      <c r="E3400">
        <v>313</v>
      </c>
      <c r="F3400">
        <v>163</v>
      </c>
      <c r="G3400">
        <v>29</v>
      </c>
      <c r="H3400">
        <v>1599</v>
      </c>
      <c r="I3400" s="1">
        <v>45901</v>
      </c>
      <c r="J3400">
        <v>192</v>
      </c>
      <c r="K3400" t="s">
        <v>23</v>
      </c>
    </row>
    <row r="3401" spans="1:11">
      <c r="A3401" s="1">
        <v>45925</v>
      </c>
      <c r="B3401" t="s">
        <v>21</v>
      </c>
      <c r="C3401" t="s">
        <v>28</v>
      </c>
      <c r="D3401">
        <v>155</v>
      </c>
      <c r="E3401">
        <v>47</v>
      </c>
      <c r="F3401">
        <v>47</v>
      </c>
      <c r="G3401">
        <v>120</v>
      </c>
      <c r="H3401">
        <v>368</v>
      </c>
      <c r="I3401" s="1">
        <v>45901</v>
      </c>
      <c r="J3401">
        <v>167</v>
      </c>
      <c r="K3401" t="s">
        <v>23</v>
      </c>
    </row>
    <row r="3402" spans="1:11">
      <c r="A3402" s="1">
        <v>45925</v>
      </c>
      <c r="B3402" t="s">
        <v>21</v>
      </c>
      <c r="C3402" t="s">
        <v>47</v>
      </c>
      <c r="D3402">
        <v>668</v>
      </c>
      <c r="E3402">
        <v>207</v>
      </c>
      <c r="F3402">
        <v>62</v>
      </c>
      <c r="G3402">
        <v>40</v>
      </c>
      <c r="H3402">
        <v>977</v>
      </c>
      <c r="I3402" s="1">
        <v>45901</v>
      </c>
      <c r="J3402">
        <v>102</v>
      </c>
      <c r="K3402" t="s">
        <v>23</v>
      </c>
    </row>
    <row r="3403" spans="1:11">
      <c r="A3403" s="1">
        <v>45925</v>
      </c>
      <c r="B3403" t="s">
        <v>21</v>
      </c>
      <c r="C3403" t="s">
        <v>51</v>
      </c>
      <c r="D3403">
        <v>762</v>
      </c>
      <c r="E3403">
        <v>212</v>
      </c>
      <c r="F3403">
        <v>67</v>
      </c>
      <c r="G3403">
        <v>4</v>
      </c>
      <c r="H3403">
        <v>1046</v>
      </c>
      <c r="I3403" s="1">
        <v>45901</v>
      </c>
      <c r="J3403">
        <v>71</v>
      </c>
      <c r="K3403" t="s">
        <v>23</v>
      </c>
    </row>
    <row r="3404" spans="1:11">
      <c r="A3404" s="1">
        <v>45925</v>
      </c>
      <c r="B3404" t="s">
        <v>21</v>
      </c>
      <c r="C3404" t="s">
        <v>45</v>
      </c>
      <c r="D3404">
        <v>906</v>
      </c>
      <c r="E3404">
        <v>482</v>
      </c>
      <c r="F3404">
        <v>295</v>
      </c>
      <c r="G3404">
        <v>91</v>
      </c>
      <c r="H3404">
        <v>1774</v>
      </c>
      <c r="I3404" s="1">
        <v>45901</v>
      </c>
      <c r="J3404">
        <v>386</v>
      </c>
      <c r="K3404" t="s">
        <v>23</v>
      </c>
    </row>
    <row r="3405" spans="1:11">
      <c r="A3405" s="1">
        <v>45925</v>
      </c>
      <c r="B3405" t="s">
        <v>21</v>
      </c>
      <c r="C3405" t="s">
        <v>54</v>
      </c>
      <c r="D3405">
        <v>68</v>
      </c>
      <c r="E3405">
        <v>52</v>
      </c>
      <c r="F3405">
        <v>23</v>
      </c>
      <c r="G3405">
        <v>9</v>
      </c>
      <c r="H3405">
        <v>152</v>
      </c>
      <c r="I3405" s="1">
        <v>45901</v>
      </c>
      <c r="J3405">
        <v>32</v>
      </c>
      <c r="K3405" t="s">
        <v>23</v>
      </c>
    </row>
    <row r="3406" spans="1:11">
      <c r="A3406" s="1">
        <v>45925</v>
      </c>
      <c r="B3406" t="s">
        <v>21</v>
      </c>
      <c r="C3406" t="s">
        <v>35</v>
      </c>
      <c r="D3406">
        <v>15</v>
      </c>
      <c r="E3406">
        <v>4</v>
      </c>
      <c r="F3406">
        <v>0</v>
      </c>
      <c r="G3406">
        <v>1</v>
      </c>
      <c r="H3406">
        <v>21</v>
      </c>
      <c r="I3406" s="1">
        <v>45901</v>
      </c>
      <c r="J3406">
        <v>1</v>
      </c>
      <c r="K3406" t="s">
        <v>23</v>
      </c>
    </row>
    <row r="3407" spans="1:11">
      <c r="A3407" s="1">
        <v>45925</v>
      </c>
      <c r="B3407" t="s">
        <v>21</v>
      </c>
      <c r="C3407" t="s">
        <v>52</v>
      </c>
      <c r="D3407">
        <v>1786</v>
      </c>
      <c r="E3407">
        <v>1136</v>
      </c>
      <c r="F3407">
        <v>689</v>
      </c>
      <c r="G3407">
        <v>309</v>
      </c>
      <c r="H3407">
        <v>3919</v>
      </c>
      <c r="I3407" s="1">
        <v>45901</v>
      </c>
      <c r="J3407">
        <v>998</v>
      </c>
      <c r="K3407" t="s">
        <v>23</v>
      </c>
    </row>
    <row r="3408" spans="1:11">
      <c r="A3408" s="1">
        <v>45925</v>
      </c>
      <c r="B3408" t="s">
        <v>21</v>
      </c>
      <c r="C3408" t="s">
        <v>63</v>
      </c>
      <c r="D3408">
        <v>332</v>
      </c>
      <c r="E3408">
        <v>163</v>
      </c>
      <c r="F3408">
        <v>115</v>
      </c>
      <c r="G3408">
        <v>77</v>
      </c>
      <c r="H3408">
        <v>687</v>
      </c>
      <c r="I3408" s="1">
        <v>45901</v>
      </c>
      <c r="J3408">
        <v>192</v>
      </c>
      <c r="K3408" t="s">
        <v>23</v>
      </c>
    </row>
    <row r="3409" spans="1:11">
      <c r="A3409" s="1">
        <v>45925</v>
      </c>
      <c r="B3409" t="s">
        <v>21</v>
      </c>
      <c r="C3409" t="s">
        <v>60</v>
      </c>
      <c r="D3409">
        <v>1079</v>
      </c>
      <c r="E3409">
        <v>230</v>
      </c>
      <c r="F3409">
        <v>75</v>
      </c>
      <c r="G3409">
        <v>176</v>
      </c>
      <c r="H3409">
        <v>1560</v>
      </c>
      <c r="I3409" s="1">
        <v>45901</v>
      </c>
      <c r="J3409">
        <v>251</v>
      </c>
      <c r="K3409" t="s">
        <v>23</v>
      </c>
    </row>
    <row r="3410" spans="1:11">
      <c r="A3410" s="1">
        <v>45925</v>
      </c>
      <c r="B3410" t="s">
        <v>21</v>
      </c>
      <c r="C3410" t="s">
        <v>61</v>
      </c>
      <c r="D3410">
        <v>1667</v>
      </c>
      <c r="E3410">
        <v>746</v>
      </c>
      <c r="F3410">
        <v>460</v>
      </c>
      <c r="G3410">
        <v>435</v>
      </c>
      <c r="H3410">
        <v>3307</v>
      </c>
      <c r="I3410" s="1">
        <v>45901</v>
      </c>
      <c r="J3410">
        <v>895</v>
      </c>
      <c r="K3410" t="s">
        <v>23</v>
      </c>
    </row>
    <row r="3411" spans="1:11">
      <c r="A3411" s="1">
        <v>45925</v>
      </c>
      <c r="B3411" t="s">
        <v>21</v>
      </c>
      <c r="C3411" t="s">
        <v>29</v>
      </c>
      <c r="D3411">
        <v>360</v>
      </c>
      <c r="E3411">
        <v>29</v>
      </c>
      <c r="F3411">
        <v>10</v>
      </c>
      <c r="G3411">
        <v>28</v>
      </c>
      <c r="H3411">
        <v>426</v>
      </c>
      <c r="I3411" s="1">
        <v>45901</v>
      </c>
      <c r="J3411">
        <v>38</v>
      </c>
      <c r="K3411" t="s">
        <v>23</v>
      </c>
    </row>
    <row r="3412" spans="1:11">
      <c r="A3412" s="1">
        <v>45925</v>
      </c>
      <c r="B3412" t="s">
        <v>21</v>
      </c>
      <c r="C3412" t="s">
        <v>36</v>
      </c>
      <c r="D3412">
        <v>3</v>
      </c>
      <c r="E3412">
        <v>2</v>
      </c>
      <c r="F3412">
        <v>0</v>
      </c>
      <c r="G3412">
        <v>1</v>
      </c>
      <c r="H3412">
        <v>6</v>
      </c>
      <c r="I3412" s="1">
        <v>45901</v>
      </c>
      <c r="J3412">
        <v>1</v>
      </c>
      <c r="K3412" t="s">
        <v>23</v>
      </c>
    </row>
    <row r="3413" spans="1:11">
      <c r="A3413" s="1">
        <v>45925</v>
      </c>
      <c r="B3413" t="s">
        <v>21</v>
      </c>
      <c r="C3413" t="s">
        <v>44</v>
      </c>
      <c r="D3413">
        <v>699</v>
      </c>
      <c r="E3413">
        <v>296</v>
      </c>
      <c r="F3413">
        <v>114</v>
      </c>
      <c r="G3413">
        <v>39</v>
      </c>
      <c r="H3413">
        <v>1148</v>
      </c>
      <c r="I3413" s="1">
        <v>45901</v>
      </c>
      <c r="J3413">
        <v>153</v>
      </c>
      <c r="K3413" t="s">
        <v>23</v>
      </c>
    </row>
    <row r="3414" spans="1:11">
      <c r="A3414" s="1">
        <v>45925</v>
      </c>
      <c r="B3414" t="s">
        <v>21</v>
      </c>
      <c r="C3414" t="s">
        <v>59</v>
      </c>
      <c r="D3414">
        <v>2360</v>
      </c>
      <c r="E3414">
        <v>933</v>
      </c>
      <c r="F3414">
        <v>420</v>
      </c>
      <c r="G3414">
        <v>267</v>
      </c>
      <c r="H3414">
        <v>3980</v>
      </c>
      <c r="I3414" s="1">
        <v>45901</v>
      </c>
      <c r="J3414">
        <v>687</v>
      </c>
      <c r="K3414" t="s">
        <v>23</v>
      </c>
    </row>
    <row r="3415" spans="1:11">
      <c r="A3415" s="1">
        <v>45925</v>
      </c>
      <c r="B3415" t="s">
        <v>21</v>
      </c>
      <c r="C3415" t="s">
        <v>67</v>
      </c>
      <c r="D3415">
        <v>2050</v>
      </c>
      <c r="E3415">
        <v>951</v>
      </c>
      <c r="F3415">
        <v>422</v>
      </c>
      <c r="G3415">
        <v>339</v>
      </c>
      <c r="H3415">
        <v>3762</v>
      </c>
      <c r="I3415" s="1">
        <v>45901</v>
      </c>
      <c r="J3415">
        <v>761</v>
      </c>
      <c r="K3415" t="s">
        <v>23</v>
      </c>
    </row>
    <row r="3416" spans="1:11">
      <c r="A3416" s="1">
        <v>45960</v>
      </c>
      <c r="B3416" t="s">
        <v>21</v>
      </c>
      <c r="C3416" t="s">
        <v>64</v>
      </c>
      <c r="D3416">
        <v>18043</v>
      </c>
      <c r="E3416">
        <v>8010</v>
      </c>
      <c r="F3416">
        <v>3408</v>
      </c>
      <c r="G3416">
        <v>3378</v>
      </c>
      <c r="H3416">
        <v>32838</v>
      </c>
      <c r="I3416" s="1">
        <v>45931</v>
      </c>
      <c r="J3416">
        <v>6786</v>
      </c>
      <c r="K3416" t="s">
        <v>23</v>
      </c>
    </row>
    <row r="3417" spans="1:11">
      <c r="A3417" s="1">
        <v>45960</v>
      </c>
      <c r="B3417" t="s">
        <v>21</v>
      </c>
      <c r="C3417" t="s">
        <v>65</v>
      </c>
      <c r="D3417">
        <v>3208</v>
      </c>
      <c r="E3417">
        <v>983</v>
      </c>
      <c r="F3417">
        <v>275</v>
      </c>
      <c r="G3417">
        <v>112</v>
      </c>
      <c r="H3417">
        <v>4578</v>
      </c>
      <c r="I3417" s="1">
        <v>45931</v>
      </c>
      <c r="J3417">
        <v>387</v>
      </c>
      <c r="K3417" t="s">
        <v>23</v>
      </c>
    </row>
    <row r="3418" spans="1:11">
      <c r="A3418" s="1">
        <v>45960</v>
      </c>
      <c r="B3418" t="s">
        <v>21</v>
      </c>
      <c r="C3418" t="s">
        <v>66</v>
      </c>
      <c r="D3418">
        <v>2876</v>
      </c>
      <c r="E3418">
        <v>1120</v>
      </c>
      <c r="F3418">
        <v>351</v>
      </c>
      <c r="G3418">
        <v>654</v>
      </c>
      <c r="H3418">
        <v>5002</v>
      </c>
      <c r="I3418" s="1">
        <v>45931</v>
      </c>
      <c r="J3418">
        <v>1005</v>
      </c>
      <c r="K3418" t="s">
        <v>23</v>
      </c>
    </row>
    <row r="3419" spans="1:11">
      <c r="A3419" s="1">
        <v>45960</v>
      </c>
      <c r="B3419" t="s">
        <v>21</v>
      </c>
      <c r="C3419" t="s">
        <v>57</v>
      </c>
      <c r="D3419">
        <v>1012</v>
      </c>
      <c r="E3419">
        <v>327</v>
      </c>
      <c r="F3419">
        <v>131</v>
      </c>
      <c r="G3419">
        <v>5</v>
      </c>
      <c r="H3419">
        <v>1475</v>
      </c>
      <c r="I3419" s="1">
        <v>45931</v>
      </c>
      <c r="J3419">
        <v>136</v>
      </c>
      <c r="K3419" t="s">
        <v>23</v>
      </c>
    </row>
    <row r="3420" spans="1:11">
      <c r="A3420" s="1">
        <v>45960</v>
      </c>
      <c r="B3420" t="s">
        <v>21</v>
      </c>
      <c r="C3420" t="s">
        <v>28</v>
      </c>
      <c r="D3420">
        <v>139</v>
      </c>
      <c r="E3420">
        <v>59</v>
      </c>
      <c r="F3420">
        <v>39</v>
      </c>
      <c r="G3420">
        <v>118</v>
      </c>
      <c r="H3420">
        <v>356</v>
      </c>
      <c r="I3420" s="1">
        <v>45931</v>
      </c>
      <c r="J3420">
        <v>157</v>
      </c>
      <c r="K3420" t="s">
        <v>23</v>
      </c>
    </row>
    <row r="3421" spans="1:11">
      <c r="A3421" s="1">
        <v>45960</v>
      </c>
      <c r="B3421" t="s">
        <v>21</v>
      </c>
      <c r="C3421" t="s">
        <v>47</v>
      </c>
      <c r="D3421">
        <v>658</v>
      </c>
      <c r="E3421">
        <v>213</v>
      </c>
      <c r="F3421">
        <v>64</v>
      </c>
      <c r="G3421">
        <v>46</v>
      </c>
      <c r="H3421">
        <v>981</v>
      </c>
      <c r="I3421" s="1">
        <v>45931</v>
      </c>
      <c r="J3421">
        <v>110</v>
      </c>
      <c r="K3421" t="s">
        <v>23</v>
      </c>
    </row>
    <row r="3422" spans="1:11">
      <c r="A3422" s="1">
        <v>45960</v>
      </c>
      <c r="B3422" t="s">
        <v>21</v>
      </c>
      <c r="C3422" t="s">
        <v>51</v>
      </c>
      <c r="D3422">
        <v>798</v>
      </c>
      <c r="E3422">
        <v>204</v>
      </c>
      <c r="F3422">
        <v>55</v>
      </c>
      <c r="G3422">
        <v>9</v>
      </c>
      <c r="H3422">
        <v>1065</v>
      </c>
      <c r="I3422" s="1">
        <v>45931</v>
      </c>
      <c r="J3422">
        <v>64</v>
      </c>
      <c r="K3422" t="s">
        <v>23</v>
      </c>
    </row>
    <row r="3423" spans="1:11">
      <c r="A3423" s="1">
        <v>45960</v>
      </c>
      <c r="B3423" t="s">
        <v>21</v>
      </c>
      <c r="C3423" t="s">
        <v>45</v>
      </c>
      <c r="D3423">
        <v>872</v>
      </c>
      <c r="E3423">
        <v>459</v>
      </c>
      <c r="F3423">
        <v>274</v>
      </c>
      <c r="G3423">
        <v>113</v>
      </c>
      <c r="H3423">
        <v>1718</v>
      </c>
      <c r="I3423" s="1">
        <v>45931</v>
      </c>
      <c r="J3423">
        <v>387</v>
      </c>
      <c r="K3423" t="s">
        <v>23</v>
      </c>
    </row>
    <row r="3424" spans="1:11">
      <c r="A3424" s="1">
        <v>45960</v>
      </c>
      <c r="B3424" t="s">
        <v>21</v>
      </c>
      <c r="C3424" t="s">
        <v>54</v>
      </c>
      <c r="D3424">
        <v>57</v>
      </c>
      <c r="E3424">
        <v>38</v>
      </c>
      <c r="F3424">
        <v>26</v>
      </c>
      <c r="G3424">
        <v>6</v>
      </c>
      <c r="H3424">
        <v>127</v>
      </c>
      <c r="I3424" s="1">
        <v>45931</v>
      </c>
      <c r="J3424">
        <v>32</v>
      </c>
      <c r="K3424" t="s">
        <v>23</v>
      </c>
    </row>
    <row r="3425" spans="1:11">
      <c r="A3425" s="1">
        <v>45960</v>
      </c>
      <c r="B3425" t="s">
        <v>21</v>
      </c>
      <c r="C3425" t="s">
        <v>35</v>
      </c>
      <c r="D3425">
        <v>14</v>
      </c>
      <c r="E3425">
        <v>3</v>
      </c>
      <c r="F3425">
        <v>0</v>
      </c>
      <c r="G3425">
        <v>1</v>
      </c>
      <c r="H3425">
        <v>18</v>
      </c>
      <c r="I3425" s="1">
        <v>45931</v>
      </c>
      <c r="J3425">
        <v>1</v>
      </c>
      <c r="K3425" t="s">
        <v>23</v>
      </c>
    </row>
    <row r="3426" spans="1:11">
      <c r="A3426" s="1">
        <v>45960</v>
      </c>
      <c r="B3426" t="s">
        <v>21</v>
      </c>
      <c r="C3426" t="s">
        <v>52</v>
      </c>
      <c r="D3426">
        <v>1766</v>
      </c>
      <c r="E3426">
        <v>1120</v>
      </c>
      <c r="F3426">
        <v>672</v>
      </c>
      <c r="G3426">
        <v>309</v>
      </c>
      <c r="H3426">
        <v>3867</v>
      </c>
      <c r="I3426" s="1">
        <v>45931</v>
      </c>
      <c r="J3426">
        <v>981</v>
      </c>
      <c r="K3426" t="s">
        <v>23</v>
      </c>
    </row>
    <row r="3427" spans="1:11">
      <c r="A3427" s="1">
        <v>45960</v>
      </c>
      <c r="B3427" t="s">
        <v>21</v>
      </c>
      <c r="C3427" t="s">
        <v>63</v>
      </c>
      <c r="D3427">
        <v>311</v>
      </c>
      <c r="E3427">
        <v>160</v>
      </c>
      <c r="F3427">
        <v>122</v>
      </c>
      <c r="G3427">
        <v>76</v>
      </c>
      <c r="H3427">
        <v>669</v>
      </c>
      <c r="I3427" s="1">
        <v>45931</v>
      </c>
      <c r="J3427">
        <v>198</v>
      </c>
      <c r="K3427" t="s">
        <v>23</v>
      </c>
    </row>
    <row r="3428" spans="1:11">
      <c r="A3428" s="1">
        <v>45960</v>
      </c>
      <c r="B3428" t="s">
        <v>21</v>
      </c>
      <c r="C3428" t="s">
        <v>60</v>
      </c>
      <c r="D3428">
        <v>986</v>
      </c>
      <c r="E3428">
        <v>211</v>
      </c>
      <c r="F3428">
        <v>86</v>
      </c>
      <c r="G3428">
        <v>187</v>
      </c>
      <c r="H3428">
        <v>1470</v>
      </c>
      <c r="I3428" s="1">
        <v>45931</v>
      </c>
      <c r="J3428">
        <v>273</v>
      </c>
      <c r="K3428" t="s">
        <v>23</v>
      </c>
    </row>
    <row r="3429" spans="1:11">
      <c r="A3429" s="1">
        <v>45960</v>
      </c>
      <c r="B3429" t="s">
        <v>21</v>
      </c>
      <c r="C3429" t="s">
        <v>61</v>
      </c>
      <c r="D3429">
        <v>1699</v>
      </c>
      <c r="E3429">
        <v>764</v>
      </c>
      <c r="F3429">
        <v>481</v>
      </c>
      <c r="G3429">
        <v>426</v>
      </c>
      <c r="H3429">
        <v>3370</v>
      </c>
      <c r="I3429" s="1">
        <v>45931</v>
      </c>
      <c r="J3429">
        <v>907</v>
      </c>
      <c r="K3429" t="s">
        <v>23</v>
      </c>
    </row>
    <row r="3430" spans="1:11">
      <c r="A3430" s="1">
        <v>45960</v>
      </c>
      <c r="B3430" t="s">
        <v>21</v>
      </c>
      <c r="C3430" t="s">
        <v>29</v>
      </c>
      <c r="D3430">
        <v>371</v>
      </c>
      <c r="E3430">
        <v>22</v>
      </c>
      <c r="F3430">
        <v>13</v>
      </c>
      <c r="G3430">
        <v>26</v>
      </c>
      <c r="H3430">
        <v>432</v>
      </c>
      <c r="I3430" s="1">
        <v>45931</v>
      </c>
      <c r="J3430">
        <v>39</v>
      </c>
      <c r="K3430" t="s">
        <v>23</v>
      </c>
    </row>
    <row r="3431" spans="1:11">
      <c r="A3431" s="1">
        <v>45960</v>
      </c>
      <c r="B3431" t="s">
        <v>21</v>
      </c>
      <c r="C3431" t="s">
        <v>36</v>
      </c>
      <c r="D3431">
        <v>4</v>
      </c>
      <c r="E3431">
        <v>1</v>
      </c>
      <c r="F3431">
        <v>0</v>
      </c>
      <c r="G3431">
        <v>1</v>
      </c>
      <c r="H3431">
        <v>6</v>
      </c>
      <c r="I3431" s="1">
        <v>45931</v>
      </c>
      <c r="J3431">
        <v>1</v>
      </c>
      <c r="K3431" t="s">
        <v>23</v>
      </c>
    </row>
    <row r="3432" spans="1:11">
      <c r="A3432" s="1">
        <v>45960</v>
      </c>
      <c r="B3432" t="s">
        <v>21</v>
      </c>
      <c r="C3432" t="s">
        <v>32</v>
      </c>
      <c r="D3432">
        <v>375</v>
      </c>
      <c r="E3432">
        <v>80</v>
      </c>
      <c r="F3432">
        <v>34</v>
      </c>
      <c r="G3432">
        <v>1</v>
      </c>
      <c r="H3432">
        <v>490</v>
      </c>
      <c r="I3432" s="1">
        <v>45931</v>
      </c>
      <c r="J3432">
        <v>35</v>
      </c>
      <c r="K3432" t="s">
        <v>23</v>
      </c>
    </row>
    <row r="3433" spans="1:11">
      <c r="A3433" s="1">
        <v>45960</v>
      </c>
      <c r="B3433" t="s">
        <v>21</v>
      </c>
      <c r="C3433" t="s">
        <v>44</v>
      </c>
      <c r="D3433">
        <v>675</v>
      </c>
      <c r="E3433">
        <v>237</v>
      </c>
      <c r="F3433">
        <v>112</v>
      </c>
      <c r="G3433">
        <v>55</v>
      </c>
      <c r="H3433">
        <v>1078</v>
      </c>
      <c r="I3433" s="1">
        <v>45931</v>
      </c>
      <c r="J3433">
        <v>167</v>
      </c>
      <c r="K3433" t="s">
        <v>23</v>
      </c>
    </row>
    <row r="3434" spans="1:11">
      <c r="A3434" s="1">
        <v>45960</v>
      </c>
      <c r="B3434" t="s">
        <v>21</v>
      </c>
      <c r="C3434" t="s">
        <v>59</v>
      </c>
      <c r="D3434">
        <v>2435</v>
      </c>
      <c r="E3434">
        <v>878</v>
      </c>
      <c r="F3434">
        <v>378</v>
      </c>
      <c r="G3434">
        <v>255</v>
      </c>
      <c r="H3434">
        <v>3945</v>
      </c>
      <c r="I3434" s="1">
        <v>45931</v>
      </c>
      <c r="J3434">
        <v>633</v>
      </c>
      <c r="K3434" t="s">
        <v>23</v>
      </c>
    </row>
    <row r="3435" spans="1:11">
      <c r="A3435" s="1">
        <v>45960</v>
      </c>
      <c r="B3435" t="s">
        <v>21</v>
      </c>
      <c r="C3435" t="s">
        <v>67</v>
      </c>
      <c r="D3435">
        <v>2011</v>
      </c>
      <c r="E3435">
        <v>977</v>
      </c>
      <c r="F3435">
        <v>406</v>
      </c>
      <c r="G3435">
        <v>371</v>
      </c>
      <c r="H3435">
        <v>3766</v>
      </c>
      <c r="I3435" s="1">
        <v>45931</v>
      </c>
      <c r="J3435">
        <v>777</v>
      </c>
      <c r="K3435" t="s">
        <v>23</v>
      </c>
    </row>
    <row r="3436" spans="1:11">
      <c r="A3436" s="1">
        <v>45988</v>
      </c>
      <c r="B3436" t="s">
        <v>21</v>
      </c>
      <c r="C3436" t="s">
        <v>64</v>
      </c>
      <c r="D3436">
        <v>17835</v>
      </c>
      <c r="E3436">
        <v>7738</v>
      </c>
      <c r="F3436">
        <v>3288</v>
      </c>
      <c r="G3436">
        <v>2979</v>
      </c>
      <c r="H3436">
        <v>31840</v>
      </c>
      <c r="I3436" s="1">
        <v>45962</v>
      </c>
      <c r="J3436">
        <v>6267</v>
      </c>
      <c r="K3436" t="s">
        <v>23</v>
      </c>
    </row>
    <row r="3437" spans="1:11">
      <c r="A3437" s="1">
        <v>45988</v>
      </c>
      <c r="B3437" t="s">
        <v>21</v>
      </c>
      <c r="C3437" t="s">
        <v>65</v>
      </c>
      <c r="D3437">
        <v>3215</v>
      </c>
      <c r="E3437">
        <v>1050</v>
      </c>
      <c r="F3437">
        <v>288</v>
      </c>
      <c r="G3437">
        <v>86</v>
      </c>
      <c r="H3437">
        <v>4640</v>
      </c>
      <c r="I3437" s="1">
        <v>45962</v>
      </c>
      <c r="J3437">
        <v>374</v>
      </c>
      <c r="K3437" t="s">
        <v>23</v>
      </c>
    </row>
    <row r="3438" spans="1:11">
      <c r="A3438" s="1">
        <v>45988</v>
      </c>
      <c r="B3438" t="s">
        <v>21</v>
      </c>
      <c r="C3438" t="s">
        <v>66</v>
      </c>
      <c r="D3438">
        <v>2843</v>
      </c>
      <c r="E3438">
        <v>1037</v>
      </c>
      <c r="F3438">
        <v>325</v>
      </c>
      <c r="G3438">
        <v>552</v>
      </c>
      <c r="H3438">
        <v>4756</v>
      </c>
      <c r="I3438" s="1">
        <v>45962</v>
      </c>
      <c r="J3438">
        <v>877</v>
      </c>
      <c r="K3438" t="s">
        <v>23</v>
      </c>
    </row>
    <row r="3439" spans="1:11">
      <c r="A3439" s="1">
        <v>45988</v>
      </c>
      <c r="B3439" t="s">
        <v>21</v>
      </c>
      <c r="C3439" t="s">
        <v>28</v>
      </c>
      <c r="D3439">
        <v>135</v>
      </c>
      <c r="E3439">
        <v>60</v>
      </c>
      <c r="F3439">
        <v>38</v>
      </c>
      <c r="G3439">
        <v>91</v>
      </c>
      <c r="H3439">
        <v>324</v>
      </c>
      <c r="I3439" s="1">
        <v>45962</v>
      </c>
      <c r="J3439">
        <v>129</v>
      </c>
      <c r="K3439" t="s">
        <v>23</v>
      </c>
    </row>
    <row r="3440" spans="1:11">
      <c r="A3440" s="1">
        <v>45988</v>
      </c>
      <c r="B3440" t="s">
        <v>21</v>
      </c>
      <c r="C3440" t="s">
        <v>47</v>
      </c>
      <c r="D3440">
        <v>615</v>
      </c>
      <c r="E3440">
        <v>216</v>
      </c>
      <c r="F3440">
        <v>73</v>
      </c>
      <c r="G3440">
        <v>50</v>
      </c>
      <c r="H3440">
        <v>954</v>
      </c>
      <c r="I3440" s="1">
        <v>45962</v>
      </c>
      <c r="J3440">
        <v>123</v>
      </c>
      <c r="K3440" t="s">
        <v>23</v>
      </c>
    </row>
    <row r="3441" spans="1:11">
      <c r="A3441" s="1">
        <v>45988</v>
      </c>
      <c r="B3441" t="s">
        <v>21</v>
      </c>
      <c r="C3441" t="s">
        <v>51</v>
      </c>
      <c r="D3441">
        <v>818</v>
      </c>
      <c r="E3441">
        <v>190</v>
      </c>
      <c r="F3441">
        <v>60</v>
      </c>
      <c r="G3441">
        <v>11</v>
      </c>
      <c r="H3441">
        <v>1079</v>
      </c>
      <c r="I3441" s="1">
        <v>45962</v>
      </c>
      <c r="J3441">
        <v>71</v>
      </c>
      <c r="K3441" t="s">
        <v>23</v>
      </c>
    </row>
    <row r="3442" spans="1:11">
      <c r="A3442" s="1">
        <v>45988</v>
      </c>
      <c r="B3442" t="s">
        <v>21</v>
      </c>
      <c r="C3442" t="s">
        <v>45</v>
      </c>
      <c r="D3442">
        <v>897</v>
      </c>
      <c r="E3442">
        <v>466</v>
      </c>
      <c r="F3442">
        <v>298</v>
      </c>
      <c r="G3442">
        <v>112</v>
      </c>
      <c r="H3442">
        <v>1773</v>
      </c>
      <c r="I3442" s="1">
        <v>45962</v>
      </c>
      <c r="J3442">
        <v>410</v>
      </c>
      <c r="K3442" t="s">
        <v>23</v>
      </c>
    </row>
    <row r="3443" spans="1:11">
      <c r="A3443" s="1">
        <v>45988</v>
      </c>
      <c r="B3443" t="s">
        <v>21</v>
      </c>
      <c r="C3443" t="s">
        <v>54</v>
      </c>
      <c r="D3443">
        <v>69</v>
      </c>
      <c r="E3443">
        <v>30</v>
      </c>
      <c r="F3443">
        <v>24</v>
      </c>
      <c r="G3443">
        <v>5</v>
      </c>
      <c r="H3443">
        <v>128</v>
      </c>
      <c r="I3443" s="1">
        <v>45962</v>
      </c>
      <c r="J3443">
        <v>29</v>
      </c>
      <c r="K3443" t="s">
        <v>23</v>
      </c>
    </row>
    <row r="3444" spans="1:11">
      <c r="A3444" s="1">
        <v>45988</v>
      </c>
      <c r="B3444" t="s">
        <v>21</v>
      </c>
      <c r="C3444" t="s">
        <v>52</v>
      </c>
      <c r="D3444">
        <v>1855</v>
      </c>
      <c r="E3444">
        <v>1134</v>
      </c>
      <c r="F3444">
        <v>678</v>
      </c>
      <c r="G3444">
        <v>335</v>
      </c>
      <c r="H3444">
        <v>4002</v>
      </c>
      <c r="I3444" s="1">
        <v>45962</v>
      </c>
      <c r="J3444">
        <v>1013</v>
      </c>
      <c r="K3444" t="s">
        <v>23</v>
      </c>
    </row>
    <row r="3445" spans="1:11">
      <c r="A3445" s="1">
        <v>45988</v>
      </c>
      <c r="B3445" t="s">
        <v>21</v>
      </c>
      <c r="C3445" t="s">
        <v>63</v>
      </c>
      <c r="D3445">
        <v>300</v>
      </c>
      <c r="E3445">
        <v>155</v>
      </c>
      <c r="F3445">
        <v>125</v>
      </c>
      <c r="G3445">
        <v>71</v>
      </c>
      <c r="H3445">
        <v>651</v>
      </c>
      <c r="I3445" s="1">
        <v>45962</v>
      </c>
      <c r="J3445">
        <v>196</v>
      </c>
      <c r="K3445" t="s">
        <v>23</v>
      </c>
    </row>
    <row r="3446" spans="1:11">
      <c r="A3446" s="1">
        <v>45988</v>
      </c>
      <c r="B3446" t="s">
        <v>21</v>
      </c>
      <c r="C3446" t="s">
        <v>60</v>
      </c>
      <c r="D3446">
        <v>984</v>
      </c>
      <c r="E3446">
        <v>182</v>
      </c>
      <c r="F3446">
        <v>90</v>
      </c>
      <c r="G3446">
        <v>192</v>
      </c>
      <c r="H3446">
        <v>1448</v>
      </c>
      <c r="I3446" s="1">
        <v>45962</v>
      </c>
      <c r="J3446">
        <v>282</v>
      </c>
      <c r="K3446" t="s">
        <v>23</v>
      </c>
    </row>
    <row r="3447" spans="1:11">
      <c r="A3447" s="1">
        <v>45988</v>
      </c>
      <c r="B3447" t="s">
        <v>21</v>
      </c>
      <c r="C3447" t="s">
        <v>61</v>
      </c>
      <c r="D3447">
        <v>1720</v>
      </c>
      <c r="E3447">
        <v>776</v>
      </c>
      <c r="F3447">
        <v>449</v>
      </c>
      <c r="G3447">
        <v>445</v>
      </c>
      <c r="H3447">
        <v>3389</v>
      </c>
      <c r="I3447" s="1">
        <v>45962</v>
      </c>
      <c r="J3447">
        <v>894</v>
      </c>
      <c r="K3447" t="s">
        <v>23</v>
      </c>
    </row>
    <row r="3448" spans="1:11">
      <c r="A3448" s="1">
        <v>45988</v>
      </c>
      <c r="B3448" t="s">
        <v>21</v>
      </c>
      <c r="C3448" t="s">
        <v>29</v>
      </c>
      <c r="D3448">
        <v>380</v>
      </c>
      <c r="E3448">
        <v>23</v>
      </c>
      <c r="F3448">
        <v>11</v>
      </c>
      <c r="G3448">
        <v>25</v>
      </c>
      <c r="H3448">
        <v>439</v>
      </c>
      <c r="I3448" s="1">
        <v>45962</v>
      </c>
      <c r="J3448">
        <v>36</v>
      </c>
      <c r="K3448" t="s">
        <v>23</v>
      </c>
    </row>
    <row r="3449" spans="1:11">
      <c r="A3449" s="1">
        <v>45988</v>
      </c>
      <c r="B3449" t="s">
        <v>21</v>
      </c>
      <c r="C3449" t="s">
        <v>36</v>
      </c>
      <c r="D3449">
        <v>5</v>
      </c>
      <c r="E3449">
        <v>1</v>
      </c>
      <c r="F3449">
        <v>0</v>
      </c>
      <c r="G3449">
        <v>1</v>
      </c>
      <c r="H3449">
        <v>7</v>
      </c>
      <c r="I3449" s="1">
        <v>45962</v>
      </c>
      <c r="J3449">
        <v>1</v>
      </c>
      <c r="K3449" t="s">
        <v>23</v>
      </c>
    </row>
    <row r="3450" spans="1:11">
      <c r="A3450" s="1">
        <v>45988</v>
      </c>
      <c r="B3450" t="s">
        <v>21</v>
      </c>
      <c r="C3450" t="s">
        <v>44</v>
      </c>
      <c r="D3450">
        <v>662</v>
      </c>
      <c r="E3450">
        <v>220</v>
      </c>
      <c r="F3450">
        <v>96</v>
      </c>
      <c r="G3450">
        <v>62</v>
      </c>
      <c r="H3450">
        <v>1040</v>
      </c>
      <c r="I3450" s="1">
        <v>45962</v>
      </c>
      <c r="J3450">
        <v>158</v>
      </c>
      <c r="K3450" t="s">
        <v>23</v>
      </c>
    </row>
    <row r="3451" spans="1:11">
      <c r="A3451" s="1">
        <v>45988</v>
      </c>
      <c r="B3451" t="s">
        <v>21</v>
      </c>
      <c r="C3451" t="s">
        <v>59</v>
      </c>
      <c r="D3451">
        <v>2555</v>
      </c>
      <c r="E3451">
        <v>863</v>
      </c>
      <c r="F3451">
        <v>391</v>
      </c>
      <c r="G3451">
        <v>273</v>
      </c>
      <c r="H3451">
        <v>4082</v>
      </c>
      <c r="I3451" s="1">
        <v>45962</v>
      </c>
      <c r="J3451">
        <v>664</v>
      </c>
      <c r="K3451" t="s">
        <v>23</v>
      </c>
    </row>
    <row r="3452" spans="1:11">
      <c r="A3452" s="1">
        <v>45988</v>
      </c>
      <c r="B3452" t="s">
        <v>21</v>
      </c>
      <c r="C3452" t="s">
        <v>67</v>
      </c>
      <c r="D3452">
        <v>2023</v>
      </c>
      <c r="E3452">
        <v>986</v>
      </c>
      <c r="F3452">
        <v>330</v>
      </c>
      <c r="G3452">
        <v>360</v>
      </c>
      <c r="H3452">
        <v>3699</v>
      </c>
      <c r="I3452" s="1">
        <v>45962</v>
      </c>
      <c r="J3452">
        <v>690</v>
      </c>
      <c r="K3452" t="s">
        <v>23</v>
      </c>
    </row>
    <row r="3453" spans="1:11">
      <c r="A3453" s="1">
        <v>46009</v>
      </c>
      <c r="B3453" t="s">
        <v>21</v>
      </c>
      <c r="C3453" t="s">
        <v>48</v>
      </c>
      <c r="D3453">
        <v>39</v>
      </c>
      <c r="E3453">
        <v>7</v>
      </c>
      <c r="F3453">
        <v>7</v>
      </c>
      <c r="G3453">
        <v>1</v>
      </c>
      <c r="H3453">
        <v>54</v>
      </c>
      <c r="I3453" s="1">
        <v>45992</v>
      </c>
      <c r="J3453">
        <v>8</v>
      </c>
      <c r="K3453" t="s">
        <v>23</v>
      </c>
    </row>
    <row r="3454" spans="1:11">
      <c r="A3454" s="1">
        <v>46009</v>
      </c>
      <c r="B3454" t="s">
        <v>21</v>
      </c>
      <c r="C3454" t="s">
        <v>64</v>
      </c>
      <c r="D3454">
        <v>17980</v>
      </c>
      <c r="E3454">
        <v>7536</v>
      </c>
      <c r="F3454">
        <v>3215</v>
      </c>
      <c r="G3454">
        <v>2794</v>
      </c>
      <c r="H3454">
        <v>31524</v>
      </c>
      <c r="I3454" s="1">
        <v>45992</v>
      </c>
      <c r="J3454">
        <v>6009</v>
      </c>
      <c r="K3454" t="s">
        <v>23</v>
      </c>
    </row>
    <row r="3455" spans="1:11">
      <c r="A3455" s="1">
        <v>46009</v>
      </c>
      <c r="B3455" t="s">
        <v>21</v>
      </c>
      <c r="C3455" t="s">
        <v>65</v>
      </c>
      <c r="D3455">
        <v>3196</v>
      </c>
      <c r="E3455">
        <v>1075</v>
      </c>
      <c r="F3455">
        <v>296</v>
      </c>
      <c r="G3455">
        <v>81</v>
      </c>
      <c r="H3455">
        <v>4648</v>
      </c>
      <c r="I3455" s="1">
        <v>45992</v>
      </c>
      <c r="J3455">
        <v>377</v>
      </c>
      <c r="K3455" t="s">
        <v>23</v>
      </c>
    </row>
    <row r="3456" spans="1:11">
      <c r="A3456" s="1">
        <v>46009</v>
      </c>
      <c r="B3456" t="s">
        <v>21</v>
      </c>
      <c r="C3456" t="s">
        <v>66</v>
      </c>
      <c r="D3456">
        <v>2917</v>
      </c>
      <c r="E3456">
        <v>1012</v>
      </c>
      <c r="F3456">
        <v>347</v>
      </c>
      <c r="G3456">
        <v>493</v>
      </c>
      <c r="H3456">
        <v>4769</v>
      </c>
      <c r="I3456" s="1">
        <v>45992</v>
      </c>
      <c r="J3456">
        <v>840</v>
      </c>
      <c r="K3456" t="s">
        <v>23</v>
      </c>
    </row>
    <row r="3457" spans="1:11">
      <c r="A3457" s="1">
        <v>46009</v>
      </c>
      <c r="B3457" t="s">
        <v>21</v>
      </c>
      <c r="C3457" t="s">
        <v>28</v>
      </c>
      <c r="D3457">
        <v>131</v>
      </c>
      <c r="E3457">
        <v>58</v>
      </c>
      <c r="F3457">
        <v>29</v>
      </c>
      <c r="G3457">
        <v>42</v>
      </c>
      <c r="H3457">
        <v>260</v>
      </c>
      <c r="I3457" s="1">
        <v>45992</v>
      </c>
      <c r="J3457">
        <v>71</v>
      </c>
      <c r="K3457" t="s">
        <v>23</v>
      </c>
    </row>
    <row r="3458" spans="1:11">
      <c r="A3458" s="1">
        <v>46009</v>
      </c>
      <c r="B3458" t="s">
        <v>21</v>
      </c>
      <c r="C3458" t="s">
        <v>47</v>
      </c>
      <c r="D3458">
        <v>624</v>
      </c>
      <c r="E3458">
        <v>211</v>
      </c>
      <c r="F3458">
        <v>83</v>
      </c>
      <c r="G3458">
        <v>52</v>
      </c>
      <c r="H3458">
        <v>970</v>
      </c>
      <c r="I3458" s="1">
        <v>45992</v>
      </c>
      <c r="J3458">
        <v>135</v>
      </c>
      <c r="K3458" t="s">
        <v>23</v>
      </c>
    </row>
    <row r="3459" spans="1:11">
      <c r="A3459" s="1">
        <v>46009</v>
      </c>
      <c r="B3459" t="s">
        <v>21</v>
      </c>
      <c r="C3459" t="s">
        <v>51</v>
      </c>
      <c r="D3459">
        <v>793</v>
      </c>
      <c r="E3459">
        <v>189</v>
      </c>
      <c r="F3459">
        <v>60</v>
      </c>
      <c r="G3459">
        <v>20</v>
      </c>
      <c r="H3459">
        <v>1061</v>
      </c>
      <c r="I3459" s="1">
        <v>45992</v>
      </c>
      <c r="J3459">
        <v>80</v>
      </c>
      <c r="K3459" t="s">
        <v>23</v>
      </c>
    </row>
    <row r="3460" spans="1:11">
      <c r="A3460" s="1">
        <v>46009</v>
      </c>
      <c r="B3460" t="s">
        <v>21</v>
      </c>
      <c r="C3460" t="s">
        <v>45</v>
      </c>
      <c r="D3460">
        <v>877</v>
      </c>
      <c r="E3460">
        <v>471</v>
      </c>
      <c r="F3460">
        <v>315</v>
      </c>
      <c r="G3460">
        <v>109</v>
      </c>
      <c r="H3460">
        <v>1772</v>
      </c>
      <c r="I3460" s="1">
        <v>45992</v>
      </c>
      <c r="J3460">
        <v>424</v>
      </c>
      <c r="K3460" t="s">
        <v>23</v>
      </c>
    </row>
    <row r="3461" spans="1:11">
      <c r="A3461" s="1">
        <v>46009</v>
      </c>
      <c r="B3461" t="s">
        <v>21</v>
      </c>
      <c r="C3461" t="s">
        <v>54</v>
      </c>
      <c r="D3461">
        <v>69</v>
      </c>
      <c r="E3461">
        <v>19</v>
      </c>
      <c r="F3461">
        <v>30</v>
      </c>
      <c r="G3461">
        <v>4</v>
      </c>
      <c r="H3461">
        <v>121</v>
      </c>
      <c r="I3461" s="1">
        <v>45992</v>
      </c>
      <c r="J3461">
        <v>34</v>
      </c>
      <c r="K3461" t="s">
        <v>23</v>
      </c>
    </row>
    <row r="3462" spans="1:11">
      <c r="A3462" s="1">
        <v>46009</v>
      </c>
      <c r="B3462" t="s">
        <v>21</v>
      </c>
      <c r="C3462" t="s">
        <v>52</v>
      </c>
      <c r="D3462">
        <v>1830</v>
      </c>
      <c r="E3462">
        <v>1044</v>
      </c>
      <c r="F3462">
        <v>594</v>
      </c>
      <c r="G3462">
        <v>346</v>
      </c>
      <c r="H3462">
        <v>3813</v>
      </c>
      <c r="I3462" s="1">
        <v>45992</v>
      </c>
      <c r="J3462">
        <v>940</v>
      </c>
      <c r="K3462" t="s">
        <v>23</v>
      </c>
    </row>
    <row r="3463" spans="1:11">
      <c r="A3463" s="1">
        <v>46009</v>
      </c>
      <c r="B3463" t="s">
        <v>21</v>
      </c>
      <c r="C3463" t="s">
        <v>63</v>
      </c>
      <c r="D3463">
        <v>423</v>
      </c>
      <c r="E3463">
        <v>171</v>
      </c>
      <c r="F3463">
        <v>134</v>
      </c>
      <c r="G3463">
        <v>81</v>
      </c>
      <c r="H3463">
        <v>809</v>
      </c>
      <c r="I3463" s="1">
        <v>45992</v>
      </c>
      <c r="J3463">
        <v>215</v>
      </c>
      <c r="K3463" t="s">
        <v>23</v>
      </c>
    </row>
    <row r="3464" spans="1:11">
      <c r="A3464" s="1">
        <v>46009</v>
      </c>
      <c r="B3464" t="s">
        <v>21</v>
      </c>
      <c r="C3464" t="s">
        <v>60</v>
      </c>
      <c r="D3464">
        <v>1038</v>
      </c>
      <c r="E3464">
        <v>176</v>
      </c>
      <c r="F3464">
        <v>91</v>
      </c>
      <c r="G3464">
        <v>203</v>
      </c>
      <c r="H3464">
        <v>1508</v>
      </c>
      <c r="I3464" s="1">
        <v>45992</v>
      </c>
      <c r="J3464">
        <v>294</v>
      </c>
      <c r="K3464" t="s">
        <v>23</v>
      </c>
    </row>
    <row r="3465" spans="1:11">
      <c r="A3465" s="1">
        <v>46009</v>
      </c>
      <c r="B3465" t="s">
        <v>21</v>
      </c>
      <c r="C3465" t="s">
        <v>61</v>
      </c>
      <c r="D3465">
        <v>1690</v>
      </c>
      <c r="E3465">
        <v>763</v>
      </c>
      <c r="F3465">
        <v>454</v>
      </c>
      <c r="G3465">
        <v>412</v>
      </c>
      <c r="H3465">
        <v>3320</v>
      </c>
      <c r="I3465" s="1">
        <v>45992</v>
      </c>
      <c r="J3465">
        <v>866</v>
      </c>
      <c r="K3465" t="s">
        <v>23</v>
      </c>
    </row>
    <row r="3466" spans="1:11">
      <c r="A3466" s="1">
        <v>46009</v>
      </c>
      <c r="B3466" t="s">
        <v>21</v>
      </c>
      <c r="C3466" t="s">
        <v>29</v>
      </c>
      <c r="D3466">
        <v>394</v>
      </c>
      <c r="E3466">
        <v>23</v>
      </c>
      <c r="F3466">
        <v>13</v>
      </c>
      <c r="G3466">
        <v>25</v>
      </c>
      <c r="H3466">
        <v>456</v>
      </c>
      <c r="I3466" s="1">
        <v>45992</v>
      </c>
      <c r="J3466">
        <v>38</v>
      </c>
      <c r="K3466" t="s">
        <v>23</v>
      </c>
    </row>
    <row r="3467" spans="1:11">
      <c r="A3467" s="1">
        <v>46009</v>
      </c>
      <c r="B3467" t="s">
        <v>21</v>
      </c>
      <c r="C3467" t="s">
        <v>36</v>
      </c>
      <c r="D3467">
        <v>6</v>
      </c>
      <c r="E3467">
        <v>0</v>
      </c>
      <c r="F3467">
        <v>0</v>
      </c>
      <c r="G3467">
        <v>1</v>
      </c>
      <c r="H3467">
        <v>7</v>
      </c>
      <c r="I3467" s="1">
        <v>45992</v>
      </c>
      <c r="J3467">
        <v>1</v>
      </c>
      <c r="K3467" t="s">
        <v>23</v>
      </c>
    </row>
    <row r="3468" spans="1:11">
      <c r="A3468" s="1">
        <v>46009</v>
      </c>
      <c r="B3468" t="s">
        <v>21</v>
      </c>
      <c r="C3468" t="s">
        <v>32</v>
      </c>
      <c r="D3468">
        <v>390</v>
      </c>
      <c r="E3468">
        <v>76</v>
      </c>
      <c r="F3468">
        <v>35</v>
      </c>
      <c r="G3468">
        <v>1</v>
      </c>
      <c r="H3468">
        <v>502</v>
      </c>
      <c r="I3468" s="1">
        <v>45992</v>
      </c>
      <c r="J3468">
        <v>36</v>
      </c>
      <c r="K3468" t="s">
        <v>23</v>
      </c>
    </row>
    <row r="3469" spans="1:11">
      <c r="A3469" s="1">
        <v>46009</v>
      </c>
      <c r="B3469" t="s">
        <v>21</v>
      </c>
      <c r="C3469" t="s">
        <v>44</v>
      </c>
      <c r="D3469">
        <v>628</v>
      </c>
      <c r="E3469">
        <v>195</v>
      </c>
      <c r="F3469">
        <v>113</v>
      </c>
      <c r="G3469">
        <v>67</v>
      </c>
      <c r="H3469">
        <v>1003</v>
      </c>
      <c r="I3469" s="1">
        <v>45992</v>
      </c>
      <c r="J3469">
        <v>180</v>
      </c>
      <c r="K3469" t="s">
        <v>23</v>
      </c>
    </row>
    <row r="3470" spans="1:11">
      <c r="A3470" s="1">
        <v>46009</v>
      </c>
      <c r="B3470" t="s">
        <v>21</v>
      </c>
      <c r="C3470" t="s">
        <v>59</v>
      </c>
      <c r="D3470">
        <v>2579</v>
      </c>
      <c r="E3470">
        <v>857</v>
      </c>
      <c r="F3470">
        <v>393</v>
      </c>
      <c r="G3470">
        <v>280</v>
      </c>
      <c r="H3470">
        <v>4109</v>
      </c>
      <c r="I3470" s="1">
        <v>45992</v>
      </c>
      <c r="J3470">
        <v>673</v>
      </c>
      <c r="K3470" t="s">
        <v>23</v>
      </c>
    </row>
    <row r="3471" spans="1:11">
      <c r="A3471" s="1">
        <v>46009</v>
      </c>
      <c r="B3471" t="s">
        <v>21</v>
      </c>
      <c r="C3471" t="s">
        <v>67</v>
      </c>
      <c r="D3471">
        <v>2064</v>
      </c>
      <c r="E3471">
        <v>975</v>
      </c>
      <c r="F3471">
        <v>328</v>
      </c>
      <c r="G3471">
        <v>340</v>
      </c>
      <c r="H3471">
        <v>3707</v>
      </c>
      <c r="I3471" s="1">
        <v>45992</v>
      </c>
      <c r="J3471">
        <v>668</v>
      </c>
      <c r="K3471" t="s">
        <v>23</v>
      </c>
    </row>
    <row r="3472" spans="1:11">
      <c r="A3472" s="1">
        <v>46051</v>
      </c>
      <c r="B3472" t="s">
        <v>21</v>
      </c>
      <c r="C3472" t="s">
        <v>48</v>
      </c>
      <c r="D3472">
        <v>44</v>
      </c>
      <c r="E3472">
        <v>5</v>
      </c>
      <c r="F3472">
        <v>8</v>
      </c>
      <c r="G3472">
        <v>1</v>
      </c>
      <c r="H3472">
        <v>59</v>
      </c>
      <c r="I3472" s="1">
        <v>46023</v>
      </c>
      <c r="J3472">
        <v>9</v>
      </c>
      <c r="K3472" t="s">
        <v>23</v>
      </c>
    </row>
    <row r="3473" spans="1:11">
      <c r="A3473" s="1">
        <v>46051</v>
      </c>
      <c r="B3473" t="s">
        <v>21</v>
      </c>
      <c r="C3473" t="s">
        <v>64</v>
      </c>
      <c r="D3473">
        <v>18578</v>
      </c>
      <c r="E3473">
        <v>8085</v>
      </c>
      <c r="F3473">
        <v>3091</v>
      </c>
      <c r="G3473">
        <v>2922</v>
      </c>
      <c r="H3473">
        <v>32676</v>
      </c>
      <c r="I3473" s="1">
        <v>46023</v>
      </c>
      <c r="J3473">
        <v>6013</v>
      </c>
      <c r="K3473" t="s">
        <v>23</v>
      </c>
    </row>
    <row r="3474" spans="1:11">
      <c r="A3474" s="1">
        <v>46051</v>
      </c>
      <c r="B3474" t="s">
        <v>21</v>
      </c>
      <c r="C3474" t="s">
        <v>65</v>
      </c>
      <c r="D3474">
        <v>3192</v>
      </c>
      <c r="E3474">
        <v>1113</v>
      </c>
      <c r="F3474">
        <v>310</v>
      </c>
      <c r="G3474">
        <v>100</v>
      </c>
      <c r="H3474">
        <v>4715</v>
      </c>
      <c r="I3474" s="1">
        <v>46023</v>
      </c>
      <c r="J3474">
        <v>410</v>
      </c>
      <c r="K3474" t="s">
        <v>23</v>
      </c>
    </row>
    <row r="3475" spans="1:11">
      <c r="A3475" s="1">
        <v>46051</v>
      </c>
      <c r="B3475" t="s">
        <v>21</v>
      </c>
      <c r="C3475" t="s">
        <v>37</v>
      </c>
      <c r="D3475">
        <v>13</v>
      </c>
      <c r="E3475">
        <v>9</v>
      </c>
      <c r="F3475">
        <v>9</v>
      </c>
      <c r="G3475">
        <v>3</v>
      </c>
      <c r="H3475">
        <v>34</v>
      </c>
      <c r="I3475" s="1">
        <v>46023</v>
      </c>
      <c r="J3475">
        <v>12</v>
      </c>
      <c r="K3475" t="s">
        <v>23</v>
      </c>
    </row>
    <row r="3476" spans="1:11">
      <c r="A3476" s="1">
        <v>46051</v>
      </c>
      <c r="B3476" t="s">
        <v>21</v>
      </c>
      <c r="C3476" t="s">
        <v>66</v>
      </c>
      <c r="D3476">
        <v>3012</v>
      </c>
      <c r="E3476">
        <v>1156</v>
      </c>
      <c r="F3476">
        <v>329</v>
      </c>
      <c r="G3476">
        <v>476</v>
      </c>
      <c r="H3476">
        <v>4973</v>
      </c>
      <c r="I3476" s="1">
        <v>46023</v>
      </c>
      <c r="J3476">
        <v>805</v>
      </c>
      <c r="K3476" t="s">
        <v>23</v>
      </c>
    </row>
    <row r="3477" spans="1:11">
      <c r="A3477" s="1">
        <v>46051</v>
      </c>
      <c r="B3477" t="s">
        <v>21</v>
      </c>
      <c r="C3477" t="s">
        <v>28</v>
      </c>
      <c r="D3477">
        <v>120</v>
      </c>
      <c r="E3477">
        <v>68</v>
      </c>
      <c r="F3477">
        <v>23</v>
      </c>
      <c r="G3477">
        <v>20</v>
      </c>
      <c r="H3477">
        <v>231</v>
      </c>
      <c r="I3477" s="1">
        <v>46023</v>
      </c>
      <c r="J3477">
        <v>43</v>
      </c>
      <c r="K3477" t="s">
        <v>23</v>
      </c>
    </row>
    <row r="3478" spans="1:11">
      <c r="A3478" s="1">
        <v>46051</v>
      </c>
      <c r="B3478" t="s">
        <v>21</v>
      </c>
      <c r="C3478" t="s">
        <v>47</v>
      </c>
      <c r="D3478">
        <v>580</v>
      </c>
      <c r="E3478">
        <v>210</v>
      </c>
      <c r="F3478">
        <v>91</v>
      </c>
      <c r="G3478">
        <v>59</v>
      </c>
      <c r="H3478">
        <v>940</v>
      </c>
      <c r="I3478" s="1">
        <v>46023</v>
      </c>
      <c r="J3478">
        <v>150</v>
      </c>
      <c r="K3478" t="s">
        <v>23</v>
      </c>
    </row>
    <row r="3479" spans="1:11">
      <c r="A3479" s="1">
        <v>46051</v>
      </c>
      <c r="B3479" t="s">
        <v>21</v>
      </c>
      <c r="C3479" t="s">
        <v>51</v>
      </c>
      <c r="D3479">
        <v>787</v>
      </c>
      <c r="E3479">
        <v>154</v>
      </c>
      <c r="F3479">
        <v>46</v>
      </c>
      <c r="G3479">
        <v>23</v>
      </c>
      <c r="H3479">
        <v>1010</v>
      </c>
      <c r="I3479" s="1">
        <v>46023</v>
      </c>
      <c r="J3479">
        <v>69</v>
      </c>
      <c r="K3479" t="s">
        <v>23</v>
      </c>
    </row>
    <row r="3480" spans="1:11">
      <c r="A3480" s="1">
        <v>46051</v>
      </c>
      <c r="B3480" t="s">
        <v>21</v>
      </c>
      <c r="C3480" t="s">
        <v>45</v>
      </c>
      <c r="D3480">
        <v>901</v>
      </c>
      <c r="E3480">
        <v>496</v>
      </c>
      <c r="F3480">
        <v>316</v>
      </c>
      <c r="G3480">
        <v>128</v>
      </c>
      <c r="H3480">
        <v>1840</v>
      </c>
      <c r="I3480" s="1">
        <v>46023</v>
      </c>
      <c r="J3480">
        <v>444</v>
      </c>
      <c r="K3480" t="s">
        <v>23</v>
      </c>
    </row>
    <row r="3481" spans="1:11">
      <c r="A3481" s="1">
        <v>46051</v>
      </c>
      <c r="B3481" t="s">
        <v>21</v>
      </c>
      <c r="C3481" t="s">
        <v>54</v>
      </c>
      <c r="D3481">
        <v>58</v>
      </c>
      <c r="E3481">
        <v>12</v>
      </c>
      <c r="F3481">
        <v>22</v>
      </c>
      <c r="G3481">
        <v>8</v>
      </c>
      <c r="H3481">
        <v>100</v>
      </c>
      <c r="I3481" s="1">
        <v>46023</v>
      </c>
      <c r="J3481">
        <v>30</v>
      </c>
      <c r="K3481" t="s">
        <v>23</v>
      </c>
    </row>
    <row r="3482" spans="1:11">
      <c r="A3482" s="1">
        <v>46051</v>
      </c>
      <c r="B3482" t="s">
        <v>21</v>
      </c>
      <c r="C3482" t="s">
        <v>35</v>
      </c>
      <c r="D3482">
        <v>12</v>
      </c>
      <c r="E3482">
        <v>4</v>
      </c>
      <c r="F3482">
        <v>0</v>
      </c>
      <c r="G3482">
        <v>1</v>
      </c>
      <c r="H3482">
        <v>17</v>
      </c>
      <c r="I3482" s="1">
        <v>46023</v>
      </c>
      <c r="J3482">
        <v>1</v>
      </c>
      <c r="K3482" t="s">
        <v>23</v>
      </c>
    </row>
    <row r="3483" spans="1:11">
      <c r="A3483" s="1">
        <v>46051</v>
      </c>
      <c r="B3483" t="s">
        <v>21</v>
      </c>
      <c r="C3483" t="s">
        <v>52</v>
      </c>
      <c r="D3483">
        <v>1799</v>
      </c>
      <c r="E3483">
        <v>1128</v>
      </c>
      <c r="F3483">
        <v>585</v>
      </c>
      <c r="G3483">
        <v>414</v>
      </c>
      <c r="H3483">
        <v>3927</v>
      </c>
      <c r="I3483" s="1">
        <v>46023</v>
      </c>
      <c r="J3483">
        <v>999</v>
      </c>
      <c r="K3483" t="s">
        <v>23</v>
      </c>
    </row>
    <row r="3484" spans="1:11">
      <c r="A3484" s="1">
        <v>46051</v>
      </c>
      <c r="B3484" t="s">
        <v>21</v>
      </c>
      <c r="C3484" t="s">
        <v>63</v>
      </c>
      <c r="D3484">
        <v>565</v>
      </c>
      <c r="E3484">
        <v>199</v>
      </c>
      <c r="F3484">
        <v>135</v>
      </c>
      <c r="G3484">
        <v>74</v>
      </c>
      <c r="H3484">
        <v>973</v>
      </c>
      <c r="I3484" s="1">
        <v>46023</v>
      </c>
      <c r="J3484">
        <v>209</v>
      </c>
      <c r="K3484" t="s">
        <v>23</v>
      </c>
    </row>
    <row r="3485" spans="1:11">
      <c r="A3485" s="1">
        <v>46051</v>
      </c>
      <c r="B3485" t="s">
        <v>21</v>
      </c>
      <c r="C3485" t="s">
        <v>60</v>
      </c>
      <c r="D3485">
        <v>1083</v>
      </c>
      <c r="E3485">
        <v>188</v>
      </c>
      <c r="F3485">
        <v>87</v>
      </c>
      <c r="G3485">
        <v>222</v>
      </c>
      <c r="H3485">
        <v>1580</v>
      </c>
      <c r="I3485" s="1">
        <v>46023</v>
      </c>
      <c r="J3485">
        <v>309</v>
      </c>
      <c r="K3485" t="s">
        <v>23</v>
      </c>
    </row>
    <row r="3486" spans="1:11">
      <c r="A3486" s="1">
        <v>46051</v>
      </c>
      <c r="B3486" t="s">
        <v>21</v>
      </c>
      <c r="C3486" t="s">
        <v>61</v>
      </c>
      <c r="D3486">
        <v>1760</v>
      </c>
      <c r="E3486">
        <v>767</v>
      </c>
      <c r="F3486">
        <v>468</v>
      </c>
      <c r="G3486">
        <v>446</v>
      </c>
      <c r="H3486">
        <v>3441</v>
      </c>
      <c r="I3486" s="1">
        <v>46023</v>
      </c>
      <c r="J3486">
        <v>914</v>
      </c>
      <c r="K3486" t="s">
        <v>23</v>
      </c>
    </row>
    <row r="3487" spans="1:11">
      <c r="A3487" s="1">
        <v>46051</v>
      </c>
      <c r="B3487" t="s">
        <v>21</v>
      </c>
      <c r="C3487" t="s">
        <v>29</v>
      </c>
      <c r="D3487">
        <v>415</v>
      </c>
      <c r="E3487">
        <v>15</v>
      </c>
      <c r="F3487">
        <v>4</v>
      </c>
      <c r="G3487">
        <v>17</v>
      </c>
      <c r="H3487">
        <v>451</v>
      </c>
      <c r="I3487" s="1">
        <v>46023</v>
      </c>
      <c r="J3487">
        <v>21</v>
      </c>
      <c r="K3487" t="s">
        <v>23</v>
      </c>
    </row>
    <row r="3488" spans="1:11">
      <c r="A3488" s="1">
        <v>46051</v>
      </c>
      <c r="B3488" t="s">
        <v>21</v>
      </c>
      <c r="C3488" t="s">
        <v>36</v>
      </c>
      <c r="D3488">
        <v>3</v>
      </c>
      <c r="E3488">
        <v>0</v>
      </c>
      <c r="F3488">
        <v>0</v>
      </c>
      <c r="G3488">
        <v>1</v>
      </c>
      <c r="H3488">
        <v>4</v>
      </c>
      <c r="I3488" s="1">
        <v>46023</v>
      </c>
      <c r="J3488">
        <v>1</v>
      </c>
      <c r="K3488" t="s">
        <v>23</v>
      </c>
    </row>
    <row r="3489" spans="1:11">
      <c r="A3489" s="1">
        <v>46051</v>
      </c>
      <c r="B3489" t="s">
        <v>21</v>
      </c>
      <c r="C3489" t="s">
        <v>32</v>
      </c>
      <c r="D3489">
        <v>377</v>
      </c>
      <c r="E3489">
        <v>89</v>
      </c>
      <c r="F3489">
        <v>19</v>
      </c>
      <c r="G3489">
        <v>1</v>
      </c>
      <c r="H3489">
        <v>487</v>
      </c>
      <c r="I3489" s="1">
        <v>46023</v>
      </c>
      <c r="J3489">
        <v>20</v>
      </c>
      <c r="K3489" t="s">
        <v>23</v>
      </c>
    </row>
    <row r="3490" spans="1:11">
      <c r="A3490" s="1">
        <v>46051</v>
      </c>
      <c r="B3490" t="s">
        <v>21</v>
      </c>
      <c r="C3490" t="s">
        <v>44</v>
      </c>
      <c r="D3490">
        <v>607</v>
      </c>
      <c r="E3490">
        <v>181</v>
      </c>
      <c r="F3490">
        <v>126</v>
      </c>
      <c r="G3490">
        <v>75</v>
      </c>
      <c r="H3490">
        <v>988</v>
      </c>
      <c r="I3490" s="1">
        <v>46023</v>
      </c>
      <c r="J3490">
        <v>201</v>
      </c>
      <c r="K3490" t="s">
        <v>23</v>
      </c>
    </row>
    <row r="3491" spans="1:11">
      <c r="A3491" s="1">
        <v>46051</v>
      </c>
      <c r="B3491" t="s">
        <v>21</v>
      </c>
      <c r="C3491" t="s">
        <v>59</v>
      </c>
      <c r="D3491">
        <v>2437</v>
      </c>
      <c r="E3491">
        <v>1031</v>
      </c>
      <c r="F3491">
        <v>393</v>
      </c>
      <c r="G3491">
        <v>287</v>
      </c>
      <c r="H3491">
        <v>4147</v>
      </c>
      <c r="I3491" s="1">
        <v>46023</v>
      </c>
      <c r="J3491">
        <v>680</v>
      </c>
      <c r="K3491" t="s">
        <v>23</v>
      </c>
    </row>
    <row r="3492" spans="1:11">
      <c r="A3492" s="1">
        <v>46051</v>
      </c>
      <c r="B3492" t="s">
        <v>21</v>
      </c>
      <c r="C3492" t="s">
        <v>67</v>
      </c>
      <c r="D3492">
        <v>2003</v>
      </c>
      <c r="E3492">
        <v>1073</v>
      </c>
      <c r="F3492">
        <v>309</v>
      </c>
      <c r="G3492">
        <v>329</v>
      </c>
      <c r="H3492">
        <v>3714</v>
      </c>
      <c r="I3492" s="1">
        <v>46023</v>
      </c>
      <c r="J3492">
        <v>638</v>
      </c>
      <c r="K3492" t="s">
        <v>23</v>
      </c>
    </row>
    <row r="3493" spans="1:11">
      <c r="A3493" s="1">
        <v>46079</v>
      </c>
      <c r="B3493" t="s">
        <v>21</v>
      </c>
      <c r="C3493" t="s">
        <v>64</v>
      </c>
      <c r="D3493">
        <v>18724</v>
      </c>
      <c r="E3493">
        <v>8018</v>
      </c>
      <c r="F3493">
        <v>3258</v>
      </c>
      <c r="G3493">
        <v>2860</v>
      </c>
      <c r="H3493">
        <v>32861</v>
      </c>
      <c r="I3493" s="1">
        <v>46054</v>
      </c>
      <c r="J3493">
        <v>6118</v>
      </c>
      <c r="K3493" t="s">
        <v>23</v>
      </c>
    </row>
    <row r="3494" spans="1:11">
      <c r="A3494" s="1">
        <v>46079</v>
      </c>
      <c r="B3494" t="s">
        <v>21</v>
      </c>
      <c r="C3494" t="s">
        <v>65</v>
      </c>
      <c r="D3494">
        <v>3279</v>
      </c>
      <c r="E3494">
        <v>1088</v>
      </c>
      <c r="F3494">
        <v>306</v>
      </c>
      <c r="G3494">
        <v>112</v>
      </c>
      <c r="H3494">
        <v>4785</v>
      </c>
      <c r="I3494" s="1">
        <v>46054</v>
      </c>
      <c r="J3494">
        <v>418</v>
      </c>
      <c r="K3494" t="s">
        <v>23</v>
      </c>
    </row>
    <row r="3495" spans="1:11">
      <c r="A3495" s="1">
        <v>46079</v>
      </c>
      <c r="B3495" t="s">
        <v>21</v>
      </c>
      <c r="C3495" t="s">
        <v>66</v>
      </c>
      <c r="D3495">
        <v>3201</v>
      </c>
      <c r="E3495">
        <v>1084</v>
      </c>
      <c r="F3495">
        <v>340</v>
      </c>
      <c r="G3495">
        <v>428</v>
      </c>
      <c r="H3495">
        <v>5052</v>
      </c>
      <c r="I3495" s="1">
        <v>46054</v>
      </c>
      <c r="J3495">
        <v>768</v>
      </c>
      <c r="K3495" t="s">
        <v>23</v>
      </c>
    </row>
    <row r="3496" spans="1:11">
      <c r="A3496" s="1">
        <v>46079</v>
      </c>
      <c r="B3496" t="s">
        <v>21</v>
      </c>
      <c r="C3496" t="s">
        <v>28</v>
      </c>
      <c r="D3496">
        <v>141</v>
      </c>
      <c r="E3496">
        <v>62</v>
      </c>
      <c r="F3496">
        <v>21</v>
      </c>
      <c r="G3496">
        <v>8</v>
      </c>
      <c r="H3496">
        <v>231</v>
      </c>
      <c r="I3496" s="1">
        <v>46054</v>
      </c>
      <c r="J3496">
        <v>29</v>
      </c>
      <c r="K3496" t="s">
        <v>23</v>
      </c>
    </row>
    <row r="3497" spans="1:11">
      <c r="A3497" s="1">
        <v>46079</v>
      </c>
      <c r="B3497" t="s">
        <v>21</v>
      </c>
      <c r="C3497" t="s">
        <v>47</v>
      </c>
      <c r="D3497">
        <v>663</v>
      </c>
      <c r="E3497">
        <v>209</v>
      </c>
      <c r="F3497">
        <v>100</v>
      </c>
      <c r="G3497">
        <v>61</v>
      </c>
      <c r="H3497">
        <v>1033</v>
      </c>
      <c r="I3497" s="1">
        <v>46054</v>
      </c>
      <c r="J3497">
        <v>161</v>
      </c>
      <c r="K3497" t="s">
        <v>23</v>
      </c>
    </row>
    <row r="3498" spans="1:11">
      <c r="A3498" s="1">
        <v>46079</v>
      </c>
      <c r="B3498" t="s">
        <v>21</v>
      </c>
      <c r="C3498" t="s">
        <v>51</v>
      </c>
      <c r="D3498">
        <v>761</v>
      </c>
      <c r="E3498">
        <v>139</v>
      </c>
      <c r="F3498">
        <v>37</v>
      </c>
      <c r="G3498">
        <v>27</v>
      </c>
      <c r="H3498">
        <v>964</v>
      </c>
      <c r="I3498" s="1">
        <v>46054</v>
      </c>
      <c r="J3498">
        <v>64</v>
      </c>
      <c r="K3498" t="s">
        <v>23</v>
      </c>
    </row>
    <row r="3499" spans="1:11">
      <c r="A3499" s="1">
        <v>46079</v>
      </c>
      <c r="B3499" t="s">
        <v>21</v>
      </c>
      <c r="C3499" t="s">
        <v>45</v>
      </c>
      <c r="D3499">
        <v>922</v>
      </c>
      <c r="E3499">
        <v>484</v>
      </c>
      <c r="F3499">
        <v>343</v>
      </c>
      <c r="G3499">
        <v>153</v>
      </c>
      <c r="H3499">
        <v>1902</v>
      </c>
      <c r="I3499" s="1">
        <v>46054</v>
      </c>
      <c r="J3499">
        <v>496</v>
      </c>
      <c r="K3499" t="s">
        <v>23</v>
      </c>
    </row>
    <row r="3500" spans="1:11">
      <c r="A3500" s="1">
        <v>46079</v>
      </c>
      <c r="B3500" t="s">
        <v>21</v>
      </c>
      <c r="C3500" t="s">
        <v>54</v>
      </c>
      <c r="D3500">
        <v>98</v>
      </c>
      <c r="E3500">
        <v>16</v>
      </c>
      <c r="F3500">
        <v>18</v>
      </c>
      <c r="G3500">
        <v>8</v>
      </c>
      <c r="H3500">
        <v>140</v>
      </c>
      <c r="I3500" s="1">
        <v>46054</v>
      </c>
      <c r="J3500">
        <v>26</v>
      </c>
      <c r="K3500" t="s">
        <v>23</v>
      </c>
    </row>
    <row r="3501" spans="1:11">
      <c r="A3501" s="1">
        <v>46079</v>
      </c>
      <c r="B3501" t="s">
        <v>21</v>
      </c>
      <c r="C3501" t="s">
        <v>52</v>
      </c>
      <c r="D3501">
        <v>1910</v>
      </c>
      <c r="E3501">
        <v>1080</v>
      </c>
      <c r="F3501">
        <v>576</v>
      </c>
      <c r="G3501">
        <v>422</v>
      </c>
      <c r="H3501">
        <v>3988</v>
      </c>
      <c r="I3501" s="1">
        <v>46054</v>
      </c>
      <c r="J3501">
        <v>998</v>
      </c>
      <c r="K3501" t="s">
        <v>23</v>
      </c>
    </row>
    <row r="3502" spans="1:11">
      <c r="A3502" s="1">
        <v>46079</v>
      </c>
      <c r="B3502" t="s">
        <v>21</v>
      </c>
      <c r="C3502" t="s">
        <v>34</v>
      </c>
      <c r="D3502">
        <v>40</v>
      </c>
      <c r="E3502">
        <v>5</v>
      </c>
      <c r="F3502">
        <v>2</v>
      </c>
      <c r="G3502">
        <v>100</v>
      </c>
      <c r="H3502">
        <v>147</v>
      </c>
      <c r="I3502" s="1">
        <v>46054</v>
      </c>
      <c r="J3502">
        <v>102</v>
      </c>
      <c r="K3502" t="s">
        <v>23</v>
      </c>
    </row>
    <row r="3503" spans="1:11">
      <c r="A3503" s="1">
        <v>46079</v>
      </c>
      <c r="B3503" t="s">
        <v>21</v>
      </c>
      <c r="C3503" t="s">
        <v>63</v>
      </c>
      <c r="D3503">
        <v>663</v>
      </c>
      <c r="E3503">
        <v>198</v>
      </c>
      <c r="F3503">
        <v>123</v>
      </c>
      <c r="G3503">
        <v>83</v>
      </c>
      <c r="H3503">
        <v>1067</v>
      </c>
      <c r="I3503" s="1">
        <v>46054</v>
      </c>
      <c r="J3503">
        <v>206</v>
      </c>
      <c r="K3503" t="s">
        <v>23</v>
      </c>
    </row>
    <row r="3504" spans="1:11">
      <c r="A3504" s="1">
        <v>46079</v>
      </c>
      <c r="B3504" t="s">
        <v>21</v>
      </c>
      <c r="C3504" t="s">
        <v>60</v>
      </c>
      <c r="D3504">
        <v>1200</v>
      </c>
      <c r="E3504">
        <v>209</v>
      </c>
      <c r="F3504">
        <v>80</v>
      </c>
      <c r="G3504">
        <v>230</v>
      </c>
      <c r="H3504">
        <v>1719</v>
      </c>
      <c r="I3504" s="1">
        <v>46054</v>
      </c>
      <c r="J3504">
        <v>310</v>
      </c>
      <c r="K3504" t="s">
        <v>23</v>
      </c>
    </row>
    <row r="3505" spans="1:11">
      <c r="A3505" s="1">
        <v>46079</v>
      </c>
      <c r="B3505" t="s">
        <v>21</v>
      </c>
      <c r="C3505" t="s">
        <v>61</v>
      </c>
      <c r="D3505">
        <v>1881</v>
      </c>
      <c r="E3505">
        <v>790</v>
      </c>
      <c r="F3505">
        <v>455</v>
      </c>
      <c r="G3505">
        <v>438</v>
      </c>
      <c r="H3505">
        <v>3564</v>
      </c>
      <c r="I3505" s="1">
        <v>46054</v>
      </c>
      <c r="J3505">
        <v>893</v>
      </c>
      <c r="K3505" t="s">
        <v>23</v>
      </c>
    </row>
    <row r="3506" spans="1:11">
      <c r="A3506" s="1">
        <v>46079</v>
      </c>
      <c r="B3506" t="s">
        <v>21</v>
      </c>
      <c r="C3506" t="s">
        <v>29</v>
      </c>
      <c r="D3506">
        <v>431</v>
      </c>
      <c r="E3506">
        <v>8</v>
      </c>
      <c r="F3506">
        <v>10</v>
      </c>
      <c r="G3506">
        <v>4</v>
      </c>
      <c r="H3506">
        <v>454</v>
      </c>
      <c r="I3506" s="1">
        <v>46054</v>
      </c>
      <c r="J3506">
        <v>14</v>
      </c>
      <c r="K3506" t="s">
        <v>23</v>
      </c>
    </row>
    <row r="3507" spans="1:11">
      <c r="A3507" s="1">
        <v>46079</v>
      </c>
      <c r="B3507" t="s">
        <v>21</v>
      </c>
      <c r="C3507" t="s">
        <v>36</v>
      </c>
      <c r="D3507">
        <v>5</v>
      </c>
      <c r="E3507">
        <v>3</v>
      </c>
      <c r="F3507">
        <v>0</v>
      </c>
      <c r="G3507">
        <v>1</v>
      </c>
      <c r="H3507">
        <v>9</v>
      </c>
      <c r="I3507" s="1">
        <v>46054</v>
      </c>
      <c r="J3507">
        <v>1</v>
      </c>
      <c r="K3507" t="s">
        <v>23</v>
      </c>
    </row>
    <row r="3508" spans="1:11">
      <c r="A3508" s="1">
        <v>46079</v>
      </c>
      <c r="B3508" t="s">
        <v>21</v>
      </c>
      <c r="C3508" t="s">
        <v>44</v>
      </c>
      <c r="D3508">
        <v>594</v>
      </c>
      <c r="E3508">
        <v>175</v>
      </c>
      <c r="F3508">
        <v>127</v>
      </c>
      <c r="G3508">
        <v>79</v>
      </c>
      <c r="H3508">
        <v>975</v>
      </c>
      <c r="I3508" s="1">
        <v>46054</v>
      </c>
      <c r="J3508">
        <v>206</v>
      </c>
      <c r="K3508" t="s">
        <v>23</v>
      </c>
    </row>
    <row r="3509" spans="1:11">
      <c r="A3509" s="1">
        <v>46079</v>
      </c>
      <c r="B3509" t="s">
        <v>21</v>
      </c>
      <c r="C3509" t="s">
        <v>59</v>
      </c>
      <c r="D3509">
        <v>2409</v>
      </c>
      <c r="E3509">
        <v>1052</v>
      </c>
      <c r="F3509">
        <v>338</v>
      </c>
      <c r="G3509">
        <v>231</v>
      </c>
      <c r="H3509">
        <v>4030</v>
      </c>
      <c r="I3509" s="1">
        <v>46054</v>
      </c>
      <c r="J3509">
        <v>569</v>
      </c>
      <c r="K3509" t="s">
        <v>23</v>
      </c>
    </row>
    <row r="3510" spans="1:11">
      <c r="A3510" s="1">
        <v>46079</v>
      </c>
      <c r="B3510" t="s">
        <v>21</v>
      </c>
      <c r="C3510" t="s">
        <v>67</v>
      </c>
      <c r="D3510">
        <v>2033</v>
      </c>
      <c r="E3510">
        <v>1002</v>
      </c>
      <c r="F3510">
        <v>331</v>
      </c>
      <c r="G3510">
        <v>335</v>
      </c>
      <c r="H3510">
        <v>3701</v>
      </c>
      <c r="I3510" s="1">
        <v>46054</v>
      </c>
      <c r="J3510">
        <v>666</v>
      </c>
      <c r="K3510" t="s">
        <v>23</v>
      </c>
    </row>
    <row r="3511" spans="1:11">
      <c r="A3511" s="1">
        <v>46107</v>
      </c>
      <c r="B3511" t="s">
        <v>21</v>
      </c>
      <c r="C3511" t="s">
        <v>64</v>
      </c>
      <c r="D3511">
        <v>19025</v>
      </c>
      <c r="E3511">
        <v>7672</v>
      </c>
      <c r="F3511">
        <v>3301</v>
      </c>
      <c r="G3511">
        <v>2645</v>
      </c>
      <c r="H3511">
        <v>32643</v>
      </c>
      <c r="I3511" s="1">
        <v>46082</v>
      </c>
      <c r="J3511">
        <v>5946</v>
      </c>
      <c r="K3511" t="s">
        <v>23</v>
      </c>
    </row>
    <row r="3512" spans="1:11">
      <c r="A3512" s="1">
        <v>46107</v>
      </c>
      <c r="B3512" t="s">
        <v>21</v>
      </c>
      <c r="C3512" t="s">
        <v>65</v>
      </c>
      <c r="D3512">
        <v>3386</v>
      </c>
      <c r="E3512">
        <v>1020</v>
      </c>
      <c r="F3512">
        <v>313</v>
      </c>
      <c r="G3512">
        <v>96</v>
      </c>
      <c r="H3512">
        <v>4814</v>
      </c>
      <c r="I3512" s="1">
        <v>46082</v>
      </c>
      <c r="J3512">
        <v>409</v>
      </c>
      <c r="K3512" t="s">
        <v>23</v>
      </c>
    </row>
    <row r="3513" spans="1:11">
      <c r="A3513" s="1">
        <v>46107</v>
      </c>
      <c r="B3513" t="s">
        <v>21</v>
      </c>
      <c r="C3513" t="s">
        <v>66</v>
      </c>
      <c r="D3513">
        <v>3248</v>
      </c>
      <c r="E3513">
        <v>1046</v>
      </c>
      <c r="F3513">
        <v>293</v>
      </c>
      <c r="G3513">
        <v>370</v>
      </c>
      <c r="H3513">
        <v>4957</v>
      </c>
      <c r="I3513" s="1">
        <v>46082</v>
      </c>
      <c r="J3513">
        <v>663</v>
      </c>
      <c r="K3513" t="s">
        <v>23</v>
      </c>
    </row>
    <row r="3514" spans="1:11">
      <c r="A3514" s="1">
        <v>46107</v>
      </c>
      <c r="B3514" t="s">
        <v>21</v>
      </c>
      <c r="C3514" t="s">
        <v>47</v>
      </c>
      <c r="D3514">
        <v>697</v>
      </c>
      <c r="E3514">
        <v>190</v>
      </c>
      <c r="F3514">
        <v>113</v>
      </c>
      <c r="G3514">
        <v>64</v>
      </c>
      <c r="H3514">
        <v>1065</v>
      </c>
      <c r="I3514" s="1">
        <v>46082</v>
      </c>
      <c r="J3514">
        <v>177</v>
      </c>
      <c r="K3514" t="s">
        <v>23</v>
      </c>
    </row>
    <row r="3515" spans="1:11">
      <c r="A3515" s="1">
        <v>46107</v>
      </c>
      <c r="B3515" t="s">
        <v>21</v>
      </c>
      <c r="C3515" t="s">
        <v>51</v>
      </c>
      <c r="D3515">
        <v>766</v>
      </c>
      <c r="E3515">
        <v>153</v>
      </c>
      <c r="F3515">
        <v>45</v>
      </c>
      <c r="G3515">
        <v>29</v>
      </c>
      <c r="H3515">
        <v>993</v>
      </c>
      <c r="I3515" s="1">
        <v>46082</v>
      </c>
      <c r="J3515">
        <v>74</v>
      </c>
      <c r="K3515" t="s">
        <v>23</v>
      </c>
    </row>
    <row r="3516" spans="1:11">
      <c r="A3516" s="1">
        <v>46107</v>
      </c>
      <c r="B3516" t="s">
        <v>21</v>
      </c>
      <c r="C3516" t="s">
        <v>45</v>
      </c>
      <c r="D3516">
        <v>946</v>
      </c>
      <c r="E3516">
        <v>510</v>
      </c>
      <c r="F3516">
        <v>367</v>
      </c>
      <c r="G3516">
        <v>160</v>
      </c>
      <c r="H3516">
        <v>1983</v>
      </c>
      <c r="I3516" s="1">
        <v>46082</v>
      </c>
      <c r="J3516">
        <v>527</v>
      </c>
      <c r="K3516" t="s">
        <v>23</v>
      </c>
    </row>
    <row r="3517" spans="1:11">
      <c r="A3517" s="1">
        <v>46107</v>
      </c>
      <c r="B3517" t="s">
        <v>21</v>
      </c>
      <c r="C3517" t="s">
        <v>54</v>
      </c>
      <c r="D3517">
        <v>116</v>
      </c>
      <c r="E3517">
        <v>18</v>
      </c>
      <c r="F3517">
        <v>14</v>
      </c>
      <c r="G3517">
        <v>7</v>
      </c>
      <c r="H3517">
        <v>155</v>
      </c>
      <c r="I3517" s="1">
        <v>46082</v>
      </c>
      <c r="J3517">
        <v>21</v>
      </c>
      <c r="K3517" t="s">
        <v>23</v>
      </c>
    </row>
    <row r="3518" spans="1:11">
      <c r="A3518" s="1">
        <v>46107</v>
      </c>
      <c r="B3518" t="s">
        <v>21</v>
      </c>
      <c r="C3518" t="s">
        <v>52</v>
      </c>
      <c r="D3518">
        <v>1961</v>
      </c>
      <c r="E3518">
        <v>933</v>
      </c>
      <c r="F3518">
        <v>549</v>
      </c>
      <c r="G3518">
        <v>426</v>
      </c>
      <c r="H3518">
        <v>3868</v>
      </c>
      <c r="I3518" s="1">
        <v>46082</v>
      </c>
      <c r="J3518">
        <v>975</v>
      </c>
      <c r="K3518" t="s">
        <v>23</v>
      </c>
    </row>
    <row r="3519" spans="1:11">
      <c r="A3519" s="1">
        <v>46107</v>
      </c>
      <c r="B3519" t="s">
        <v>21</v>
      </c>
      <c r="C3519" t="s">
        <v>63</v>
      </c>
      <c r="D3519">
        <v>345</v>
      </c>
      <c r="E3519">
        <v>213</v>
      </c>
      <c r="F3519">
        <v>127</v>
      </c>
      <c r="G3519">
        <v>89</v>
      </c>
      <c r="H3519">
        <v>774</v>
      </c>
      <c r="I3519" s="1">
        <v>46082</v>
      </c>
      <c r="J3519">
        <v>216</v>
      </c>
      <c r="K3519" t="s">
        <v>23</v>
      </c>
    </row>
    <row r="3520" spans="1:11">
      <c r="A3520" s="1">
        <v>46107</v>
      </c>
      <c r="B3520" t="s">
        <v>21</v>
      </c>
      <c r="C3520" t="s">
        <v>60</v>
      </c>
      <c r="D3520">
        <v>1203</v>
      </c>
      <c r="E3520">
        <v>215</v>
      </c>
      <c r="F3520">
        <v>95</v>
      </c>
      <c r="G3520">
        <v>236</v>
      </c>
      <c r="H3520">
        <v>1749</v>
      </c>
      <c r="I3520" s="1">
        <v>46082</v>
      </c>
      <c r="J3520">
        <v>331</v>
      </c>
      <c r="K3520" t="s">
        <v>23</v>
      </c>
    </row>
    <row r="3521" spans="1:11">
      <c r="A3521" s="1">
        <v>46107</v>
      </c>
      <c r="B3521" t="s">
        <v>21</v>
      </c>
      <c r="C3521" t="s">
        <v>61</v>
      </c>
      <c r="D3521">
        <v>1963</v>
      </c>
      <c r="E3521">
        <v>789</v>
      </c>
      <c r="F3521">
        <v>460</v>
      </c>
      <c r="G3521">
        <v>410</v>
      </c>
      <c r="H3521">
        <v>3622</v>
      </c>
      <c r="I3521" s="1">
        <v>46082</v>
      </c>
      <c r="J3521">
        <v>870</v>
      </c>
      <c r="K3521" t="s">
        <v>23</v>
      </c>
    </row>
    <row r="3522" spans="1:11">
      <c r="A3522" s="1">
        <v>46107</v>
      </c>
      <c r="B3522" t="s">
        <v>21</v>
      </c>
      <c r="C3522" t="s">
        <v>29</v>
      </c>
      <c r="D3522">
        <v>440</v>
      </c>
      <c r="E3522">
        <v>13</v>
      </c>
      <c r="F3522">
        <v>5</v>
      </c>
      <c r="G3522">
        <v>4</v>
      </c>
      <c r="H3522">
        <v>462</v>
      </c>
      <c r="I3522" s="1">
        <v>46082</v>
      </c>
      <c r="J3522">
        <v>9</v>
      </c>
      <c r="K3522" t="s">
        <v>23</v>
      </c>
    </row>
    <row r="3523" spans="1:11">
      <c r="A3523" s="1">
        <v>46107</v>
      </c>
      <c r="B3523" t="s">
        <v>21</v>
      </c>
      <c r="C3523" t="s">
        <v>44</v>
      </c>
      <c r="D3523">
        <v>557</v>
      </c>
      <c r="E3523">
        <v>185</v>
      </c>
      <c r="F3523">
        <v>138</v>
      </c>
      <c r="G3523">
        <v>73</v>
      </c>
      <c r="H3523">
        <v>952</v>
      </c>
      <c r="I3523" s="1">
        <v>46082</v>
      </c>
      <c r="J3523">
        <v>211</v>
      </c>
      <c r="K3523" t="s">
        <v>23</v>
      </c>
    </row>
    <row r="3524" spans="1:11">
      <c r="A3524" s="1">
        <v>46107</v>
      </c>
      <c r="B3524" t="s">
        <v>21</v>
      </c>
      <c r="C3524" t="s">
        <v>59</v>
      </c>
      <c r="D3524">
        <v>2594</v>
      </c>
      <c r="E3524">
        <v>1017</v>
      </c>
      <c r="F3524">
        <v>356</v>
      </c>
      <c r="G3524">
        <v>236</v>
      </c>
      <c r="H3524">
        <v>4202</v>
      </c>
      <c r="I3524" s="1">
        <v>46082</v>
      </c>
      <c r="J3524">
        <v>592</v>
      </c>
      <c r="K3524" t="s">
        <v>23</v>
      </c>
    </row>
    <row r="3525" spans="1:11">
      <c r="A3525" s="1">
        <v>46107</v>
      </c>
      <c r="B3525" t="s">
        <v>21</v>
      </c>
      <c r="C3525" t="s">
        <v>67</v>
      </c>
      <c r="D3525">
        <v>2114</v>
      </c>
      <c r="E3525">
        <v>1039</v>
      </c>
      <c r="F3525">
        <v>340</v>
      </c>
      <c r="G3525">
        <v>326</v>
      </c>
      <c r="H3525">
        <v>3820</v>
      </c>
      <c r="I3525" s="1">
        <v>46082</v>
      </c>
      <c r="J3525">
        <v>666</v>
      </c>
      <c r="K3525" t="s">
        <v>23</v>
      </c>
    </row>
    <row r="3526" spans="1:11">
      <c r="A3526" s="1">
        <v>46142</v>
      </c>
      <c r="B3526" t="s">
        <v>21</v>
      </c>
      <c r="C3526" t="s">
        <v>64</v>
      </c>
      <c r="D3526">
        <v>19159</v>
      </c>
      <c r="E3526">
        <v>7608</v>
      </c>
      <c r="F3526">
        <v>3399</v>
      </c>
      <c r="G3526">
        <v>2381</v>
      </c>
      <c r="H3526">
        <v>32548</v>
      </c>
      <c r="I3526" s="1">
        <v>46113</v>
      </c>
      <c r="J3526">
        <v>5780</v>
      </c>
      <c r="K3526" t="s">
        <v>23</v>
      </c>
    </row>
    <row r="3527" spans="1:11">
      <c r="A3527" s="1">
        <v>46142</v>
      </c>
      <c r="B3527" t="s">
        <v>21</v>
      </c>
      <c r="C3527" t="s">
        <v>65</v>
      </c>
      <c r="D3527">
        <v>3526</v>
      </c>
      <c r="E3527">
        <v>1012</v>
      </c>
      <c r="F3527">
        <v>310</v>
      </c>
      <c r="G3527">
        <v>92</v>
      </c>
      <c r="H3527">
        <v>4940</v>
      </c>
      <c r="I3527" s="1">
        <v>46113</v>
      </c>
      <c r="J3527">
        <v>402</v>
      </c>
      <c r="K3527" t="s">
        <v>23</v>
      </c>
    </row>
    <row r="3528" spans="1:11">
      <c r="A3528" s="1">
        <v>46142</v>
      </c>
      <c r="B3528" t="s">
        <v>21</v>
      </c>
      <c r="C3528" t="s">
        <v>66</v>
      </c>
      <c r="D3528">
        <v>3467</v>
      </c>
      <c r="E3528">
        <v>1046</v>
      </c>
      <c r="F3528">
        <v>306</v>
      </c>
      <c r="G3528">
        <v>355</v>
      </c>
      <c r="H3528">
        <v>5174</v>
      </c>
      <c r="I3528" s="1">
        <v>46113</v>
      </c>
      <c r="J3528">
        <v>661</v>
      </c>
      <c r="K3528" t="s">
        <v>23</v>
      </c>
    </row>
    <row r="3529" spans="1:11">
      <c r="A3529" s="1">
        <v>46142</v>
      </c>
      <c r="B3529" t="s">
        <v>21</v>
      </c>
      <c r="C3529" t="s">
        <v>47</v>
      </c>
      <c r="D3529">
        <v>674</v>
      </c>
      <c r="E3529">
        <v>187</v>
      </c>
      <c r="F3529">
        <v>114</v>
      </c>
      <c r="G3529">
        <v>62</v>
      </c>
      <c r="H3529">
        <v>1037</v>
      </c>
      <c r="I3529" s="1">
        <v>46113</v>
      </c>
      <c r="J3529">
        <v>176</v>
      </c>
      <c r="K3529" t="s">
        <v>23</v>
      </c>
    </row>
    <row r="3530" spans="1:11">
      <c r="A3530" s="1">
        <v>46142</v>
      </c>
      <c r="B3530" t="s">
        <v>21</v>
      </c>
      <c r="C3530" t="s">
        <v>51</v>
      </c>
      <c r="D3530">
        <v>768</v>
      </c>
      <c r="E3530">
        <v>159</v>
      </c>
      <c r="F3530">
        <v>40</v>
      </c>
      <c r="G3530">
        <v>30</v>
      </c>
      <c r="H3530">
        <v>996</v>
      </c>
      <c r="I3530" s="1">
        <v>46113</v>
      </c>
      <c r="J3530">
        <v>70</v>
      </c>
      <c r="K3530" t="s">
        <v>23</v>
      </c>
    </row>
    <row r="3531" spans="1:11">
      <c r="A3531" s="1">
        <v>46142</v>
      </c>
      <c r="B3531" t="s">
        <v>21</v>
      </c>
      <c r="C3531" t="s">
        <v>45</v>
      </c>
      <c r="D3531">
        <v>1009</v>
      </c>
      <c r="E3531">
        <v>480</v>
      </c>
      <c r="F3531">
        <v>344</v>
      </c>
      <c r="G3531">
        <v>182</v>
      </c>
      <c r="H3531">
        <v>2015</v>
      </c>
      <c r="I3531" s="1">
        <v>46113</v>
      </c>
      <c r="J3531">
        <v>526</v>
      </c>
      <c r="K3531" t="s">
        <v>23</v>
      </c>
    </row>
    <row r="3532" spans="1:11">
      <c r="A3532" s="1">
        <v>46142</v>
      </c>
      <c r="B3532" t="s">
        <v>21</v>
      </c>
      <c r="C3532" t="s">
        <v>54</v>
      </c>
      <c r="D3532">
        <v>135</v>
      </c>
      <c r="E3532">
        <v>19</v>
      </c>
      <c r="F3532">
        <v>12</v>
      </c>
      <c r="G3532">
        <v>4</v>
      </c>
      <c r="H3532">
        <v>170</v>
      </c>
      <c r="I3532" s="1">
        <v>46113</v>
      </c>
      <c r="J3532">
        <v>16</v>
      </c>
      <c r="K3532" t="s">
        <v>23</v>
      </c>
    </row>
    <row r="3533" spans="1:11">
      <c r="A3533" s="1">
        <v>46142</v>
      </c>
      <c r="B3533" t="s">
        <v>21</v>
      </c>
      <c r="C3533" t="s">
        <v>52</v>
      </c>
      <c r="D3533">
        <v>1976</v>
      </c>
      <c r="E3533">
        <v>910</v>
      </c>
      <c r="F3533">
        <v>567</v>
      </c>
      <c r="G3533">
        <v>432</v>
      </c>
      <c r="H3533">
        <v>3885</v>
      </c>
      <c r="I3533" s="1">
        <v>46113</v>
      </c>
      <c r="J3533">
        <v>999</v>
      </c>
      <c r="K3533" t="s">
        <v>23</v>
      </c>
    </row>
    <row r="3534" spans="1:11">
      <c r="A3534" s="1">
        <v>46142</v>
      </c>
      <c r="B3534" t="s">
        <v>21</v>
      </c>
      <c r="C3534" t="s">
        <v>63</v>
      </c>
      <c r="D3534">
        <v>332</v>
      </c>
      <c r="E3534">
        <v>217</v>
      </c>
      <c r="F3534">
        <v>125</v>
      </c>
      <c r="G3534">
        <v>112</v>
      </c>
      <c r="H3534">
        <v>786</v>
      </c>
      <c r="I3534" s="1">
        <v>46113</v>
      </c>
      <c r="J3534">
        <v>237</v>
      </c>
      <c r="K3534" t="s">
        <v>23</v>
      </c>
    </row>
    <row r="3535" spans="1:11">
      <c r="A3535" s="1">
        <v>46142</v>
      </c>
      <c r="B3535" t="s">
        <v>21</v>
      </c>
      <c r="C3535" t="s">
        <v>60</v>
      </c>
      <c r="D3535">
        <v>1161</v>
      </c>
      <c r="E3535">
        <v>220</v>
      </c>
      <c r="F3535">
        <v>89</v>
      </c>
      <c r="G3535">
        <v>243</v>
      </c>
      <c r="H3535">
        <v>1712</v>
      </c>
      <c r="I3535" s="1">
        <v>46113</v>
      </c>
      <c r="J3535">
        <v>332</v>
      </c>
      <c r="K3535" t="s">
        <v>23</v>
      </c>
    </row>
    <row r="3536" spans="1:11">
      <c r="A3536" s="1">
        <v>46142</v>
      </c>
      <c r="B3536" t="s">
        <v>21</v>
      </c>
      <c r="C3536" t="s">
        <v>61</v>
      </c>
      <c r="D3536">
        <v>1884</v>
      </c>
      <c r="E3536">
        <v>763</v>
      </c>
      <c r="F3536">
        <v>479</v>
      </c>
      <c r="G3536">
        <v>385</v>
      </c>
      <c r="H3536">
        <v>3510</v>
      </c>
      <c r="I3536" s="1">
        <v>46113</v>
      </c>
      <c r="J3536">
        <v>864</v>
      </c>
      <c r="K3536" t="s">
        <v>23</v>
      </c>
    </row>
    <row r="3537" spans="1:11">
      <c r="A3537" s="1">
        <v>46142</v>
      </c>
      <c r="B3537" t="s">
        <v>21</v>
      </c>
      <c r="C3537" t="s">
        <v>32</v>
      </c>
      <c r="D3537">
        <v>432</v>
      </c>
      <c r="E3537">
        <v>90</v>
      </c>
      <c r="F3537">
        <v>4</v>
      </c>
      <c r="G3537">
        <v>1</v>
      </c>
      <c r="H3537">
        <v>527</v>
      </c>
      <c r="I3537" s="1">
        <v>46113</v>
      </c>
      <c r="J3537">
        <v>5</v>
      </c>
      <c r="K3537" t="s">
        <v>23</v>
      </c>
    </row>
    <row r="3538" spans="1:11">
      <c r="A3538" s="1">
        <v>46142</v>
      </c>
      <c r="B3538" t="s">
        <v>21</v>
      </c>
      <c r="C3538" t="s">
        <v>44</v>
      </c>
      <c r="D3538">
        <v>499</v>
      </c>
      <c r="E3538">
        <v>168</v>
      </c>
      <c r="F3538">
        <v>135</v>
      </c>
      <c r="G3538">
        <v>78</v>
      </c>
      <c r="H3538">
        <v>880</v>
      </c>
      <c r="I3538" s="1">
        <v>46113</v>
      </c>
      <c r="J3538">
        <v>213</v>
      </c>
      <c r="K3538" t="s">
        <v>23</v>
      </c>
    </row>
    <row r="3539" spans="1:11">
      <c r="A3539" s="1">
        <v>46142</v>
      </c>
      <c r="B3539" t="s">
        <v>21</v>
      </c>
      <c r="C3539" t="s">
        <v>59</v>
      </c>
      <c r="D3539">
        <v>2783</v>
      </c>
      <c r="E3539">
        <v>1073</v>
      </c>
      <c r="F3539">
        <v>389</v>
      </c>
      <c r="G3539">
        <v>227</v>
      </c>
      <c r="H3539">
        <v>4472</v>
      </c>
      <c r="I3539" s="1">
        <v>46113</v>
      </c>
      <c r="J3539">
        <v>616</v>
      </c>
      <c r="K3539" t="s">
        <v>23</v>
      </c>
    </row>
    <row r="3540" spans="1:11">
      <c r="A3540" s="1">
        <v>46142</v>
      </c>
      <c r="B3540" t="s">
        <v>21</v>
      </c>
      <c r="C3540" t="s">
        <v>67</v>
      </c>
      <c r="D3540">
        <v>2225</v>
      </c>
      <c r="E3540">
        <v>1068</v>
      </c>
      <c r="F3540">
        <v>316</v>
      </c>
      <c r="G3540">
        <v>288</v>
      </c>
      <c r="H3540">
        <v>3897</v>
      </c>
      <c r="I3540" s="1">
        <v>46113</v>
      </c>
      <c r="J3540">
        <v>604</v>
      </c>
      <c r="K3540" t="s">
        <v>23</v>
      </c>
    </row>
    <row r="3541" spans="1:11">
      <c r="A3541" s="1">
        <v>46170</v>
      </c>
      <c r="B3541" t="s">
        <v>21</v>
      </c>
      <c r="C3541" t="s">
        <v>48</v>
      </c>
      <c r="D3541">
        <v>47</v>
      </c>
      <c r="E3541">
        <v>9</v>
      </c>
      <c r="F3541">
        <v>0</v>
      </c>
      <c r="G3541">
        <v>3</v>
      </c>
      <c r="H3541">
        <v>59</v>
      </c>
      <c r="I3541" s="1">
        <v>46143</v>
      </c>
      <c r="J3541">
        <v>3</v>
      </c>
      <c r="K3541" t="s">
        <v>23</v>
      </c>
    </row>
    <row r="3542" spans="1:11">
      <c r="A3542" s="1">
        <v>46170</v>
      </c>
      <c r="B3542" t="s">
        <v>21</v>
      </c>
      <c r="C3542" t="s">
        <v>64</v>
      </c>
      <c r="D3542">
        <v>19380</v>
      </c>
      <c r="E3542">
        <v>7637</v>
      </c>
      <c r="F3542">
        <v>3370</v>
      </c>
      <c r="G3542">
        <v>2357</v>
      </c>
      <c r="H3542">
        <v>32744</v>
      </c>
      <c r="I3542" s="1">
        <v>46143</v>
      </c>
      <c r="J3542">
        <v>5727</v>
      </c>
      <c r="K3542" t="s">
        <v>23</v>
      </c>
    </row>
    <row r="3543" spans="1:11">
      <c r="A3543" s="1">
        <v>46170</v>
      </c>
      <c r="B3543" t="s">
        <v>21</v>
      </c>
      <c r="C3543" t="s">
        <v>65</v>
      </c>
      <c r="D3543">
        <v>3608</v>
      </c>
      <c r="E3543">
        <v>989</v>
      </c>
      <c r="F3543">
        <v>335</v>
      </c>
      <c r="G3543">
        <v>81</v>
      </c>
      <c r="H3543">
        <v>5014</v>
      </c>
      <c r="I3543" s="1">
        <v>46143</v>
      </c>
      <c r="J3543">
        <v>416</v>
      </c>
      <c r="K3543" t="s">
        <v>23</v>
      </c>
    </row>
    <row r="3544" spans="1:11">
      <c r="A3544" s="1">
        <v>46170</v>
      </c>
      <c r="B3544" t="s">
        <v>21</v>
      </c>
      <c r="C3544" t="s">
        <v>66</v>
      </c>
      <c r="D3544">
        <v>3579</v>
      </c>
      <c r="E3544">
        <v>1108</v>
      </c>
      <c r="F3544">
        <v>298</v>
      </c>
      <c r="G3544">
        <v>319</v>
      </c>
      <c r="H3544">
        <v>5304</v>
      </c>
      <c r="I3544" s="1">
        <v>46143</v>
      </c>
      <c r="J3544">
        <v>617</v>
      </c>
      <c r="K3544" t="s">
        <v>23</v>
      </c>
    </row>
    <row r="3545" spans="1:11">
      <c r="A3545" s="1">
        <v>46170</v>
      </c>
      <c r="B3545" t="s">
        <v>21</v>
      </c>
      <c r="C3545" t="s">
        <v>57</v>
      </c>
      <c r="D3545">
        <v>1311</v>
      </c>
      <c r="E3545">
        <v>38</v>
      </c>
      <c r="F3545">
        <v>6</v>
      </c>
      <c r="G3545">
        <v>4</v>
      </c>
      <c r="H3545">
        <v>1359</v>
      </c>
      <c r="I3545" s="1">
        <v>46143</v>
      </c>
      <c r="J3545">
        <v>10</v>
      </c>
      <c r="K3545" t="s">
        <v>23</v>
      </c>
    </row>
    <row r="3546" spans="1:11">
      <c r="A3546" s="1">
        <v>46170</v>
      </c>
      <c r="B3546" t="s">
        <v>21</v>
      </c>
      <c r="C3546" t="s">
        <v>47</v>
      </c>
      <c r="D3546">
        <v>739</v>
      </c>
      <c r="E3546">
        <v>189</v>
      </c>
      <c r="F3546">
        <v>111</v>
      </c>
      <c r="G3546">
        <v>53</v>
      </c>
      <c r="H3546">
        <v>1092</v>
      </c>
      <c r="I3546" s="1">
        <v>46143</v>
      </c>
      <c r="J3546">
        <v>164</v>
      </c>
      <c r="K3546" t="s">
        <v>23</v>
      </c>
    </row>
    <row r="3547" spans="1:11">
      <c r="A3547" s="1">
        <v>46170</v>
      </c>
      <c r="B3547" t="s">
        <v>21</v>
      </c>
      <c r="C3547" t="s">
        <v>51</v>
      </c>
      <c r="D3547">
        <v>726</v>
      </c>
      <c r="E3547">
        <v>184</v>
      </c>
      <c r="F3547">
        <v>35</v>
      </c>
      <c r="G3547">
        <v>36</v>
      </c>
      <c r="H3547">
        <v>980</v>
      </c>
      <c r="I3547" s="1">
        <v>46143</v>
      </c>
      <c r="J3547">
        <v>71</v>
      </c>
      <c r="K3547" t="s">
        <v>23</v>
      </c>
    </row>
    <row r="3548" spans="1:11">
      <c r="A3548" s="1">
        <v>46170</v>
      </c>
      <c r="B3548" t="s">
        <v>21</v>
      </c>
      <c r="C3548" t="s">
        <v>45</v>
      </c>
      <c r="D3548">
        <v>1035</v>
      </c>
      <c r="E3548">
        <v>507</v>
      </c>
      <c r="F3548">
        <v>351</v>
      </c>
      <c r="G3548">
        <v>224</v>
      </c>
      <c r="H3548">
        <v>2117</v>
      </c>
      <c r="I3548" s="1">
        <v>46143</v>
      </c>
      <c r="J3548">
        <v>575</v>
      </c>
      <c r="K3548" t="s">
        <v>23</v>
      </c>
    </row>
    <row r="3549" spans="1:11">
      <c r="A3549" s="1">
        <v>46170</v>
      </c>
      <c r="B3549" t="s">
        <v>21</v>
      </c>
      <c r="C3549" t="s">
        <v>54</v>
      </c>
      <c r="D3549">
        <v>163</v>
      </c>
      <c r="E3549">
        <v>26</v>
      </c>
      <c r="F3549">
        <v>8</v>
      </c>
      <c r="G3549">
        <v>3</v>
      </c>
      <c r="H3549">
        <v>199</v>
      </c>
      <c r="I3549" s="1">
        <v>46143</v>
      </c>
      <c r="J3549">
        <v>11</v>
      </c>
      <c r="K3549" t="s">
        <v>23</v>
      </c>
    </row>
    <row r="3550" spans="1:11">
      <c r="A3550" s="1">
        <v>46170</v>
      </c>
      <c r="B3550" t="s">
        <v>21</v>
      </c>
      <c r="C3550" t="s">
        <v>52</v>
      </c>
      <c r="D3550">
        <v>1959</v>
      </c>
      <c r="E3550">
        <v>924</v>
      </c>
      <c r="F3550">
        <v>562</v>
      </c>
      <c r="G3550">
        <v>445</v>
      </c>
      <c r="H3550">
        <v>3890</v>
      </c>
      <c r="I3550" s="1">
        <v>46143</v>
      </c>
      <c r="J3550">
        <v>1007</v>
      </c>
      <c r="K3550" t="s">
        <v>23</v>
      </c>
    </row>
    <row r="3551" spans="1:11">
      <c r="A3551" s="1">
        <v>46170</v>
      </c>
      <c r="B3551" t="s">
        <v>21</v>
      </c>
      <c r="C3551" t="s">
        <v>63</v>
      </c>
      <c r="D3551">
        <v>320</v>
      </c>
      <c r="E3551">
        <v>231</v>
      </c>
      <c r="F3551">
        <v>126</v>
      </c>
      <c r="G3551">
        <v>113</v>
      </c>
      <c r="H3551">
        <v>790</v>
      </c>
      <c r="I3551" s="1">
        <v>46143</v>
      </c>
      <c r="J3551">
        <v>239</v>
      </c>
      <c r="K3551" t="s">
        <v>23</v>
      </c>
    </row>
    <row r="3552" spans="1:11">
      <c r="A3552" s="1">
        <v>46170</v>
      </c>
      <c r="B3552" t="s">
        <v>21</v>
      </c>
      <c r="C3552" t="s">
        <v>60</v>
      </c>
      <c r="D3552">
        <v>1239</v>
      </c>
      <c r="E3552">
        <v>247</v>
      </c>
      <c r="F3552">
        <v>85</v>
      </c>
      <c r="G3552">
        <v>255</v>
      </c>
      <c r="H3552">
        <v>1826</v>
      </c>
      <c r="I3552" s="1">
        <v>46143</v>
      </c>
      <c r="J3552">
        <v>340</v>
      </c>
      <c r="K3552" t="s">
        <v>23</v>
      </c>
    </row>
    <row r="3553" spans="1:11">
      <c r="A3553" s="1">
        <v>46170</v>
      </c>
      <c r="B3553" t="s">
        <v>21</v>
      </c>
      <c r="C3553" t="s">
        <v>61</v>
      </c>
      <c r="D3553">
        <v>1939</v>
      </c>
      <c r="E3553">
        <v>727</v>
      </c>
      <c r="F3553">
        <v>464</v>
      </c>
      <c r="G3553">
        <v>385</v>
      </c>
      <c r="H3553">
        <v>3515</v>
      </c>
      <c r="I3553" s="1">
        <v>46143</v>
      </c>
      <c r="J3553">
        <v>849</v>
      </c>
      <c r="K3553" t="s">
        <v>23</v>
      </c>
    </row>
    <row r="3554" spans="1:11">
      <c r="A3554" s="1">
        <v>46170</v>
      </c>
      <c r="B3554" t="s">
        <v>21</v>
      </c>
      <c r="C3554" t="s">
        <v>44</v>
      </c>
      <c r="D3554">
        <v>466</v>
      </c>
      <c r="E3554">
        <v>152</v>
      </c>
      <c r="F3554">
        <v>131</v>
      </c>
      <c r="G3554">
        <v>70</v>
      </c>
      <c r="H3554">
        <v>819</v>
      </c>
      <c r="I3554" s="1">
        <v>46143</v>
      </c>
      <c r="J3554">
        <v>201</v>
      </c>
      <c r="K3554" t="s">
        <v>23</v>
      </c>
    </row>
    <row r="3555" spans="1:11">
      <c r="A3555" s="1">
        <v>46170</v>
      </c>
      <c r="B3555" t="s">
        <v>21</v>
      </c>
      <c r="C3555" t="s">
        <v>59</v>
      </c>
      <c r="D3555">
        <v>3003</v>
      </c>
      <c r="E3555">
        <v>1133</v>
      </c>
      <c r="F3555">
        <v>412</v>
      </c>
      <c r="G3555">
        <v>221</v>
      </c>
      <c r="H3555">
        <v>4769</v>
      </c>
      <c r="I3555" s="1">
        <v>46143</v>
      </c>
      <c r="J3555">
        <v>633</v>
      </c>
      <c r="K3555" t="s">
        <v>23</v>
      </c>
    </row>
    <row r="3556" spans="1:11">
      <c r="A3556" s="1">
        <v>46170</v>
      </c>
      <c r="B3556" t="s">
        <v>21</v>
      </c>
      <c r="C3556" t="s">
        <v>67</v>
      </c>
      <c r="D3556">
        <v>2337</v>
      </c>
      <c r="E3556">
        <v>1065</v>
      </c>
      <c r="F3556">
        <v>324</v>
      </c>
      <c r="G3556">
        <v>269</v>
      </c>
      <c r="H3556">
        <v>3995</v>
      </c>
      <c r="I3556" s="1">
        <v>46143</v>
      </c>
      <c r="J3556">
        <v>593</v>
      </c>
      <c r="K3556" t="s">
        <v>23</v>
      </c>
    </row>
    <row r="3557" spans="1:11">
      <c r="A3557" s="1">
        <v>46198</v>
      </c>
      <c r="B3557" t="s">
        <v>21</v>
      </c>
      <c r="C3557" t="s">
        <v>48</v>
      </c>
      <c r="D3557">
        <v>52</v>
      </c>
      <c r="E3557">
        <v>11</v>
      </c>
      <c r="F3557">
        <v>0</v>
      </c>
      <c r="G3557">
        <v>4</v>
      </c>
      <c r="H3557">
        <v>67</v>
      </c>
      <c r="I3557" s="1">
        <v>46174</v>
      </c>
      <c r="J3557">
        <v>4</v>
      </c>
      <c r="K3557" t="s">
        <v>23</v>
      </c>
    </row>
    <row r="3558" spans="1:11">
      <c r="A3558" s="1">
        <v>46198</v>
      </c>
      <c r="B3558" t="s">
        <v>21</v>
      </c>
      <c r="C3558" t="s">
        <v>64</v>
      </c>
      <c r="D3558">
        <v>19314</v>
      </c>
      <c r="E3558">
        <v>7747</v>
      </c>
      <c r="F3558">
        <v>3264</v>
      </c>
      <c r="G3558">
        <v>2296</v>
      </c>
      <c r="H3558">
        <v>32620</v>
      </c>
      <c r="I3558" s="1">
        <v>46174</v>
      </c>
      <c r="J3558">
        <v>5560</v>
      </c>
      <c r="K3558" t="s">
        <v>23</v>
      </c>
    </row>
    <row r="3559" spans="1:11">
      <c r="A3559" s="1">
        <v>46198</v>
      </c>
      <c r="B3559" t="s">
        <v>21</v>
      </c>
      <c r="C3559" t="s">
        <v>65</v>
      </c>
      <c r="D3559">
        <v>3543</v>
      </c>
      <c r="E3559">
        <v>977</v>
      </c>
      <c r="F3559">
        <v>313</v>
      </c>
      <c r="G3559">
        <v>73</v>
      </c>
      <c r="H3559">
        <v>4906</v>
      </c>
      <c r="I3559" s="1">
        <v>46174</v>
      </c>
      <c r="J3559">
        <v>386</v>
      </c>
      <c r="K3559" t="s">
        <v>23</v>
      </c>
    </row>
    <row r="3560" spans="1:11">
      <c r="A3560" s="1">
        <v>46198</v>
      </c>
      <c r="B3560" t="s">
        <v>21</v>
      </c>
      <c r="C3560" t="s">
        <v>66</v>
      </c>
      <c r="D3560">
        <v>3492</v>
      </c>
      <c r="E3560">
        <v>1104</v>
      </c>
      <c r="F3560">
        <v>237</v>
      </c>
      <c r="G3560">
        <v>289</v>
      </c>
      <c r="H3560">
        <v>5123</v>
      </c>
      <c r="I3560" s="1">
        <v>46174</v>
      </c>
      <c r="J3560">
        <v>526</v>
      </c>
      <c r="K3560" t="s">
        <v>23</v>
      </c>
    </row>
    <row r="3561" spans="1:11">
      <c r="A3561" s="1">
        <v>46198</v>
      </c>
      <c r="B3561" t="s">
        <v>21</v>
      </c>
      <c r="C3561" t="s">
        <v>57</v>
      </c>
      <c r="D3561">
        <v>1232</v>
      </c>
      <c r="E3561">
        <v>20</v>
      </c>
      <c r="F3561">
        <v>7</v>
      </c>
      <c r="G3561">
        <v>7</v>
      </c>
      <c r="H3561">
        <v>1265</v>
      </c>
      <c r="I3561" s="1">
        <v>46174</v>
      </c>
      <c r="J3561">
        <v>14</v>
      </c>
      <c r="K3561" t="s">
        <v>23</v>
      </c>
    </row>
    <row r="3562" spans="1:11">
      <c r="A3562" s="1">
        <v>46198</v>
      </c>
      <c r="B3562" t="s">
        <v>21</v>
      </c>
      <c r="C3562" t="s">
        <v>47</v>
      </c>
      <c r="D3562">
        <v>722</v>
      </c>
      <c r="E3562">
        <v>196</v>
      </c>
      <c r="F3562">
        <v>107</v>
      </c>
      <c r="G3562">
        <v>51</v>
      </c>
      <c r="H3562">
        <v>1077</v>
      </c>
      <c r="I3562" s="1">
        <v>46174</v>
      </c>
      <c r="J3562">
        <v>158</v>
      </c>
      <c r="K3562" t="s">
        <v>23</v>
      </c>
    </row>
    <row r="3563" spans="1:11">
      <c r="A3563" s="1">
        <v>46198</v>
      </c>
      <c r="B3563" t="s">
        <v>21</v>
      </c>
      <c r="C3563" t="s">
        <v>51</v>
      </c>
      <c r="D3563">
        <v>743</v>
      </c>
      <c r="E3563">
        <v>166</v>
      </c>
      <c r="F3563">
        <v>38</v>
      </c>
      <c r="G3563">
        <v>34</v>
      </c>
      <c r="H3563">
        <v>981</v>
      </c>
      <c r="I3563" s="1">
        <v>46174</v>
      </c>
      <c r="J3563">
        <v>72</v>
      </c>
      <c r="K3563" t="s">
        <v>23</v>
      </c>
    </row>
    <row r="3564" spans="1:11">
      <c r="A3564" s="1">
        <v>46198</v>
      </c>
      <c r="B3564" t="s">
        <v>21</v>
      </c>
      <c r="C3564" t="s">
        <v>45</v>
      </c>
      <c r="D3564">
        <v>1045</v>
      </c>
      <c r="E3564">
        <v>514</v>
      </c>
      <c r="F3564">
        <v>368</v>
      </c>
      <c r="G3564">
        <v>257</v>
      </c>
      <c r="H3564">
        <v>2184</v>
      </c>
      <c r="I3564" s="1">
        <v>46174</v>
      </c>
      <c r="J3564">
        <v>625</v>
      </c>
      <c r="K3564" t="s">
        <v>23</v>
      </c>
    </row>
    <row r="3565" spans="1:11">
      <c r="A3565" s="1">
        <v>46198</v>
      </c>
      <c r="B3565" t="s">
        <v>21</v>
      </c>
      <c r="C3565" t="s">
        <v>52</v>
      </c>
      <c r="D3565">
        <v>1964</v>
      </c>
      <c r="E3565">
        <v>906</v>
      </c>
      <c r="F3565">
        <v>540</v>
      </c>
      <c r="G3565">
        <v>423</v>
      </c>
      <c r="H3565">
        <v>3833</v>
      </c>
      <c r="I3565" s="1">
        <v>46174</v>
      </c>
      <c r="J3565">
        <v>963</v>
      </c>
      <c r="K3565" t="s">
        <v>23</v>
      </c>
    </row>
    <row r="3566" spans="1:11">
      <c r="A3566" s="1">
        <v>46198</v>
      </c>
      <c r="B3566" t="s">
        <v>21</v>
      </c>
      <c r="C3566" t="s">
        <v>46</v>
      </c>
      <c r="D3566">
        <v>427</v>
      </c>
      <c r="E3566">
        <v>46</v>
      </c>
      <c r="F3566">
        <v>4</v>
      </c>
      <c r="G3566">
        <v>1</v>
      </c>
      <c r="H3566">
        <v>478</v>
      </c>
      <c r="I3566" s="1">
        <v>46174</v>
      </c>
      <c r="J3566">
        <v>5</v>
      </c>
      <c r="K3566" t="s">
        <v>23</v>
      </c>
    </row>
    <row r="3567" spans="1:11">
      <c r="A3567" s="1">
        <v>46198</v>
      </c>
      <c r="B3567" t="s">
        <v>21</v>
      </c>
      <c r="C3567" t="s">
        <v>63</v>
      </c>
      <c r="D3567">
        <v>320</v>
      </c>
      <c r="E3567">
        <v>217</v>
      </c>
      <c r="F3567">
        <v>133</v>
      </c>
      <c r="G3567">
        <v>114</v>
      </c>
      <c r="H3567">
        <v>784</v>
      </c>
      <c r="I3567" s="1">
        <v>46174</v>
      </c>
      <c r="J3567">
        <v>247</v>
      </c>
      <c r="K3567" t="s">
        <v>23</v>
      </c>
    </row>
    <row r="3568" spans="1:11">
      <c r="A3568" s="1">
        <v>46198</v>
      </c>
      <c r="B3568" t="s">
        <v>21</v>
      </c>
      <c r="C3568" t="s">
        <v>60</v>
      </c>
      <c r="D3568">
        <v>1157</v>
      </c>
      <c r="E3568">
        <v>213</v>
      </c>
      <c r="F3568">
        <v>75</v>
      </c>
      <c r="G3568">
        <v>256</v>
      </c>
      <c r="H3568">
        <v>1702</v>
      </c>
      <c r="I3568" s="1">
        <v>46174</v>
      </c>
      <c r="J3568">
        <v>331</v>
      </c>
      <c r="K3568" t="s">
        <v>23</v>
      </c>
    </row>
    <row r="3569" spans="1:11">
      <c r="A3569" s="1">
        <v>46198</v>
      </c>
      <c r="B3569" t="s">
        <v>21</v>
      </c>
      <c r="C3569" t="s">
        <v>61</v>
      </c>
      <c r="D3569">
        <v>1850</v>
      </c>
      <c r="E3569">
        <v>674</v>
      </c>
      <c r="F3569">
        <v>429</v>
      </c>
      <c r="G3569">
        <v>291</v>
      </c>
      <c r="H3569">
        <v>3245</v>
      </c>
      <c r="I3569" s="1">
        <v>46174</v>
      </c>
      <c r="J3569">
        <v>720</v>
      </c>
      <c r="K3569" t="s">
        <v>23</v>
      </c>
    </row>
    <row r="3570" spans="1:11">
      <c r="A3570" s="1">
        <v>46198</v>
      </c>
      <c r="B3570" t="s">
        <v>21</v>
      </c>
      <c r="C3570" t="s">
        <v>44</v>
      </c>
      <c r="D3570">
        <v>425</v>
      </c>
      <c r="E3570">
        <v>142</v>
      </c>
      <c r="F3570">
        <v>119</v>
      </c>
      <c r="G3570">
        <v>76</v>
      </c>
      <c r="H3570">
        <v>763</v>
      </c>
      <c r="I3570" s="1">
        <v>46174</v>
      </c>
      <c r="J3570">
        <v>195</v>
      </c>
      <c r="K3570" t="s">
        <v>23</v>
      </c>
    </row>
    <row r="3571" spans="1:11">
      <c r="A3571" s="1">
        <v>46198</v>
      </c>
      <c r="B3571" t="s">
        <v>21</v>
      </c>
      <c r="C3571" t="s">
        <v>59</v>
      </c>
      <c r="D3571">
        <v>3033</v>
      </c>
      <c r="E3571">
        <v>1166</v>
      </c>
      <c r="F3571">
        <v>441</v>
      </c>
      <c r="G3571">
        <v>215</v>
      </c>
      <c r="H3571">
        <v>4854</v>
      </c>
      <c r="I3571" s="1">
        <v>46174</v>
      </c>
      <c r="J3571">
        <v>656</v>
      </c>
      <c r="K3571" t="s">
        <v>23</v>
      </c>
    </row>
    <row r="3572" spans="1:11">
      <c r="A3572" s="1">
        <v>46198</v>
      </c>
      <c r="B3572" t="s">
        <v>21</v>
      </c>
      <c r="C3572" t="s">
        <v>67</v>
      </c>
      <c r="D3572">
        <v>2362</v>
      </c>
      <c r="E3572">
        <v>1064</v>
      </c>
      <c r="F3572">
        <v>300</v>
      </c>
      <c r="G3572">
        <v>259</v>
      </c>
      <c r="H3572">
        <v>3985</v>
      </c>
      <c r="I3572" s="1">
        <v>46174</v>
      </c>
      <c r="J3572">
        <v>559</v>
      </c>
      <c r="K3572" t="s">
        <v>23</v>
      </c>
    </row>
    <row r="3573" spans="1:11">
      <c r="A3573" s="1">
        <v>46233</v>
      </c>
      <c r="B3573" t="s">
        <v>21</v>
      </c>
      <c r="C3573" t="s">
        <v>48</v>
      </c>
      <c r="D3573">
        <v>45</v>
      </c>
      <c r="E3573">
        <v>12</v>
      </c>
      <c r="F3573">
        <v>2</v>
      </c>
      <c r="G3573">
        <v>4</v>
      </c>
      <c r="H3573">
        <v>62</v>
      </c>
      <c r="I3573" s="1">
        <v>46204</v>
      </c>
      <c r="J3573">
        <v>6</v>
      </c>
      <c r="K3573" t="s">
        <v>23</v>
      </c>
    </row>
    <row r="3574" spans="1:11">
      <c r="A3574" s="1">
        <v>46233</v>
      </c>
      <c r="B3574" t="s">
        <v>21</v>
      </c>
      <c r="C3574" t="s">
        <v>64</v>
      </c>
      <c r="D3574">
        <v>19829</v>
      </c>
      <c r="E3574">
        <v>7462</v>
      </c>
      <c r="F3574">
        <v>3242</v>
      </c>
      <c r="G3574">
        <v>2314</v>
      </c>
      <c r="H3574">
        <v>32848</v>
      </c>
      <c r="I3574" s="1">
        <v>46204</v>
      </c>
      <c r="J3574">
        <v>5556</v>
      </c>
      <c r="K3574" t="s">
        <v>23</v>
      </c>
    </row>
    <row r="3575" spans="1:11">
      <c r="A3575" s="1">
        <v>46233</v>
      </c>
      <c r="B3575" t="s">
        <v>21</v>
      </c>
      <c r="C3575" t="s">
        <v>65</v>
      </c>
      <c r="D3575">
        <v>3741</v>
      </c>
      <c r="E3575">
        <v>932</v>
      </c>
      <c r="F3575">
        <v>325</v>
      </c>
      <c r="G3575">
        <v>89</v>
      </c>
      <c r="H3575">
        <v>5088</v>
      </c>
      <c r="I3575" s="1">
        <v>46204</v>
      </c>
      <c r="J3575">
        <v>414</v>
      </c>
      <c r="K3575" t="s">
        <v>23</v>
      </c>
    </row>
    <row r="3576" spans="1:11">
      <c r="A3576" s="1">
        <v>46233</v>
      </c>
      <c r="B3576" t="s">
        <v>21</v>
      </c>
      <c r="C3576" t="s">
        <v>66</v>
      </c>
      <c r="D3576">
        <v>3638</v>
      </c>
      <c r="E3576">
        <v>1052</v>
      </c>
      <c r="F3576">
        <v>258</v>
      </c>
      <c r="G3576">
        <v>244</v>
      </c>
      <c r="H3576">
        <v>5192</v>
      </c>
      <c r="I3576" s="1">
        <v>46204</v>
      </c>
      <c r="J3576">
        <v>502</v>
      </c>
      <c r="K3576" t="s">
        <v>23</v>
      </c>
    </row>
    <row r="3577" spans="1:11">
      <c r="A3577" s="1">
        <v>46233</v>
      </c>
      <c r="B3577" t="s">
        <v>21</v>
      </c>
      <c r="C3577" t="s">
        <v>57</v>
      </c>
      <c r="D3577">
        <v>1076</v>
      </c>
      <c r="E3577">
        <v>16</v>
      </c>
      <c r="F3577">
        <v>6</v>
      </c>
      <c r="G3577">
        <v>7</v>
      </c>
      <c r="H3577">
        <v>1105</v>
      </c>
      <c r="I3577" s="1">
        <v>46204</v>
      </c>
      <c r="J3577">
        <v>13</v>
      </c>
      <c r="K3577" t="s">
        <v>23</v>
      </c>
    </row>
    <row r="3578" spans="1:11">
      <c r="A3578" s="1">
        <v>46233</v>
      </c>
      <c r="B3578" t="s">
        <v>21</v>
      </c>
      <c r="C3578" t="s">
        <v>47</v>
      </c>
      <c r="D3578">
        <v>670</v>
      </c>
      <c r="E3578">
        <v>189</v>
      </c>
      <c r="F3578">
        <v>104</v>
      </c>
      <c r="G3578">
        <v>59</v>
      </c>
      <c r="H3578">
        <v>1021</v>
      </c>
      <c r="I3578" s="1">
        <v>46204</v>
      </c>
      <c r="J3578">
        <v>163</v>
      </c>
      <c r="K3578" t="s">
        <v>23</v>
      </c>
    </row>
    <row r="3579" spans="1:11">
      <c r="A3579" s="1">
        <v>46233</v>
      </c>
      <c r="B3579" t="s">
        <v>21</v>
      </c>
      <c r="C3579" t="s">
        <v>51</v>
      </c>
      <c r="D3579">
        <v>696</v>
      </c>
      <c r="E3579">
        <v>154</v>
      </c>
      <c r="F3579">
        <v>31</v>
      </c>
      <c r="G3579">
        <v>38</v>
      </c>
      <c r="H3579">
        <v>918</v>
      </c>
      <c r="I3579" s="1">
        <v>46204</v>
      </c>
      <c r="J3579">
        <v>69</v>
      </c>
      <c r="K3579" t="s">
        <v>23</v>
      </c>
    </row>
    <row r="3580" spans="1:11">
      <c r="A3580" s="1">
        <v>46233</v>
      </c>
      <c r="B3580" t="s">
        <v>21</v>
      </c>
      <c r="C3580" t="s">
        <v>45</v>
      </c>
      <c r="D3580">
        <v>1047</v>
      </c>
      <c r="E3580">
        <v>533</v>
      </c>
      <c r="F3580">
        <v>380</v>
      </c>
      <c r="G3580">
        <v>271</v>
      </c>
      <c r="H3580">
        <v>2231</v>
      </c>
      <c r="I3580" s="1">
        <v>46204</v>
      </c>
      <c r="J3580">
        <v>651</v>
      </c>
      <c r="K3580" t="s">
        <v>23</v>
      </c>
    </row>
    <row r="3581" spans="1:11">
      <c r="A3581" s="1">
        <v>46233</v>
      </c>
      <c r="B3581" t="s">
        <v>21</v>
      </c>
      <c r="C3581" t="s">
        <v>52</v>
      </c>
      <c r="D3581">
        <v>2005</v>
      </c>
      <c r="E3581">
        <v>938</v>
      </c>
      <c r="F3581">
        <v>550</v>
      </c>
      <c r="G3581">
        <v>376</v>
      </c>
      <c r="H3581">
        <v>3868</v>
      </c>
      <c r="I3581" s="1">
        <v>46204</v>
      </c>
      <c r="J3581">
        <v>926</v>
      </c>
      <c r="K3581" t="s">
        <v>23</v>
      </c>
    </row>
    <row r="3582" spans="1:11">
      <c r="A3582" s="1">
        <v>46233</v>
      </c>
      <c r="B3582" t="s">
        <v>21</v>
      </c>
      <c r="C3582" t="s">
        <v>63</v>
      </c>
      <c r="D3582">
        <v>266</v>
      </c>
      <c r="E3582">
        <v>211</v>
      </c>
      <c r="F3582">
        <v>135</v>
      </c>
      <c r="G3582">
        <v>114</v>
      </c>
      <c r="H3582">
        <v>726</v>
      </c>
      <c r="I3582" s="1">
        <v>46204</v>
      </c>
      <c r="J3582">
        <v>249</v>
      </c>
      <c r="K3582" t="s">
        <v>23</v>
      </c>
    </row>
    <row r="3583" spans="1:11">
      <c r="A3583" s="1">
        <v>46233</v>
      </c>
      <c r="B3583" t="s">
        <v>21</v>
      </c>
      <c r="C3583" t="s">
        <v>60</v>
      </c>
      <c r="D3583">
        <v>1235</v>
      </c>
      <c r="E3583">
        <v>199</v>
      </c>
      <c r="F3583">
        <v>78</v>
      </c>
      <c r="G3583">
        <v>240</v>
      </c>
      <c r="H3583">
        <v>1752</v>
      </c>
      <c r="I3583" s="1">
        <v>46204</v>
      </c>
      <c r="J3583">
        <v>318</v>
      </c>
      <c r="K3583" t="s">
        <v>23</v>
      </c>
    </row>
    <row r="3584" spans="1:11">
      <c r="A3584" s="1">
        <v>46233</v>
      </c>
      <c r="B3584" t="s">
        <v>21</v>
      </c>
      <c r="C3584" t="s">
        <v>61</v>
      </c>
      <c r="D3584">
        <v>1927</v>
      </c>
      <c r="E3584">
        <v>661</v>
      </c>
      <c r="F3584">
        <v>359</v>
      </c>
      <c r="G3584">
        <v>241</v>
      </c>
      <c r="H3584">
        <v>3188</v>
      </c>
      <c r="I3584" s="1">
        <v>46204</v>
      </c>
      <c r="J3584">
        <v>600</v>
      </c>
      <c r="K3584" t="s">
        <v>23</v>
      </c>
    </row>
    <row r="3585" spans="1:11">
      <c r="A3585" s="1">
        <v>46233</v>
      </c>
      <c r="B3585" t="s">
        <v>21</v>
      </c>
      <c r="C3585" t="s">
        <v>44</v>
      </c>
      <c r="D3585">
        <v>430</v>
      </c>
      <c r="E3585">
        <v>138</v>
      </c>
      <c r="F3585">
        <v>95</v>
      </c>
      <c r="G3585">
        <v>83</v>
      </c>
      <c r="H3585">
        <v>745</v>
      </c>
      <c r="I3585" s="1">
        <v>46204</v>
      </c>
      <c r="J3585">
        <v>178</v>
      </c>
      <c r="K3585" t="s">
        <v>23</v>
      </c>
    </row>
    <row r="3586" spans="1:11">
      <c r="A3586" s="1">
        <v>46233</v>
      </c>
      <c r="B3586" t="s">
        <v>21</v>
      </c>
      <c r="C3586" t="s">
        <v>59</v>
      </c>
      <c r="D3586">
        <v>2844</v>
      </c>
      <c r="E3586">
        <v>1132</v>
      </c>
      <c r="F3586">
        <v>466</v>
      </c>
      <c r="G3586">
        <v>180</v>
      </c>
      <c r="H3586">
        <v>4622</v>
      </c>
      <c r="I3586" s="1">
        <v>46204</v>
      </c>
      <c r="J3586">
        <v>646</v>
      </c>
      <c r="K3586" t="s">
        <v>23</v>
      </c>
    </row>
    <row r="3587" spans="1:11">
      <c r="A3587" s="1">
        <v>46233</v>
      </c>
      <c r="B3587" t="s">
        <v>21</v>
      </c>
      <c r="C3587" t="s">
        <v>67</v>
      </c>
      <c r="D3587">
        <v>2427</v>
      </c>
      <c r="E3587">
        <v>1048</v>
      </c>
      <c r="F3587">
        <v>335</v>
      </c>
      <c r="G3587">
        <v>241</v>
      </c>
      <c r="H3587">
        <v>4051</v>
      </c>
      <c r="I3587" s="1">
        <v>46204</v>
      </c>
      <c r="J3587">
        <v>576</v>
      </c>
      <c r="K3587" t="s">
        <v>23</v>
      </c>
    </row>
    <row r="3588" spans="1:11">
      <c r="A3588" s="1">
        <v>46261</v>
      </c>
      <c r="B3588" t="s">
        <v>21</v>
      </c>
      <c r="C3588" t="s">
        <v>64</v>
      </c>
      <c r="D3588">
        <v>19948</v>
      </c>
      <c r="E3588">
        <v>7809</v>
      </c>
      <c r="F3588">
        <v>2897</v>
      </c>
      <c r="G3588">
        <v>2109</v>
      </c>
      <c r="H3588">
        <v>32763</v>
      </c>
      <c r="I3588" s="1">
        <v>46235</v>
      </c>
      <c r="J3588">
        <v>5006</v>
      </c>
      <c r="K3588" t="s">
        <v>23</v>
      </c>
    </row>
    <row r="3589" spans="1:11">
      <c r="A3589" s="1">
        <v>46261</v>
      </c>
      <c r="B3589" t="s">
        <v>21</v>
      </c>
      <c r="C3589" t="s">
        <v>65</v>
      </c>
      <c r="D3589">
        <v>3736</v>
      </c>
      <c r="E3589">
        <v>1012</v>
      </c>
      <c r="F3589">
        <v>325</v>
      </c>
      <c r="G3589">
        <v>89</v>
      </c>
      <c r="H3589">
        <v>5163</v>
      </c>
      <c r="I3589" s="1">
        <v>46235</v>
      </c>
      <c r="J3589">
        <v>414</v>
      </c>
      <c r="K3589" t="s">
        <v>23</v>
      </c>
    </row>
    <row r="3590" spans="1:11">
      <c r="A3590" s="1">
        <v>46261</v>
      </c>
      <c r="B3590" t="s">
        <v>21</v>
      </c>
      <c r="C3590" t="s">
        <v>66</v>
      </c>
      <c r="D3590">
        <v>3515</v>
      </c>
      <c r="E3590">
        <v>1090</v>
      </c>
      <c r="F3590">
        <v>297</v>
      </c>
      <c r="G3590">
        <v>244</v>
      </c>
      <c r="H3590">
        <v>5147</v>
      </c>
      <c r="I3590" s="1">
        <v>46235</v>
      </c>
      <c r="J3590">
        <v>541</v>
      </c>
      <c r="K3590" t="s">
        <v>23</v>
      </c>
    </row>
    <row r="3591" spans="1:11">
      <c r="A3591" s="1">
        <v>46261</v>
      </c>
      <c r="B3591" t="s">
        <v>21</v>
      </c>
      <c r="C3591" t="s">
        <v>57</v>
      </c>
      <c r="D3591">
        <v>1098</v>
      </c>
      <c r="E3591">
        <v>12</v>
      </c>
      <c r="F3591">
        <v>5</v>
      </c>
      <c r="G3591">
        <v>5</v>
      </c>
      <c r="H3591">
        <v>1120</v>
      </c>
      <c r="I3591" s="1">
        <v>46235</v>
      </c>
      <c r="J3591">
        <v>10</v>
      </c>
      <c r="K3591" t="s">
        <v>23</v>
      </c>
    </row>
    <row r="3592" spans="1:11">
      <c r="A3592" s="1">
        <v>46261</v>
      </c>
      <c r="B3592" t="s">
        <v>21</v>
      </c>
      <c r="C3592" t="s">
        <v>28</v>
      </c>
      <c r="D3592">
        <v>147</v>
      </c>
      <c r="E3592">
        <v>38</v>
      </c>
      <c r="F3592">
        <v>4</v>
      </c>
      <c r="G3592">
        <v>1</v>
      </c>
      <c r="H3592">
        <v>191</v>
      </c>
      <c r="I3592" s="1">
        <v>46235</v>
      </c>
      <c r="J3592">
        <v>5</v>
      </c>
      <c r="K3592" t="s">
        <v>23</v>
      </c>
    </row>
    <row r="3593" spans="1:11">
      <c r="A3593" s="1">
        <v>46261</v>
      </c>
      <c r="B3593" t="s">
        <v>21</v>
      </c>
      <c r="C3593" t="s">
        <v>47</v>
      </c>
      <c r="D3593">
        <v>594</v>
      </c>
      <c r="E3593">
        <v>207</v>
      </c>
      <c r="F3593">
        <v>94</v>
      </c>
      <c r="G3593">
        <v>70</v>
      </c>
      <c r="H3593">
        <v>965</v>
      </c>
      <c r="I3593" s="1">
        <v>46235</v>
      </c>
      <c r="J3593">
        <v>164</v>
      </c>
      <c r="K3593" t="s">
        <v>23</v>
      </c>
    </row>
    <row r="3594" spans="1:11">
      <c r="A3594" s="1">
        <v>46261</v>
      </c>
      <c r="B3594" t="s">
        <v>21</v>
      </c>
      <c r="C3594" t="s">
        <v>51</v>
      </c>
      <c r="D3594">
        <v>687</v>
      </c>
      <c r="E3594">
        <v>161</v>
      </c>
      <c r="F3594">
        <v>31</v>
      </c>
      <c r="G3594">
        <v>34</v>
      </c>
      <c r="H3594">
        <v>913</v>
      </c>
      <c r="I3594" s="1">
        <v>46235</v>
      </c>
      <c r="J3594">
        <v>65</v>
      </c>
      <c r="K3594" t="s">
        <v>23</v>
      </c>
    </row>
    <row r="3595" spans="1:11">
      <c r="A3595" s="1">
        <v>46261</v>
      </c>
      <c r="B3595" t="s">
        <v>21</v>
      </c>
      <c r="C3595" t="s">
        <v>45</v>
      </c>
      <c r="D3595">
        <v>964</v>
      </c>
      <c r="E3595">
        <v>563</v>
      </c>
      <c r="F3595">
        <v>358</v>
      </c>
      <c r="G3595">
        <v>295</v>
      </c>
      <c r="H3595">
        <v>2180</v>
      </c>
      <c r="I3595" s="1">
        <v>46235</v>
      </c>
      <c r="J3595">
        <v>653</v>
      </c>
      <c r="K3595" t="s">
        <v>23</v>
      </c>
    </row>
    <row r="3596" spans="1:11">
      <c r="A3596" s="1">
        <v>46261</v>
      </c>
      <c r="B3596" t="s">
        <v>21</v>
      </c>
      <c r="C3596" t="s">
        <v>52</v>
      </c>
      <c r="D3596">
        <v>2024</v>
      </c>
      <c r="E3596">
        <v>1032</v>
      </c>
      <c r="F3596">
        <v>546</v>
      </c>
      <c r="G3596">
        <v>398</v>
      </c>
      <c r="H3596">
        <v>3999</v>
      </c>
      <c r="I3596" s="1">
        <v>46235</v>
      </c>
      <c r="J3596">
        <v>944</v>
      </c>
      <c r="K3596" t="s">
        <v>23</v>
      </c>
    </row>
    <row r="3597" spans="1:11">
      <c r="A3597" s="1">
        <v>46261</v>
      </c>
      <c r="B3597" t="s">
        <v>21</v>
      </c>
      <c r="C3597" t="s">
        <v>63</v>
      </c>
      <c r="D3597">
        <v>214</v>
      </c>
      <c r="E3597">
        <v>209</v>
      </c>
      <c r="F3597">
        <v>140</v>
      </c>
      <c r="G3597">
        <v>117</v>
      </c>
      <c r="H3597">
        <v>680</v>
      </c>
      <c r="I3597" s="1">
        <v>46235</v>
      </c>
      <c r="J3597">
        <v>257</v>
      </c>
      <c r="K3597" t="s">
        <v>23</v>
      </c>
    </row>
    <row r="3598" spans="1:11">
      <c r="A3598" s="1">
        <v>46261</v>
      </c>
      <c r="B3598" t="s">
        <v>21</v>
      </c>
      <c r="C3598" t="s">
        <v>60</v>
      </c>
      <c r="D3598">
        <v>1277</v>
      </c>
      <c r="E3598">
        <v>234</v>
      </c>
      <c r="F3598">
        <v>77</v>
      </c>
      <c r="G3598">
        <v>215</v>
      </c>
      <c r="H3598">
        <v>1803</v>
      </c>
      <c r="I3598" s="1">
        <v>46235</v>
      </c>
      <c r="J3598">
        <v>292</v>
      </c>
      <c r="K3598" t="s">
        <v>23</v>
      </c>
    </row>
    <row r="3599" spans="1:11">
      <c r="A3599" s="1">
        <v>46261</v>
      </c>
      <c r="B3599" t="s">
        <v>21</v>
      </c>
      <c r="C3599" t="s">
        <v>61</v>
      </c>
      <c r="D3599">
        <v>1717</v>
      </c>
      <c r="E3599">
        <v>728</v>
      </c>
      <c r="F3599">
        <v>283</v>
      </c>
      <c r="G3599">
        <v>225</v>
      </c>
      <c r="H3599">
        <v>2953</v>
      </c>
      <c r="I3599" s="1">
        <v>46235</v>
      </c>
      <c r="J3599">
        <v>508</v>
      </c>
      <c r="K3599" t="s">
        <v>23</v>
      </c>
    </row>
    <row r="3600" spans="1:11">
      <c r="A3600" s="1">
        <v>46261</v>
      </c>
      <c r="B3600" t="s">
        <v>21</v>
      </c>
      <c r="C3600" t="s">
        <v>44</v>
      </c>
      <c r="D3600">
        <v>451</v>
      </c>
      <c r="E3600">
        <v>143</v>
      </c>
      <c r="F3600">
        <v>87</v>
      </c>
      <c r="G3600">
        <v>84</v>
      </c>
      <c r="H3600">
        <v>765</v>
      </c>
      <c r="I3600" s="1">
        <v>46235</v>
      </c>
      <c r="J3600">
        <v>171</v>
      </c>
      <c r="K3600" t="s">
        <v>23</v>
      </c>
    </row>
    <row r="3601" spans="1:11">
      <c r="A3601" s="1">
        <v>46261</v>
      </c>
      <c r="B3601" t="s">
        <v>21</v>
      </c>
      <c r="C3601" t="s">
        <v>59</v>
      </c>
      <c r="D3601">
        <v>2803</v>
      </c>
      <c r="E3601">
        <v>1213</v>
      </c>
      <c r="F3601">
        <v>473</v>
      </c>
      <c r="G3601">
        <v>124</v>
      </c>
      <c r="H3601">
        <v>4614</v>
      </c>
      <c r="I3601" s="1">
        <v>46235</v>
      </c>
      <c r="J3601">
        <v>597</v>
      </c>
      <c r="K3601" t="s">
        <v>23</v>
      </c>
    </row>
    <row r="3602" spans="1:11">
      <c r="A3602" s="1">
        <v>46261</v>
      </c>
      <c r="B3602" t="s">
        <v>21</v>
      </c>
      <c r="C3602" t="s">
        <v>67</v>
      </c>
      <c r="D3602">
        <v>2414</v>
      </c>
      <c r="E3602">
        <v>1131</v>
      </c>
      <c r="F3602">
        <v>316</v>
      </c>
      <c r="G3602">
        <v>248</v>
      </c>
      <c r="H3602">
        <v>4109</v>
      </c>
      <c r="I3602" s="1">
        <v>46235</v>
      </c>
      <c r="J3602">
        <v>564</v>
      </c>
      <c r="K3602" t="s">
        <v>23</v>
      </c>
    </row>
    <row r="3603" spans="1:11">
      <c r="A3603" s="1">
        <v>44952</v>
      </c>
      <c r="B3603" t="s">
        <v>40</v>
      </c>
      <c r="C3603" t="s">
        <v>50</v>
      </c>
      <c r="D3603">
        <v>59</v>
      </c>
      <c r="E3603">
        <v>41</v>
      </c>
      <c r="F3603">
        <v>21</v>
      </c>
      <c r="G3603">
        <v>5</v>
      </c>
      <c r="H3603">
        <v>126</v>
      </c>
      <c r="I3603" s="1">
        <v>44927</v>
      </c>
      <c r="J3603">
        <v>26</v>
      </c>
      <c r="K3603" t="s">
        <v>26</v>
      </c>
    </row>
    <row r="3604" spans="1:11">
      <c r="A3604" s="1">
        <v>44952</v>
      </c>
      <c r="B3604" t="s">
        <v>40</v>
      </c>
      <c r="C3604" t="s">
        <v>48</v>
      </c>
      <c r="D3604">
        <v>3998</v>
      </c>
      <c r="E3604">
        <v>1515</v>
      </c>
      <c r="F3604">
        <v>228</v>
      </c>
      <c r="G3604">
        <v>29</v>
      </c>
      <c r="H3604">
        <v>5771</v>
      </c>
      <c r="I3604" s="1">
        <v>44927</v>
      </c>
      <c r="J3604">
        <v>257</v>
      </c>
      <c r="K3604" t="s">
        <v>26</v>
      </c>
    </row>
    <row r="3605" spans="1:11">
      <c r="A3605" s="1">
        <v>44952</v>
      </c>
      <c r="B3605" t="s">
        <v>40</v>
      </c>
      <c r="C3605" t="s">
        <v>65</v>
      </c>
      <c r="D3605">
        <v>830</v>
      </c>
      <c r="E3605">
        <v>279</v>
      </c>
      <c r="F3605">
        <v>145</v>
      </c>
      <c r="G3605">
        <v>247</v>
      </c>
      <c r="H3605">
        <v>1502</v>
      </c>
      <c r="I3605" s="1">
        <v>44927</v>
      </c>
      <c r="J3605">
        <v>392</v>
      </c>
      <c r="K3605" t="s">
        <v>26</v>
      </c>
    </row>
    <row r="3606" spans="1:11">
      <c r="A3606" s="1">
        <v>44952</v>
      </c>
      <c r="B3606" t="s">
        <v>40</v>
      </c>
      <c r="C3606" t="s">
        <v>30</v>
      </c>
      <c r="D3606">
        <v>382</v>
      </c>
      <c r="E3606">
        <v>87</v>
      </c>
      <c r="F3606">
        <v>18</v>
      </c>
      <c r="G3606">
        <v>34</v>
      </c>
      <c r="H3606">
        <v>521</v>
      </c>
      <c r="I3606" s="1">
        <v>44927</v>
      </c>
      <c r="J3606">
        <v>52</v>
      </c>
      <c r="K3606" t="s">
        <v>26</v>
      </c>
    </row>
    <row r="3607" spans="1:11">
      <c r="A3607" s="1">
        <v>44952</v>
      </c>
      <c r="B3607" t="s">
        <v>40</v>
      </c>
      <c r="C3607" t="s">
        <v>66</v>
      </c>
      <c r="D3607">
        <v>4626</v>
      </c>
      <c r="E3607">
        <v>2404</v>
      </c>
      <c r="F3607">
        <v>795</v>
      </c>
      <c r="G3607">
        <v>1917</v>
      </c>
      <c r="H3607">
        <v>9743</v>
      </c>
      <c r="I3607" s="1">
        <v>44927</v>
      </c>
      <c r="J3607">
        <v>2712</v>
      </c>
      <c r="K3607" t="s">
        <v>26</v>
      </c>
    </row>
    <row r="3608" spans="1:11">
      <c r="A3608" s="1">
        <v>44952</v>
      </c>
      <c r="B3608" t="s">
        <v>40</v>
      </c>
      <c r="C3608" t="s">
        <v>57</v>
      </c>
      <c r="D3608">
        <v>1495</v>
      </c>
      <c r="E3608">
        <v>334</v>
      </c>
      <c r="F3608">
        <v>198</v>
      </c>
      <c r="G3608">
        <v>344</v>
      </c>
      <c r="H3608">
        <v>2371</v>
      </c>
      <c r="I3608" s="1">
        <v>44927</v>
      </c>
      <c r="J3608">
        <v>542</v>
      </c>
      <c r="K3608" t="s">
        <v>26</v>
      </c>
    </row>
    <row r="3609" spans="1:11">
      <c r="A3609" s="1">
        <v>44952</v>
      </c>
      <c r="B3609" t="s">
        <v>40</v>
      </c>
      <c r="C3609" t="s">
        <v>68</v>
      </c>
      <c r="D3609">
        <v>3503</v>
      </c>
      <c r="E3609">
        <v>984</v>
      </c>
      <c r="F3609">
        <v>527</v>
      </c>
      <c r="G3609">
        <v>948</v>
      </c>
      <c r="H3609">
        <v>5963</v>
      </c>
      <c r="I3609" s="1">
        <v>44927</v>
      </c>
      <c r="J3609">
        <v>1475</v>
      </c>
      <c r="K3609" t="s">
        <v>26</v>
      </c>
    </row>
    <row r="3610" spans="1:11">
      <c r="A3610" s="1">
        <v>44952</v>
      </c>
      <c r="B3610" t="s">
        <v>40</v>
      </c>
      <c r="C3610" t="s">
        <v>47</v>
      </c>
      <c r="D3610">
        <v>521</v>
      </c>
      <c r="E3610">
        <v>129</v>
      </c>
      <c r="F3610">
        <v>40</v>
      </c>
      <c r="G3610">
        <v>91</v>
      </c>
      <c r="H3610">
        <v>781</v>
      </c>
      <c r="I3610" s="1">
        <v>44927</v>
      </c>
      <c r="J3610">
        <v>131</v>
      </c>
      <c r="K3610" t="s">
        <v>26</v>
      </c>
    </row>
    <row r="3611" spans="1:11">
      <c r="A3611" s="1">
        <v>44952</v>
      </c>
      <c r="B3611" t="s">
        <v>40</v>
      </c>
      <c r="C3611" t="s">
        <v>25</v>
      </c>
      <c r="D3611">
        <v>475</v>
      </c>
      <c r="E3611">
        <v>156</v>
      </c>
      <c r="F3611">
        <v>72</v>
      </c>
      <c r="G3611">
        <v>49</v>
      </c>
      <c r="H3611">
        <v>753</v>
      </c>
      <c r="I3611" s="1">
        <v>44927</v>
      </c>
      <c r="J3611">
        <v>121</v>
      </c>
      <c r="K3611" t="s">
        <v>26</v>
      </c>
    </row>
    <row r="3612" spans="1:11">
      <c r="A3612" s="1">
        <v>44952</v>
      </c>
      <c r="B3612" t="s">
        <v>40</v>
      </c>
      <c r="C3612" t="s">
        <v>51</v>
      </c>
      <c r="D3612">
        <v>437</v>
      </c>
      <c r="E3612">
        <v>148</v>
      </c>
      <c r="F3612">
        <v>64</v>
      </c>
      <c r="G3612">
        <v>27</v>
      </c>
      <c r="H3612">
        <v>676</v>
      </c>
      <c r="I3612" s="1">
        <v>44927</v>
      </c>
      <c r="J3612">
        <v>91</v>
      </c>
      <c r="K3612" t="s">
        <v>26</v>
      </c>
    </row>
    <row r="3613" spans="1:11">
      <c r="A3613" s="1">
        <v>44952</v>
      </c>
      <c r="B3613" t="s">
        <v>40</v>
      </c>
      <c r="C3613" t="s">
        <v>45</v>
      </c>
      <c r="D3613">
        <v>183</v>
      </c>
      <c r="E3613">
        <v>88</v>
      </c>
      <c r="F3613">
        <v>20</v>
      </c>
      <c r="G3613">
        <v>28</v>
      </c>
      <c r="H3613">
        <v>319</v>
      </c>
      <c r="I3613" s="1">
        <v>44927</v>
      </c>
      <c r="J3613">
        <v>48</v>
      </c>
      <c r="K3613" t="s">
        <v>26</v>
      </c>
    </row>
    <row r="3614" spans="1:11">
      <c r="A3614" s="1">
        <v>44952</v>
      </c>
      <c r="B3614" t="s">
        <v>40</v>
      </c>
      <c r="C3614" t="s">
        <v>43</v>
      </c>
      <c r="D3614">
        <v>954</v>
      </c>
      <c r="E3614">
        <v>375</v>
      </c>
      <c r="F3614">
        <v>49</v>
      </c>
      <c r="G3614">
        <v>80</v>
      </c>
      <c r="H3614">
        <v>1458</v>
      </c>
      <c r="I3614" s="1">
        <v>44927</v>
      </c>
      <c r="J3614">
        <v>129</v>
      </c>
      <c r="K3614" t="s">
        <v>26</v>
      </c>
    </row>
    <row r="3615" spans="1:11">
      <c r="A3615" s="1">
        <v>44952</v>
      </c>
      <c r="B3615" t="s">
        <v>40</v>
      </c>
      <c r="C3615" t="s">
        <v>54</v>
      </c>
      <c r="D3615">
        <v>1479</v>
      </c>
      <c r="E3615">
        <v>380</v>
      </c>
      <c r="F3615">
        <v>56</v>
      </c>
      <c r="G3615">
        <v>22</v>
      </c>
      <c r="H3615">
        <v>1937</v>
      </c>
      <c r="I3615" s="1">
        <v>44927</v>
      </c>
      <c r="J3615">
        <v>78</v>
      </c>
      <c r="K3615" t="s">
        <v>26</v>
      </c>
    </row>
    <row r="3616" spans="1:11">
      <c r="A3616" s="1">
        <v>44952</v>
      </c>
      <c r="B3616" t="s">
        <v>40</v>
      </c>
      <c r="C3616" t="s">
        <v>46</v>
      </c>
      <c r="D3616">
        <v>443</v>
      </c>
      <c r="E3616">
        <v>141</v>
      </c>
      <c r="F3616">
        <v>49</v>
      </c>
      <c r="G3616">
        <v>4</v>
      </c>
      <c r="H3616">
        <v>638</v>
      </c>
      <c r="I3616" s="1">
        <v>44927</v>
      </c>
      <c r="J3616">
        <v>53</v>
      </c>
      <c r="K3616" t="s">
        <v>26</v>
      </c>
    </row>
    <row r="3617" spans="1:11">
      <c r="A3617" s="1">
        <v>44952</v>
      </c>
      <c r="B3617" t="s">
        <v>40</v>
      </c>
      <c r="C3617" t="s">
        <v>31</v>
      </c>
      <c r="D3617">
        <v>463</v>
      </c>
      <c r="E3617">
        <v>159</v>
      </c>
      <c r="F3617">
        <v>56</v>
      </c>
      <c r="G3617">
        <v>65</v>
      </c>
      <c r="H3617">
        <v>743</v>
      </c>
      <c r="I3617" s="1">
        <v>44927</v>
      </c>
      <c r="J3617">
        <v>121</v>
      </c>
      <c r="K3617" t="s">
        <v>26</v>
      </c>
    </row>
    <row r="3618" spans="1:11">
      <c r="A3618" s="1">
        <v>44952</v>
      </c>
      <c r="B3618" t="s">
        <v>40</v>
      </c>
      <c r="C3618" t="s">
        <v>63</v>
      </c>
      <c r="D3618">
        <v>1919</v>
      </c>
      <c r="E3618">
        <v>630</v>
      </c>
      <c r="F3618">
        <v>75</v>
      </c>
      <c r="G3618">
        <v>42</v>
      </c>
      <c r="H3618">
        <v>2666</v>
      </c>
      <c r="I3618" s="1">
        <v>44927</v>
      </c>
      <c r="J3618">
        <v>117</v>
      </c>
      <c r="K3618" t="s">
        <v>26</v>
      </c>
    </row>
    <row r="3619" spans="1:11">
      <c r="A3619" s="1">
        <v>44952</v>
      </c>
      <c r="B3619" t="s">
        <v>40</v>
      </c>
      <c r="C3619" t="s">
        <v>60</v>
      </c>
      <c r="D3619">
        <v>1864</v>
      </c>
      <c r="E3619">
        <v>847</v>
      </c>
      <c r="F3619">
        <v>301</v>
      </c>
      <c r="G3619">
        <v>332</v>
      </c>
      <c r="H3619">
        <v>3344</v>
      </c>
      <c r="I3619" s="1">
        <v>44927</v>
      </c>
      <c r="J3619">
        <v>633</v>
      </c>
      <c r="K3619" t="s">
        <v>26</v>
      </c>
    </row>
    <row r="3620" spans="1:11">
      <c r="A3620" s="1">
        <v>44952</v>
      </c>
      <c r="B3620" t="s">
        <v>40</v>
      </c>
      <c r="C3620" t="s">
        <v>61</v>
      </c>
      <c r="D3620">
        <v>2215</v>
      </c>
      <c r="E3620">
        <v>908</v>
      </c>
      <c r="F3620">
        <v>277</v>
      </c>
      <c r="G3620">
        <v>275</v>
      </c>
      <c r="H3620">
        <v>3676</v>
      </c>
      <c r="I3620" s="1">
        <v>44927</v>
      </c>
      <c r="J3620">
        <v>552</v>
      </c>
      <c r="K3620" t="s">
        <v>26</v>
      </c>
    </row>
    <row r="3621" spans="1:11">
      <c r="A3621" s="1">
        <v>44952</v>
      </c>
      <c r="B3621" t="s">
        <v>40</v>
      </c>
      <c r="C3621" t="s">
        <v>62</v>
      </c>
      <c r="D3621">
        <v>396</v>
      </c>
      <c r="E3621">
        <v>133</v>
      </c>
      <c r="F3621">
        <v>14</v>
      </c>
      <c r="G3621">
        <v>53</v>
      </c>
      <c r="H3621">
        <v>596</v>
      </c>
      <c r="I3621" s="1">
        <v>44927</v>
      </c>
      <c r="J3621">
        <v>67</v>
      </c>
      <c r="K3621" t="s">
        <v>26</v>
      </c>
    </row>
    <row r="3622" spans="1:11">
      <c r="A3622" s="1">
        <v>44952</v>
      </c>
      <c r="B3622" t="s">
        <v>40</v>
      </c>
      <c r="C3622" t="s">
        <v>69</v>
      </c>
      <c r="D3622">
        <v>3155</v>
      </c>
      <c r="E3622">
        <v>1190</v>
      </c>
      <c r="F3622">
        <v>526</v>
      </c>
      <c r="G3622">
        <v>1124</v>
      </c>
      <c r="H3622">
        <v>5996</v>
      </c>
      <c r="I3622" s="1">
        <v>44927</v>
      </c>
      <c r="J3622">
        <v>1650</v>
      </c>
      <c r="K3622" t="s">
        <v>26</v>
      </c>
    </row>
    <row r="3623" spans="1:11">
      <c r="A3623" s="1">
        <v>44952</v>
      </c>
      <c r="B3623" t="s">
        <v>40</v>
      </c>
      <c r="C3623" t="s">
        <v>29</v>
      </c>
      <c r="D3623">
        <v>530</v>
      </c>
      <c r="E3623">
        <v>217</v>
      </c>
      <c r="F3623">
        <v>69</v>
      </c>
      <c r="G3623">
        <v>41</v>
      </c>
      <c r="H3623">
        <v>857</v>
      </c>
      <c r="I3623" s="1">
        <v>44927</v>
      </c>
      <c r="J3623">
        <v>110</v>
      </c>
      <c r="K3623" t="s">
        <v>26</v>
      </c>
    </row>
    <row r="3624" spans="1:11">
      <c r="A3624" s="1">
        <v>44952</v>
      </c>
      <c r="B3624" t="s">
        <v>40</v>
      </c>
      <c r="C3624" t="s">
        <v>70</v>
      </c>
      <c r="D3624">
        <v>1007</v>
      </c>
      <c r="E3624">
        <v>222</v>
      </c>
      <c r="F3624">
        <v>29</v>
      </c>
      <c r="G3624">
        <v>8</v>
      </c>
      <c r="H3624">
        <v>1266</v>
      </c>
      <c r="I3624" s="1">
        <v>44927</v>
      </c>
      <c r="J3624">
        <v>37</v>
      </c>
      <c r="K3624" t="s">
        <v>26</v>
      </c>
    </row>
    <row r="3625" spans="1:11">
      <c r="A3625" s="1">
        <v>44952</v>
      </c>
      <c r="B3625" t="s">
        <v>40</v>
      </c>
      <c r="C3625" t="s">
        <v>71</v>
      </c>
      <c r="D3625">
        <v>2563</v>
      </c>
      <c r="E3625">
        <v>621</v>
      </c>
      <c r="F3625">
        <v>204</v>
      </c>
      <c r="G3625">
        <v>418</v>
      </c>
      <c r="H3625">
        <v>3807</v>
      </c>
      <c r="I3625" s="1">
        <v>44927</v>
      </c>
      <c r="J3625">
        <v>622</v>
      </c>
      <c r="K3625" t="s">
        <v>26</v>
      </c>
    </row>
    <row r="3626" spans="1:11">
      <c r="A3626" s="1">
        <v>44952</v>
      </c>
      <c r="B3626" t="s">
        <v>40</v>
      </c>
      <c r="C3626" t="s">
        <v>36</v>
      </c>
      <c r="D3626">
        <v>2033</v>
      </c>
      <c r="E3626">
        <v>365</v>
      </c>
      <c r="F3626">
        <v>120</v>
      </c>
      <c r="G3626">
        <v>135</v>
      </c>
      <c r="H3626">
        <v>2654</v>
      </c>
      <c r="I3626" s="1">
        <v>44927</v>
      </c>
      <c r="J3626">
        <v>255</v>
      </c>
      <c r="K3626" t="s">
        <v>26</v>
      </c>
    </row>
    <row r="3627" spans="1:11">
      <c r="A3627" s="1">
        <v>44952</v>
      </c>
      <c r="B3627" t="s">
        <v>40</v>
      </c>
      <c r="C3627" t="s">
        <v>67</v>
      </c>
      <c r="D3627">
        <v>3148</v>
      </c>
      <c r="E3627">
        <v>1059</v>
      </c>
      <c r="F3627">
        <v>447</v>
      </c>
      <c r="G3627">
        <v>893</v>
      </c>
      <c r="H3627">
        <v>5548</v>
      </c>
      <c r="I3627" s="1">
        <v>44927</v>
      </c>
      <c r="J3627">
        <v>1340</v>
      </c>
      <c r="K3627" t="s">
        <v>26</v>
      </c>
    </row>
    <row r="3628" spans="1:11">
      <c r="A3628" s="1">
        <v>44952</v>
      </c>
      <c r="B3628" t="s">
        <v>40</v>
      </c>
      <c r="C3628" t="s">
        <v>49</v>
      </c>
      <c r="D3628">
        <v>521</v>
      </c>
      <c r="E3628">
        <v>202</v>
      </c>
      <c r="F3628">
        <v>134</v>
      </c>
      <c r="G3628">
        <v>36</v>
      </c>
      <c r="H3628">
        <v>893</v>
      </c>
      <c r="I3628" s="1">
        <v>44927</v>
      </c>
      <c r="J3628">
        <v>170</v>
      </c>
      <c r="K3628" t="s">
        <v>26</v>
      </c>
    </row>
    <row r="3629" spans="1:11">
      <c r="A3629" s="1">
        <v>44980</v>
      </c>
      <c r="B3629" t="s">
        <v>40</v>
      </c>
      <c r="C3629" t="s">
        <v>50</v>
      </c>
      <c r="D3629">
        <v>50</v>
      </c>
      <c r="E3629">
        <v>45</v>
      </c>
      <c r="F3629">
        <v>26</v>
      </c>
      <c r="G3629">
        <v>7</v>
      </c>
      <c r="H3629">
        <v>128</v>
      </c>
      <c r="I3629" s="1">
        <v>44958</v>
      </c>
      <c r="J3629">
        <v>33</v>
      </c>
      <c r="K3629" t="s">
        <v>26</v>
      </c>
    </row>
    <row r="3630" spans="1:11">
      <c r="A3630" s="1">
        <v>44980</v>
      </c>
      <c r="B3630" t="s">
        <v>40</v>
      </c>
      <c r="C3630" t="s">
        <v>48</v>
      </c>
      <c r="D3630">
        <v>3981</v>
      </c>
      <c r="E3630">
        <v>1635</v>
      </c>
      <c r="F3630">
        <v>383</v>
      </c>
      <c r="G3630">
        <v>86</v>
      </c>
      <c r="H3630">
        <v>6086</v>
      </c>
      <c r="I3630" s="1">
        <v>44958</v>
      </c>
      <c r="J3630">
        <v>469</v>
      </c>
      <c r="K3630" t="s">
        <v>26</v>
      </c>
    </row>
    <row r="3631" spans="1:11">
      <c r="A3631" s="1">
        <v>44980</v>
      </c>
      <c r="B3631" t="s">
        <v>40</v>
      </c>
      <c r="C3631" t="s">
        <v>65</v>
      </c>
      <c r="D3631">
        <v>774</v>
      </c>
      <c r="E3631">
        <v>273</v>
      </c>
      <c r="F3631">
        <v>174</v>
      </c>
      <c r="G3631">
        <v>254</v>
      </c>
      <c r="H3631">
        <v>1475</v>
      </c>
      <c r="I3631" s="1">
        <v>44958</v>
      </c>
      <c r="J3631">
        <v>428</v>
      </c>
      <c r="K3631" t="s">
        <v>26</v>
      </c>
    </row>
    <row r="3632" spans="1:11">
      <c r="A3632" s="1">
        <v>44980</v>
      </c>
      <c r="B3632" t="s">
        <v>40</v>
      </c>
      <c r="C3632" t="s">
        <v>30</v>
      </c>
      <c r="D3632">
        <v>398</v>
      </c>
      <c r="E3632">
        <v>83</v>
      </c>
      <c r="F3632">
        <v>19</v>
      </c>
      <c r="G3632">
        <v>22</v>
      </c>
      <c r="H3632">
        <v>522</v>
      </c>
      <c r="I3632" s="1">
        <v>44958</v>
      </c>
      <c r="J3632">
        <v>41</v>
      </c>
      <c r="K3632" t="s">
        <v>26</v>
      </c>
    </row>
    <row r="3633" spans="1:11">
      <c r="A3633" s="1">
        <v>44980</v>
      </c>
      <c r="B3633" t="s">
        <v>40</v>
      </c>
      <c r="C3633" t="s">
        <v>66</v>
      </c>
      <c r="D3633">
        <v>4557</v>
      </c>
      <c r="E3633">
        <v>2451</v>
      </c>
      <c r="F3633">
        <v>855</v>
      </c>
      <c r="G3633">
        <v>1931</v>
      </c>
      <c r="H3633">
        <v>9794</v>
      </c>
      <c r="I3633" s="1">
        <v>44958</v>
      </c>
      <c r="J3633">
        <v>2786</v>
      </c>
      <c r="K3633" t="s">
        <v>26</v>
      </c>
    </row>
    <row r="3634" spans="1:11">
      <c r="A3634" s="1">
        <v>44980</v>
      </c>
      <c r="B3634" t="s">
        <v>40</v>
      </c>
      <c r="C3634" t="s">
        <v>57</v>
      </c>
      <c r="D3634">
        <v>1423</v>
      </c>
      <c r="E3634">
        <v>409</v>
      </c>
      <c r="F3634">
        <v>193</v>
      </c>
      <c r="G3634">
        <v>355</v>
      </c>
      <c r="H3634">
        <v>2381</v>
      </c>
      <c r="I3634" s="1">
        <v>44958</v>
      </c>
      <c r="J3634">
        <v>548</v>
      </c>
      <c r="K3634" t="s">
        <v>26</v>
      </c>
    </row>
    <row r="3635" spans="1:11">
      <c r="A3635" s="1">
        <v>44980</v>
      </c>
      <c r="B3635" t="s">
        <v>40</v>
      </c>
      <c r="C3635" t="s">
        <v>68</v>
      </c>
      <c r="D3635">
        <v>3542</v>
      </c>
      <c r="E3635">
        <v>898</v>
      </c>
      <c r="F3635">
        <v>496</v>
      </c>
      <c r="G3635">
        <v>971</v>
      </c>
      <c r="H3635">
        <v>5907</v>
      </c>
      <c r="I3635" s="1">
        <v>44958</v>
      </c>
      <c r="J3635">
        <v>1467</v>
      </c>
      <c r="K3635" t="s">
        <v>26</v>
      </c>
    </row>
    <row r="3636" spans="1:11">
      <c r="A3636" s="1">
        <v>44980</v>
      </c>
      <c r="B3636" t="s">
        <v>40</v>
      </c>
      <c r="C3636" t="s">
        <v>47</v>
      </c>
      <c r="D3636">
        <v>531</v>
      </c>
      <c r="E3636">
        <v>122</v>
      </c>
      <c r="F3636">
        <v>57</v>
      </c>
      <c r="G3636">
        <v>77</v>
      </c>
      <c r="H3636">
        <v>788</v>
      </c>
      <c r="I3636" s="1">
        <v>44958</v>
      </c>
      <c r="J3636">
        <v>134</v>
      </c>
      <c r="K3636" t="s">
        <v>26</v>
      </c>
    </row>
    <row r="3637" spans="1:11">
      <c r="A3637" s="1">
        <v>44980</v>
      </c>
      <c r="B3637" t="s">
        <v>40</v>
      </c>
      <c r="C3637" t="s">
        <v>25</v>
      </c>
      <c r="D3637">
        <v>522</v>
      </c>
      <c r="E3637">
        <v>164</v>
      </c>
      <c r="F3637">
        <v>67</v>
      </c>
      <c r="G3637">
        <v>49</v>
      </c>
      <c r="H3637">
        <v>803</v>
      </c>
      <c r="I3637" s="1">
        <v>44958</v>
      </c>
      <c r="J3637">
        <v>116</v>
      </c>
      <c r="K3637" t="s">
        <v>26</v>
      </c>
    </row>
    <row r="3638" spans="1:11">
      <c r="A3638" s="1">
        <v>44980</v>
      </c>
      <c r="B3638" t="s">
        <v>40</v>
      </c>
      <c r="C3638" t="s">
        <v>51</v>
      </c>
      <c r="D3638">
        <v>451</v>
      </c>
      <c r="E3638">
        <v>163</v>
      </c>
      <c r="F3638">
        <v>85</v>
      </c>
      <c r="G3638">
        <v>35</v>
      </c>
      <c r="H3638">
        <v>735</v>
      </c>
      <c r="I3638" s="1">
        <v>44958</v>
      </c>
      <c r="J3638">
        <v>120</v>
      </c>
      <c r="K3638" t="s">
        <v>26</v>
      </c>
    </row>
    <row r="3639" spans="1:11">
      <c r="A3639" s="1">
        <v>44980</v>
      </c>
      <c r="B3639" t="s">
        <v>40</v>
      </c>
      <c r="C3639" t="s">
        <v>45</v>
      </c>
      <c r="D3639">
        <v>149</v>
      </c>
      <c r="E3639">
        <v>92</v>
      </c>
      <c r="F3639">
        <v>20</v>
      </c>
      <c r="G3639">
        <v>9</v>
      </c>
      <c r="H3639">
        <v>271</v>
      </c>
      <c r="I3639" s="1">
        <v>44958</v>
      </c>
      <c r="J3639">
        <v>29</v>
      </c>
      <c r="K3639" t="s">
        <v>26</v>
      </c>
    </row>
    <row r="3640" spans="1:11">
      <c r="A3640" s="1">
        <v>44980</v>
      </c>
      <c r="B3640" t="s">
        <v>40</v>
      </c>
      <c r="C3640" t="s">
        <v>43</v>
      </c>
      <c r="D3640">
        <v>959</v>
      </c>
      <c r="E3640">
        <v>422</v>
      </c>
      <c r="F3640">
        <v>50</v>
      </c>
      <c r="G3640">
        <v>64</v>
      </c>
      <c r="H3640">
        <v>1495</v>
      </c>
      <c r="I3640" s="1">
        <v>44958</v>
      </c>
      <c r="J3640">
        <v>114</v>
      </c>
      <c r="K3640" t="s">
        <v>26</v>
      </c>
    </row>
    <row r="3641" spans="1:11">
      <c r="A3641" s="1">
        <v>44980</v>
      </c>
      <c r="B3641" t="s">
        <v>40</v>
      </c>
      <c r="C3641" t="s">
        <v>54</v>
      </c>
      <c r="D3641">
        <v>1421</v>
      </c>
      <c r="E3641">
        <v>328</v>
      </c>
      <c r="F3641">
        <v>58</v>
      </c>
      <c r="G3641">
        <v>26</v>
      </c>
      <c r="H3641">
        <v>1833</v>
      </c>
      <c r="I3641" s="1">
        <v>44958</v>
      </c>
      <c r="J3641">
        <v>84</v>
      </c>
      <c r="K3641" t="s">
        <v>26</v>
      </c>
    </row>
    <row r="3642" spans="1:11">
      <c r="A3642" s="1">
        <v>44980</v>
      </c>
      <c r="B3642" t="s">
        <v>40</v>
      </c>
      <c r="C3642" t="s">
        <v>22</v>
      </c>
      <c r="D3642">
        <v>735</v>
      </c>
      <c r="E3642">
        <v>67</v>
      </c>
      <c r="F3642">
        <v>6</v>
      </c>
      <c r="G3642">
        <v>4</v>
      </c>
      <c r="H3642">
        <v>813</v>
      </c>
      <c r="I3642" s="1">
        <v>44958</v>
      </c>
      <c r="J3642">
        <v>10</v>
      </c>
      <c r="K3642" t="s">
        <v>26</v>
      </c>
    </row>
    <row r="3643" spans="1:11">
      <c r="A3643" s="1">
        <v>44980</v>
      </c>
      <c r="B3643" t="s">
        <v>40</v>
      </c>
      <c r="C3643" t="s">
        <v>31</v>
      </c>
      <c r="D3643">
        <v>432</v>
      </c>
      <c r="E3643">
        <v>171</v>
      </c>
      <c r="F3643">
        <v>73</v>
      </c>
      <c r="G3643">
        <v>60</v>
      </c>
      <c r="H3643">
        <v>736</v>
      </c>
      <c r="I3643" s="1">
        <v>44958</v>
      </c>
      <c r="J3643">
        <v>133</v>
      </c>
      <c r="K3643" t="s">
        <v>26</v>
      </c>
    </row>
    <row r="3644" spans="1:11">
      <c r="A3644" s="1">
        <v>44980</v>
      </c>
      <c r="B3644" t="s">
        <v>40</v>
      </c>
      <c r="C3644" t="s">
        <v>63</v>
      </c>
      <c r="D3644">
        <v>1863</v>
      </c>
      <c r="E3644">
        <v>685</v>
      </c>
      <c r="F3644">
        <v>88</v>
      </c>
      <c r="G3644">
        <v>40</v>
      </c>
      <c r="H3644">
        <v>2676</v>
      </c>
      <c r="I3644" s="1">
        <v>44958</v>
      </c>
      <c r="J3644">
        <v>128</v>
      </c>
      <c r="K3644" t="s">
        <v>26</v>
      </c>
    </row>
    <row r="3645" spans="1:11">
      <c r="A3645" s="1">
        <v>44980</v>
      </c>
      <c r="B3645" t="s">
        <v>40</v>
      </c>
      <c r="C3645" t="s">
        <v>60</v>
      </c>
      <c r="D3645">
        <v>1843</v>
      </c>
      <c r="E3645">
        <v>792</v>
      </c>
      <c r="F3645">
        <v>297</v>
      </c>
      <c r="G3645">
        <v>332</v>
      </c>
      <c r="H3645">
        <v>3264</v>
      </c>
      <c r="I3645" s="1">
        <v>44958</v>
      </c>
      <c r="J3645">
        <v>629</v>
      </c>
      <c r="K3645" t="s">
        <v>26</v>
      </c>
    </row>
    <row r="3646" spans="1:11">
      <c r="A3646" s="1">
        <v>44980</v>
      </c>
      <c r="B3646" t="s">
        <v>40</v>
      </c>
      <c r="C3646" t="s">
        <v>61</v>
      </c>
      <c r="D3646">
        <v>2320</v>
      </c>
      <c r="E3646">
        <v>814</v>
      </c>
      <c r="F3646">
        <v>297</v>
      </c>
      <c r="G3646">
        <v>274</v>
      </c>
      <c r="H3646">
        <v>3706</v>
      </c>
      <c r="I3646" s="1">
        <v>44958</v>
      </c>
      <c r="J3646">
        <v>571</v>
      </c>
      <c r="K3646" t="s">
        <v>26</v>
      </c>
    </row>
    <row r="3647" spans="1:11">
      <c r="A3647" s="1">
        <v>44980</v>
      </c>
      <c r="B3647" t="s">
        <v>40</v>
      </c>
      <c r="C3647" t="s">
        <v>62</v>
      </c>
      <c r="D3647">
        <v>458</v>
      </c>
      <c r="E3647">
        <v>124</v>
      </c>
      <c r="F3647">
        <v>28</v>
      </c>
      <c r="G3647">
        <v>50</v>
      </c>
      <c r="H3647">
        <v>661</v>
      </c>
      <c r="I3647" s="1">
        <v>44958</v>
      </c>
      <c r="J3647">
        <v>78</v>
      </c>
      <c r="K3647" t="s">
        <v>26</v>
      </c>
    </row>
    <row r="3648" spans="1:11">
      <c r="A3648" s="1">
        <v>44980</v>
      </c>
      <c r="B3648" t="s">
        <v>40</v>
      </c>
      <c r="C3648" t="s">
        <v>69</v>
      </c>
      <c r="D3648">
        <v>3297</v>
      </c>
      <c r="E3648">
        <v>1214</v>
      </c>
      <c r="F3648">
        <v>560</v>
      </c>
      <c r="G3648">
        <v>1085</v>
      </c>
      <c r="H3648">
        <v>6157</v>
      </c>
      <c r="I3648" s="1">
        <v>44958</v>
      </c>
      <c r="J3648">
        <v>1645</v>
      </c>
      <c r="K3648" t="s">
        <v>26</v>
      </c>
    </row>
    <row r="3649" spans="1:11">
      <c r="A3649" s="1">
        <v>44980</v>
      </c>
      <c r="B3649" t="s">
        <v>40</v>
      </c>
      <c r="C3649" t="s">
        <v>29</v>
      </c>
      <c r="D3649">
        <v>508</v>
      </c>
      <c r="E3649">
        <v>213</v>
      </c>
      <c r="F3649">
        <v>56</v>
      </c>
      <c r="G3649">
        <v>23</v>
      </c>
      <c r="H3649">
        <v>800</v>
      </c>
      <c r="I3649" s="1">
        <v>44958</v>
      </c>
      <c r="J3649">
        <v>79</v>
      </c>
      <c r="K3649" t="s">
        <v>26</v>
      </c>
    </row>
    <row r="3650" spans="1:11">
      <c r="A3650" s="1">
        <v>44980</v>
      </c>
      <c r="B3650" t="s">
        <v>40</v>
      </c>
      <c r="C3650" t="s">
        <v>70</v>
      </c>
      <c r="D3650">
        <v>868</v>
      </c>
      <c r="E3650">
        <v>194</v>
      </c>
      <c r="F3650">
        <v>30</v>
      </c>
      <c r="G3650">
        <v>19</v>
      </c>
      <c r="H3650">
        <v>1112</v>
      </c>
      <c r="I3650" s="1">
        <v>44958</v>
      </c>
      <c r="J3650">
        <v>49</v>
      </c>
      <c r="K3650" t="s">
        <v>26</v>
      </c>
    </row>
    <row r="3651" spans="1:11">
      <c r="A3651" s="1">
        <v>44980</v>
      </c>
      <c r="B3651" t="s">
        <v>40</v>
      </c>
      <c r="C3651" t="s">
        <v>71</v>
      </c>
      <c r="D3651">
        <v>2568</v>
      </c>
      <c r="E3651">
        <v>625</v>
      </c>
      <c r="F3651">
        <v>239</v>
      </c>
      <c r="G3651">
        <v>437</v>
      </c>
      <c r="H3651">
        <v>3870</v>
      </c>
      <c r="I3651" s="1">
        <v>44958</v>
      </c>
      <c r="J3651">
        <v>676</v>
      </c>
      <c r="K3651" t="s">
        <v>26</v>
      </c>
    </row>
    <row r="3652" spans="1:11">
      <c r="A3652" s="1">
        <v>44980</v>
      </c>
      <c r="B3652" t="s">
        <v>40</v>
      </c>
      <c r="C3652" t="s">
        <v>36</v>
      </c>
      <c r="D3652">
        <v>1943</v>
      </c>
      <c r="E3652">
        <v>346</v>
      </c>
      <c r="F3652">
        <v>140</v>
      </c>
      <c r="G3652">
        <v>126</v>
      </c>
      <c r="H3652">
        <v>2555</v>
      </c>
      <c r="I3652" s="1">
        <v>44958</v>
      </c>
      <c r="J3652">
        <v>266</v>
      </c>
      <c r="K3652" t="s">
        <v>26</v>
      </c>
    </row>
    <row r="3653" spans="1:11">
      <c r="A3653" s="1">
        <v>44980</v>
      </c>
      <c r="B3653" t="s">
        <v>40</v>
      </c>
      <c r="C3653" t="s">
        <v>59</v>
      </c>
      <c r="D3653">
        <v>1623</v>
      </c>
      <c r="E3653">
        <v>686</v>
      </c>
      <c r="F3653">
        <v>64</v>
      </c>
      <c r="G3653">
        <v>8</v>
      </c>
      <c r="H3653">
        <v>2381</v>
      </c>
      <c r="I3653" s="1">
        <v>44958</v>
      </c>
      <c r="J3653">
        <v>72</v>
      </c>
      <c r="K3653" t="s">
        <v>26</v>
      </c>
    </row>
    <row r="3654" spans="1:11">
      <c r="A3654" s="1">
        <v>44980</v>
      </c>
      <c r="B3654" t="s">
        <v>40</v>
      </c>
      <c r="C3654" t="s">
        <v>67</v>
      </c>
      <c r="D3654">
        <v>3405</v>
      </c>
      <c r="E3654">
        <v>1039</v>
      </c>
      <c r="F3654">
        <v>512</v>
      </c>
      <c r="G3654">
        <v>904</v>
      </c>
      <c r="H3654">
        <v>5861</v>
      </c>
      <c r="I3654" s="1">
        <v>44958</v>
      </c>
      <c r="J3654">
        <v>1416</v>
      </c>
      <c r="K3654" t="s">
        <v>26</v>
      </c>
    </row>
    <row r="3655" spans="1:11">
      <c r="A3655" s="1">
        <v>44980</v>
      </c>
      <c r="B3655" t="s">
        <v>40</v>
      </c>
      <c r="C3655" t="s">
        <v>49</v>
      </c>
      <c r="D3655">
        <v>521</v>
      </c>
      <c r="E3655">
        <v>186</v>
      </c>
      <c r="F3655">
        <v>125</v>
      </c>
      <c r="G3655">
        <v>52</v>
      </c>
      <c r="H3655">
        <v>884</v>
      </c>
      <c r="I3655" s="1">
        <v>44958</v>
      </c>
      <c r="J3655">
        <v>177</v>
      </c>
      <c r="K3655" t="s">
        <v>26</v>
      </c>
    </row>
    <row r="3656" spans="1:11">
      <c r="A3656" s="1">
        <v>45015</v>
      </c>
      <c r="B3656" t="s">
        <v>40</v>
      </c>
      <c r="C3656" t="s">
        <v>50</v>
      </c>
      <c r="D3656">
        <v>78</v>
      </c>
      <c r="E3656">
        <v>35</v>
      </c>
      <c r="F3656">
        <v>24</v>
      </c>
      <c r="G3656">
        <v>9</v>
      </c>
      <c r="H3656">
        <v>146</v>
      </c>
      <c r="I3656" s="1">
        <v>44986</v>
      </c>
      <c r="J3656">
        <v>33</v>
      </c>
      <c r="K3656" t="s">
        <v>26</v>
      </c>
    </row>
    <row r="3657" spans="1:11">
      <c r="A3657" s="1">
        <v>45015</v>
      </c>
      <c r="B3657" t="s">
        <v>40</v>
      </c>
      <c r="C3657" t="s">
        <v>48</v>
      </c>
      <c r="D3657">
        <v>4144</v>
      </c>
      <c r="E3657">
        <v>1794</v>
      </c>
      <c r="F3657">
        <v>534</v>
      </c>
      <c r="G3657">
        <v>127</v>
      </c>
      <c r="H3657">
        <v>6599</v>
      </c>
      <c r="I3657" s="1">
        <v>44986</v>
      </c>
      <c r="J3657">
        <v>661</v>
      </c>
      <c r="K3657" t="s">
        <v>26</v>
      </c>
    </row>
    <row r="3658" spans="1:11">
      <c r="A3658" s="1">
        <v>45015</v>
      </c>
      <c r="B3658" t="s">
        <v>40</v>
      </c>
      <c r="C3658" t="s">
        <v>65</v>
      </c>
      <c r="D3658">
        <v>773</v>
      </c>
      <c r="E3658">
        <v>295</v>
      </c>
      <c r="F3658">
        <v>160</v>
      </c>
      <c r="G3658">
        <v>266</v>
      </c>
      <c r="H3658">
        <v>1494</v>
      </c>
      <c r="I3658" s="1">
        <v>44986</v>
      </c>
      <c r="J3658">
        <v>426</v>
      </c>
      <c r="K3658" t="s">
        <v>26</v>
      </c>
    </row>
    <row r="3659" spans="1:11">
      <c r="A3659" s="1">
        <v>45015</v>
      </c>
      <c r="B3659" t="s">
        <v>40</v>
      </c>
      <c r="C3659" t="s">
        <v>30</v>
      </c>
      <c r="D3659">
        <v>398</v>
      </c>
      <c r="E3659">
        <v>99</v>
      </c>
      <c r="F3659">
        <v>23</v>
      </c>
      <c r="G3659">
        <v>11</v>
      </c>
      <c r="H3659">
        <v>531</v>
      </c>
      <c r="I3659" s="1">
        <v>44986</v>
      </c>
      <c r="J3659">
        <v>34</v>
      </c>
      <c r="K3659" t="s">
        <v>26</v>
      </c>
    </row>
    <row r="3660" spans="1:11">
      <c r="A3660" s="1">
        <v>45015</v>
      </c>
      <c r="B3660" t="s">
        <v>40</v>
      </c>
      <c r="C3660" t="s">
        <v>66</v>
      </c>
      <c r="D3660">
        <v>4680</v>
      </c>
      <c r="E3660">
        <v>2416</v>
      </c>
      <c r="F3660">
        <v>936</v>
      </c>
      <c r="G3660">
        <v>1998</v>
      </c>
      <c r="H3660">
        <v>10030</v>
      </c>
      <c r="I3660" s="1">
        <v>44986</v>
      </c>
      <c r="J3660">
        <v>2934</v>
      </c>
      <c r="K3660" t="s">
        <v>26</v>
      </c>
    </row>
    <row r="3661" spans="1:11">
      <c r="A3661" s="1">
        <v>45015</v>
      </c>
      <c r="B3661" t="s">
        <v>40</v>
      </c>
      <c r="C3661" t="s">
        <v>57</v>
      </c>
      <c r="D3661">
        <v>1326</v>
      </c>
      <c r="E3661">
        <v>373</v>
      </c>
      <c r="F3661">
        <v>169</v>
      </c>
      <c r="G3661">
        <v>363</v>
      </c>
      <c r="H3661">
        <v>2231</v>
      </c>
      <c r="I3661" s="1">
        <v>44986</v>
      </c>
      <c r="J3661">
        <v>532</v>
      </c>
      <c r="K3661" t="s">
        <v>26</v>
      </c>
    </row>
    <row r="3662" spans="1:11">
      <c r="A3662" s="1">
        <v>45015</v>
      </c>
      <c r="B3662" t="s">
        <v>40</v>
      </c>
      <c r="C3662" t="s">
        <v>68</v>
      </c>
      <c r="D3662">
        <v>3488</v>
      </c>
      <c r="E3662">
        <v>941</v>
      </c>
      <c r="F3662">
        <v>475</v>
      </c>
      <c r="G3662">
        <v>976</v>
      </c>
      <c r="H3662">
        <v>5879</v>
      </c>
      <c r="I3662" s="1">
        <v>44986</v>
      </c>
      <c r="J3662">
        <v>1451</v>
      </c>
      <c r="K3662" t="s">
        <v>26</v>
      </c>
    </row>
    <row r="3663" spans="1:11">
      <c r="A3663" s="1">
        <v>45015</v>
      </c>
      <c r="B3663" t="s">
        <v>40</v>
      </c>
      <c r="C3663" t="s">
        <v>47</v>
      </c>
      <c r="D3663">
        <v>511</v>
      </c>
      <c r="E3663">
        <v>129</v>
      </c>
      <c r="F3663">
        <v>51</v>
      </c>
      <c r="G3663">
        <v>99</v>
      </c>
      <c r="H3663">
        <v>790</v>
      </c>
      <c r="I3663" s="1">
        <v>44986</v>
      </c>
      <c r="J3663">
        <v>150</v>
      </c>
      <c r="K3663" t="s">
        <v>26</v>
      </c>
    </row>
    <row r="3664" spans="1:11">
      <c r="A3664" s="1">
        <v>45015</v>
      </c>
      <c r="B3664" t="s">
        <v>40</v>
      </c>
      <c r="C3664" t="s">
        <v>25</v>
      </c>
      <c r="D3664">
        <v>558</v>
      </c>
      <c r="E3664">
        <v>152</v>
      </c>
      <c r="F3664">
        <v>74</v>
      </c>
      <c r="G3664">
        <v>48</v>
      </c>
      <c r="H3664">
        <v>832</v>
      </c>
      <c r="I3664" s="1">
        <v>44986</v>
      </c>
      <c r="J3664">
        <v>122</v>
      </c>
      <c r="K3664" t="s">
        <v>26</v>
      </c>
    </row>
    <row r="3665" spans="1:11">
      <c r="A3665" s="1">
        <v>45015</v>
      </c>
      <c r="B3665" t="s">
        <v>40</v>
      </c>
      <c r="C3665" t="s">
        <v>51</v>
      </c>
      <c r="D3665">
        <v>549</v>
      </c>
      <c r="E3665">
        <v>156</v>
      </c>
      <c r="F3665">
        <v>98</v>
      </c>
      <c r="G3665">
        <v>29</v>
      </c>
      <c r="H3665">
        <v>832</v>
      </c>
      <c r="I3665" s="1">
        <v>44986</v>
      </c>
      <c r="J3665">
        <v>127</v>
      </c>
      <c r="K3665" t="s">
        <v>26</v>
      </c>
    </row>
    <row r="3666" spans="1:11">
      <c r="A3666" s="1">
        <v>45015</v>
      </c>
      <c r="B3666" t="s">
        <v>40</v>
      </c>
      <c r="C3666" t="s">
        <v>45</v>
      </c>
      <c r="D3666">
        <v>153</v>
      </c>
      <c r="E3666">
        <v>83</v>
      </c>
      <c r="F3666">
        <v>26</v>
      </c>
      <c r="G3666">
        <v>18</v>
      </c>
      <c r="H3666">
        <v>280</v>
      </c>
      <c r="I3666" s="1">
        <v>44986</v>
      </c>
      <c r="J3666">
        <v>44</v>
      </c>
      <c r="K3666" t="s">
        <v>26</v>
      </c>
    </row>
    <row r="3667" spans="1:11">
      <c r="A3667" s="1">
        <v>45015</v>
      </c>
      <c r="B3667" t="s">
        <v>40</v>
      </c>
      <c r="C3667" t="s">
        <v>43</v>
      </c>
      <c r="D3667">
        <v>781</v>
      </c>
      <c r="E3667">
        <v>350</v>
      </c>
      <c r="F3667">
        <v>84</v>
      </c>
      <c r="G3667">
        <v>49</v>
      </c>
      <c r="H3667">
        <v>1264</v>
      </c>
      <c r="I3667" s="1">
        <v>44986</v>
      </c>
      <c r="J3667">
        <v>133</v>
      </c>
      <c r="K3667" t="s">
        <v>26</v>
      </c>
    </row>
    <row r="3668" spans="1:11">
      <c r="A3668" s="1">
        <v>45015</v>
      </c>
      <c r="B3668" t="s">
        <v>40</v>
      </c>
      <c r="C3668" t="s">
        <v>54</v>
      </c>
      <c r="D3668">
        <v>1424</v>
      </c>
      <c r="E3668">
        <v>303</v>
      </c>
      <c r="F3668">
        <v>50</v>
      </c>
      <c r="G3668">
        <v>21</v>
      </c>
      <c r="H3668">
        <v>1798</v>
      </c>
      <c r="I3668" s="1">
        <v>44986</v>
      </c>
      <c r="J3668">
        <v>71</v>
      </c>
      <c r="K3668" t="s">
        <v>26</v>
      </c>
    </row>
    <row r="3669" spans="1:11">
      <c r="A3669" s="1">
        <v>45015</v>
      </c>
      <c r="B3669" t="s">
        <v>40</v>
      </c>
      <c r="C3669" t="s">
        <v>31</v>
      </c>
      <c r="D3669">
        <v>446</v>
      </c>
      <c r="E3669">
        <v>157</v>
      </c>
      <c r="F3669">
        <v>54</v>
      </c>
      <c r="G3669">
        <v>47</v>
      </c>
      <c r="H3669">
        <v>704</v>
      </c>
      <c r="I3669" s="1">
        <v>44986</v>
      </c>
      <c r="J3669">
        <v>101</v>
      </c>
      <c r="K3669" t="s">
        <v>26</v>
      </c>
    </row>
    <row r="3670" spans="1:11">
      <c r="A3670" s="1">
        <v>45015</v>
      </c>
      <c r="B3670" t="s">
        <v>40</v>
      </c>
      <c r="C3670" t="s">
        <v>63</v>
      </c>
      <c r="D3670">
        <v>1913</v>
      </c>
      <c r="E3670">
        <v>832</v>
      </c>
      <c r="F3670">
        <v>101</v>
      </c>
      <c r="G3670">
        <v>15</v>
      </c>
      <c r="H3670">
        <v>2861</v>
      </c>
      <c r="I3670" s="1">
        <v>44986</v>
      </c>
      <c r="J3670">
        <v>116</v>
      </c>
      <c r="K3670" t="s">
        <v>26</v>
      </c>
    </row>
    <row r="3671" spans="1:11">
      <c r="A3671" s="1">
        <v>45015</v>
      </c>
      <c r="B3671" t="s">
        <v>40</v>
      </c>
      <c r="C3671" t="s">
        <v>60</v>
      </c>
      <c r="D3671">
        <v>1866</v>
      </c>
      <c r="E3671">
        <v>801</v>
      </c>
      <c r="F3671">
        <v>304</v>
      </c>
      <c r="G3671">
        <v>303</v>
      </c>
      <c r="H3671">
        <v>3274</v>
      </c>
      <c r="I3671" s="1">
        <v>44986</v>
      </c>
      <c r="J3671">
        <v>607</v>
      </c>
      <c r="K3671" t="s">
        <v>26</v>
      </c>
    </row>
    <row r="3672" spans="1:11">
      <c r="A3672" s="1">
        <v>45015</v>
      </c>
      <c r="B3672" t="s">
        <v>40</v>
      </c>
      <c r="C3672" t="s">
        <v>61</v>
      </c>
      <c r="D3672">
        <v>2426</v>
      </c>
      <c r="E3672">
        <v>820</v>
      </c>
      <c r="F3672">
        <v>355</v>
      </c>
      <c r="G3672">
        <v>234</v>
      </c>
      <c r="H3672">
        <v>3835</v>
      </c>
      <c r="I3672" s="1">
        <v>44986</v>
      </c>
      <c r="J3672">
        <v>589</v>
      </c>
      <c r="K3672" t="s">
        <v>26</v>
      </c>
    </row>
    <row r="3673" spans="1:11">
      <c r="A3673" s="1">
        <v>45015</v>
      </c>
      <c r="B3673" t="s">
        <v>40</v>
      </c>
      <c r="C3673" t="s">
        <v>62</v>
      </c>
      <c r="D3673">
        <v>441</v>
      </c>
      <c r="E3673">
        <v>139</v>
      </c>
      <c r="F3673">
        <v>22</v>
      </c>
      <c r="G3673">
        <v>35</v>
      </c>
      <c r="H3673">
        <v>637</v>
      </c>
      <c r="I3673" s="1">
        <v>44986</v>
      </c>
      <c r="J3673">
        <v>57</v>
      </c>
      <c r="K3673" t="s">
        <v>26</v>
      </c>
    </row>
    <row r="3674" spans="1:11">
      <c r="A3674" s="1">
        <v>45015</v>
      </c>
      <c r="B3674" t="s">
        <v>40</v>
      </c>
      <c r="C3674" t="s">
        <v>69</v>
      </c>
      <c r="D3674">
        <v>3327</v>
      </c>
      <c r="E3674">
        <v>1243</v>
      </c>
      <c r="F3674">
        <v>604</v>
      </c>
      <c r="G3674">
        <v>1072</v>
      </c>
      <c r="H3674">
        <v>6246</v>
      </c>
      <c r="I3674" s="1">
        <v>44986</v>
      </c>
      <c r="J3674">
        <v>1676</v>
      </c>
      <c r="K3674" t="s">
        <v>26</v>
      </c>
    </row>
    <row r="3675" spans="1:11">
      <c r="A3675" s="1">
        <v>45015</v>
      </c>
      <c r="B3675" t="s">
        <v>40</v>
      </c>
      <c r="C3675" t="s">
        <v>29</v>
      </c>
      <c r="D3675">
        <v>547</v>
      </c>
      <c r="E3675">
        <v>221</v>
      </c>
      <c r="F3675">
        <v>71</v>
      </c>
      <c r="G3675">
        <v>25</v>
      </c>
      <c r="H3675">
        <v>864</v>
      </c>
      <c r="I3675" s="1">
        <v>44986</v>
      </c>
      <c r="J3675">
        <v>96</v>
      </c>
      <c r="K3675" t="s">
        <v>26</v>
      </c>
    </row>
    <row r="3676" spans="1:11">
      <c r="A3676" s="1">
        <v>45015</v>
      </c>
      <c r="B3676" t="s">
        <v>40</v>
      </c>
      <c r="C3676" t="s">
        <v>70</v>
      </c>
      <c r="D3676">
        <v>749</v>
      </c>
      <c r="E3676">
        <v>221</v>
      </c>
      <c r="F3676">
        <v>32</v>
      </c>
      <c r="G3676">
        <v>17</v>
      </c>
      <c r="H3676">
        <v>1019</v>
      </c>
      <c r="I3676" s="1">
        <v>44986</v>
      </c>
      <c r="J3676">
        <v>49</v>
      </c>
      <c r="K3676" t="s">
        <v>26</v>
      </c>
    </row>
    <row r="3677" spans="1:11">
      <c r="A3677" s="1">
        <v>45015</v>
      </c>
      <c r="B3677" t="s">
        <v>40</v>
      </c>
      <c r="C3677" t="s">
        <v>71</v>
      </c>
      <c r="D3677">
        <v>2751</v>
      </c>
      <c r="E3677">
        <v>675</v>
      </c>
      <c r="F3677">
        <v>235</v>
      </c>
      <c r="G3677">
        <v>454</v>
      </c>
      <c r="H3677">
        <v>4115</v>
      </c>
      <c r="I3677" s="1">
        <v>44986</v>
      </c>
      <c r="J3677">
        <v>689</v>
      </c>
      <c r="K3677" t="s">
        <v>26</v>
      </c>
    </row>
    <row r="3678" spans="1:11">
      <c r="A3678" s="1">
        <v>45015</v>
      </c>
      <c r="B3678" t="s">
        <v>40</v>
      </c>
      <c r="C3678" t="s">
        <v>36</v>
      </c>
      <c r="D3678">
        <v>1938</v>
      </c>
      <c r="E3678">
        <v>353</v>
      </c>
      <c r="F3678">
        <v>140</v>
      </c>
      <c r="G3678">
        <v>124</v>
      </c>
      <c r="H3678">
        <v>2555</v>
      </c>
      <c r="I3678" s="1">
        <v>44986</v>
      </c>
      <c r="J3678">
        <v>264</v>
      </c>
      <c r="K3678" t="s">
        <v>26</v>
      </c>
    </row>
    <row r="3679" spans="1:11">
      <c r="A3679" s="1">
        <v>45015</v>
      </c>
      <c r="B3679" t="s">
        <v>40</v>
      </c>
      <c r="C3679" t="s">
        <v>67</v>
      </c>
      <c r="D3679">
        <v>3560</v>
      </c>
      <c r="E3679">
        <v>1058</v>
      </c>
      <c r="F3679">
        <v>555</v>
      </c>
      <c r="G3679">
        <v>926</v>
      </c>
      <c r="H3679">
        <v>6099</v>
      </c>
      <c r="I3679" s="1">
        <v>44986</v>
      </c>
      <c r="J3679">
        <v>1481</v>
      </c>
      <c r="K3679" t="s">
        <v>26</v>
      </c>
    </row>
    <row r="3680" spans="1:11">
      <c r="A3680" s="1">
        <v>45015</v>
      </c>
      <c r="B3680" t="s">
        <v>40</v>
      </c>
      <c r="C3680" t="s">
        <v>49</v>
      </c>
      <c r="D3680">
        <v>504</v>
      </c>
      <c r="E3680">
        <v>217</v>
      </c>
      <c r="F3680">
        <v>137</v>
      </c>
      <c r="G3680">
        <v>21</v>
      </c>
      <c r="H3680">
        <v>879</v>
      </c>
      <c r="I3680" s="1">
        <v>44986</v>
      </c>
      <c r="J3680">
        <v>158</v>
      </c>
      <c r="K3680" t="s">
        <v>26</v>
      </c>
    </row>
    <row r="3681" spans="1:11">
      <c r="A3681" s="1">
        <v>45043</v>
      </c>
      <c r="B3681" t="s">
        <v>40</v>
      </c>
      <c r="C3681" t="s">
        <v>50</v>
      </c>
      <c r="D3681">
        <v>68</v>
      </c>
      <c r="E3681">
        <v>36</v>
      </c>
      <c r="F3681">
        <v>18</v>
      </c>
      <c r="G3681">
        <v>13</v>
      </c>
      <c r="H3681">
        <v>135</v>
      </c>
      <c r="I3681" s="1">
        <v>45017</v>
      </c>
      <c r="J3681">
        <v>31</v>
      </c>
      <c r="K3681" t="s">
        <v>26</v>
      </c>
    </row>
    <row r="3682" spans="1:11">
      <c r="A3682" s="1">
        <v>45043</v>
      </c>
      <c r="B3682" t="s">
        <v>40</v>
      </c>
      <c r="C3682" t="s">
        <v>48</v>
      </c>
      <c r="D3682">
        <v>3982</v>
      </c>
      <c r="E3682">
        <v>1909</v>
      </c>
      <c r="F3682">
        <v>618</v>
      </c>
      <c r="G3682">
        <v>136</v>
      </c>
      <c r="H3682">
        <v>6645</v>
      </c>
      <c r="I3682" s="1">
        <v>45017</v>
      </c>
      <c r="J3682">
        <v>754</v>
      </c>
      <c r="K3682" t="s">
        <v>26</v>
      </c>
    </row>
    <row r="3683" spans="1:11">
      <c r="A3683" s="1">
        <v>45043</v>
      </c>
      <c r="B3683" t="s">
        <v>40</v>
      </c>
      <c r="C3683" t="s">
        <v>33</v>
      </c>
      <c r="D3683">
        <v>90</v>
      </c>
      <c r="E3683">
        <v>21</v>
      </c>
      <c r="F3683">
        <v>2</v>
      </c>
      <c r="G3683">
        <v>4</v>
      </c>
      <c r="H3683">
        <v>117</v>
      </c>
      <c r="I3683" s="1">
        <v>45017</v>
      </c>
      <c r="J3683">
        <v>6</v>
      </c>
      <c r="K3683" t="s">
        <v>26</v>
      </c>
    </row>
    <row r="3684" spans="1:11">
      <c r="A3684" s="1">
        <v>45043</v>
      </c>
      <c r="B3684" t="s">
        <v>40</v>
      </c>
      <c r="C3684" t="s">
        <v>65</v>
      </c>
      <c r="D3684">
        <v>740</v>
      </c>
      <c r="E3684">
        <v>272</v>
      </c>
      <c r="F3684">
        <v>177</v>
      </c>
      <c r="G3684">
        <v>253</v>
      </c>
      <c r="H3684">
        <v>1442</v>
      </c>
      <c r="I3684" s="1">
        <v>45017</v>
      </c>
      <c r="J3684">
        <v>430</v>
      </c>
      <c r="K3684" t="s">
        <v>26</v>
      </c>
    </row>
    <row r="3685" spans="1:11">
      <c r="A3685" s="1">
        <v>45043</v>
      </c>
      <c r="B3685" t="s">
        <v>40</v>
      </c>
      <c r="C3685" t="s">
        <v>30</v>
      </c>
      <c r="D3685">
        <v>421</v>
      </c>
      <c r="E3685">
        <v>106</v>
      </c>
      <c r="F3685">
        <v>21</v>
      </c>
      <c r="G3685">
        <v>15</v>
      </c>
      <c r="H3685">
        <v>563</v>
      </c>
      <c r="I3685" s="1">
        <v>45017</v>
      </c>
      <c r="J3685">
        <v>36</v>
      </c>
      <c r="K3685" t="s">
        <v>26</v>
      </c>
    </row>
    <row r="3686" spans="1:11">
      <c r="A3686" s="1">
        <v>45043</v>
      </c>
      <c r="B3686" t="s">
        <v>40</v>
      </c>
      <c r="C3686" t="s">
        <v>66</v>
      </c>
      <c r="D3686">
        <v>4328</v>
      </c>
      <c r="E3686">
        <v>2476</v>
      </c>
      <c r="F3686">
        <v>857</v>
      </c>
      <c r="G3686">
        <v>2013</v>
      </c>
      <c r="H3686">
        <v>9673</v>
      </c>
      <c r="I3686" s="1">
        <v>45017</v>
      </c>
      <c r="J3686">
        <v>2870</v>
      </c>
      <c r="K3686" t="s">
        <v>26</v>
      </c>
    </row>
    <row r="3687" spans="1:11">
      <c r="A3687" s="1">
        <v>45043</v>
      </c>
      <c r="B3687" t="s">
        <v>40</v>
      </c>
      <c r="C3687" t="s">
        <v>57</v>
      </c>
      <c r="D3687">
        <v>1364</v>
      </c>
      <c r="E3687">
        <v>391</v>
      </c>
      <c r="F3687">
        <v>159</v>
      </c>
      <c r="G3687">
        <v>368</v>
      </c>
      <c r="H3687">
        <v>2283</v>
      </c>
      <c r="I3687" s="1">
        <v>45017</v>
      </c>
      <c r="J3687">
        <v>527</v>
      </c>
      <c r="K3687" t="s">
        <v>26</v>
      </c>
    </row>
    <row r="3688" spans="1:11">
      <c r="A3688" s="1">
        <v>45043</v>
      </c>
      <c r="B3688" t="s">
        <v>40</v>
      </c>
      <c r="C3688" t="s">
        <v>68</v>
      </c>
      <c r="D3688">
        <v>3264</v>
      </c>
      <c r="E3688">
        <v>930</v>
      </c>
      <c r="F3688">
        <v>471</v>
      </c>
      <c r="G3688">
        <v>1008</v>
      </c>
      <c r="H3688">
        <v>5674</v>
      </c>
      <c r="I3688" s="1">
        <v>45017</v>
      </c>
      <c r="J3688">
        <v>1479</v>
      </c>
      <c r="K3688" t="s">
        <v>26</v>
      </c>
    </row>
    <row r="3689" spans="1:11">
      <c r="A3689" s="1">
        <v>45043</v>
      </c>
      <c r="B3689" t="s">
        <v>40</v>
      </c>
      <c r="C3689" t="s">
        <v>47</v>
      </c>
      <c r="D3689">
        <v>514</v>
      </c>
      <c r="E3689">
        <v>139</v>
      </c>
      <c r="F3689">
        <v>50</v>
      </c>
      <c r="G3689">
        <v>95</v>
      </c>
      <c r="H3689">
        <v>798</v>
      </c>
      <c r="I3689" s="1">
        <v>45017</v>
      </c>
      <c r="J3689">
        <v>145</v>
      </c>
      <c r="K3689" t="s">
        <v>26</v>
      </c>
    </row>
    <row r="3690" spans="1:11">
      <c r="A3690" s="1">
        <v>45043</v>
      </c>
      <c r="B3690" t="s">
        <v>40</v>
      </c>
      <c r="C3690" t="s">
        <v>25</v>
      </c>
      <c r="D3690">
        <v>543</v>
      </c>
      <c r="E3690">
        <v>160</v>
      </c>
      <c r="F3690">
        <v>80</v>
      </c>
      <c r="G3690">
        <v>45</v>
      </c>
      <c r="H3690">
        <v>828</v>
      </c>
      <c r="I3690" s="1">
        <v>45017</v>
      </c>
      <c r="J3690">
        <v>125</v>
      </c>
      <c r="K3690" t="s">
        <v>26</v>
      </c>
    </row>
    <row r="3691" spans="1:11">
      <c r="A3691" s="1">
        <v>45043</v>
      </c>
      <c r="B3691" t="s">
        <v>40</v>
      </c>
      <c r="C3691" t="s">
        <v>51</v>
      </c>
      <c r="D3691">
        <v>661</v>
      </c>
      <c r="E3691">
        <v>148</v>
      </c>
      <c r="F3691">
        <v>75</v>
      </c>
      <c r="G3691">
        <v>29</v>
      </c>
      <c r="H3691">
        <v>914</v>
      </c>
      <c r="I3691" s="1">
        <v>45017</v>
      </c>
      <c r="J3691">
        <v>104</v>
      </c>
      <c r="K3691" t="s">
        <v>26</v>
      </c>
    </row>
    <row r="3692" spans="1:11">
      <c r="A3692" s="1">
        <v>45043</v>
      </c>
      <c r="B3692" t="s">
        <v>40</v>
      </c>
      <c r="C3692" t="s">
        <v>45</v>
      </c>
      <c r="D3692">
        <v>146</v>
      </c>
      <c r="E3692">
        <v>70</v>
      </c>
      <c r="F3692">
        <v>30</v>
      </c>
      <c r="G3692">
        <v>22</v>
      </c>
      <c r="H3692">
        <v>269</v>
      </c>
      <c r="I3692" s="1">
        <v>45017</v>
      </c>
      <c r="J3692">
        <v>52</v>
      </c>
      <c r="K3692" t="s">
        <v>26</v>
      </c>
    </row>
    <row r="3693" spans="1:11">
      <c r="A3693" s="1">
        <v>45043</v>
      </c>
      <c r="B3693" t="s">
        <v>40</v>
      </c>
      <c r="C3693" t="s">
        <v>43</v>
      </c>
      <c r="D3693">
        <v>736</v>
      </c>
      <c r="E3693">
        <v>288</v>
      </c>
      <c r="F3693">
        <v>82</v>
      </c>
      <c r="G3693">
        <v>34</v>
      </c>
      <c r="H3693">
        <v>1140</v>
      </c>
      <c r="I3693" s="1">
        <v>45017</v>
      </c>
      <c r="J3693">
        <v>116</v>
      </c>
      <c r="K3693" t="s">
        <v>26</v>
      </c>
    </row>
    <row r="3694" spans="1:11">
      <c r="A3694" s="1">
        <v>45043</v>
      </c>
      <c r="B3694" t="s">
        <v>40</v>
      </c>
      <c r="C3694" t="s">
        <v>54</v>
      </c>
      <c r="D3694">
        <v>1422</v>
      </c>
      <c r="E3694">
        <v>280</v>
      </c>
      <c r="F3694">
        <v>21</v>
      </c>
      <c r="G3694">
        <v>28</v>
      </c>
      <c r="H3694">
        <v>1751</v>
      </c>
      <c r="I3694" s="1">
        <v>45017</v>
      </c>
      <c r="J3694">
        <v>49</v>
      </c>
      <c r="K3694" t="s">
        <v>26</v>
      </c>
    </row>
    <row r="3695" spans="1:11">
      <c r="A3695" s="1">
        <v>45043</v>
      </c>
      <c r="B3695" t="s">
        <v>40</v>
      </c>
      <c r="C3695" t="s">
        <v>31</v>
      </c>
      <c r="D3695">
        <v>509</v>
      </c>
      <c r="E3695">
        <v>153</v>
      </c>
      <c r="F3695">
        <v>48</v>
      </c>
      <c r="G3695">
        <v>48</v>
      </c>
      <c r="H3695">
        <v>758</v>
      </c>
      <c r="I3695" s="1">
        <v>45017</v>
      </c>
      <c r="J3695">
        <v>96</v>
      </c>
      <c r="K3695" t="s">
        <v>26</v>
      </c>
    </row>
    <row r="3696" spans="1:11">
      <c r="A3696" s="1">
        <v>45043</v>
      </c>
      <c r="B3696" t="s">
        <v>40</v>
      </c>
      <c r="C3696" t="s">
        <v>63</v>
      </c>
      <c r="D3696">
        <v>1982</v>
      </c>
      <c r="E3696">
        <v>848</v>
      </c>
      <c r="F3696">
        <v>111</v>
      </c>
      <c r="G3696">
        <v>17</v>
      </c>
      <c r="H3696">
        <v>2958</v>
      </c>
      <c r="I3696" s="1">
        <v>45017</v>
      </c>
      <c r="J3696">
        <v>128</v>
      </c>
      <c r="K3696" t="s">
        <v>26</v>
      </c>
    </row>
    <row r="3697" spans="1:11">
      <c r="A3697" s="1">
        <v>45043</v>
      </c>
      <c r="B3697" t="s">
        <v>40</v>
      </c>
      <c r="C3697" t="s">
        <v>60</v>
      </c>
      <c r="D3697">
        <v>1630</v>
      </c>
      <c r="E3697">
        <v>805</v>
      </c>
      <c r="F3697">
        <v>279</v>
      </c>
      <c r="G3697">
        <v>271</v>
      </c>
      <c r="H3697">
        <v>2986</v>
      </c>
      <c r="I3697" s="1">
        <v>45017</v>
      </c>
      <c r="J3697">
        <v>550</v>
      </c>
      <c r="K3697" t="s">
        <v>26</v>
      </c>
    </row>
    <row r="3698" spans="1:11">
      <c r="A3698" s="1">
        <v>45043</v>
      </c>
      <c r="B3698" t="s">
        <v>40</v>
      </c>
      <c r="C3698" t="s">
        <v>61</v>
      </c>
      <c r="D3698">
        <v>2456</v>
      </c>
      <c r="E3698">
        <v>821</v>
      </c>
      <c r="F3698">
        <v>350</v>
      </c>
      <c r="G3698">
        <v>234</v>
      </c>
      <c r="H3698">
        <v>3860</v>
      </c>
      <c r="I3698" s="1">
        <v>45017</v>
      </c>
      <c r="J3698">
        <v>584</v>
      </c>
      <c r="K3698" t="s">
        <v>26</v>
      </c>
    </row>
    <row r="3699" spans="1:11">
      <c r="A3699" s="1">
        <v>45043</v>
      </c>
      <c r="B3699" t="s">
        <v>40</v>
      </c>
      <c r="C3699" t="s">
        <v>62</v>
      </c>
      <c r="D3699">
        <v>483</v>
      </c>
      <c r="E3699">
        <v>146</v>
      </c>
      <c r="F3699">
        <v>41</v>
      </c>
      <c r="G3699">
        <v>27</v>
      </c>
      <c r="H3699">
        <v>698</v>
      </c>
      <c r="I3699" s="1">
        <v>45017</v>
      </c>
      <c r="J3699">
        <v>68</v>
      </c>
      <c r="K3699" t="s">
        <v>26</v>
      </c>
    </row>
    <row r="3700" spans="1:11">
      <c r="A3700" s="1">
        <v>45043</v>
      </c>
      <c r="B3700" t="s">
        <v>40</v>
      </c>
      <c r="C3700" t="s">
        <v>69</v>
      </c>
      <c r="D3700">
        <v>3396</v>
      </c>
      <c r="E3700">
        <v>1345</v>
      </c>
      <c r="F3700">
        <v>601</v>
      </c>
      <c r="G3700">
        <v>1114</v>
      </c>
      <c r="H3700">
        <v>6457</v>
      </c>
      <c r="I3700" s="1">
        <v>45017</v>
      </c>
      <c r="J3700">
        <v>1715</v>
      </c>
      <c r="K3700" t="s">
        <v>26</v>
      </c>
    </row>
    <row r="3701" spans="1:11">
      <c r="A3701" s="1">
        <v>45043</v>
      </c>
      <c r="B3701" t="s">
        <v>40</v>
      </c>
      <c r="C3701" t="s">
        <v>29</v>
      </c>
      <c r="D3701">
        <v>545</v>
      </c>
      <c r="E3701">
        <v>243</v>
      </c>
      <c r="F3701">
        <v>78</v>
      </c>
      <c r="G3701">
        <v>28</v>
      </c>
      <c r="H3701">
        <v>894</v>
      </c>
      <c r="I3701" s="1">
        <v>45017</v>
      </c>
      <c r="J3701">
        <v>106</v>
      </c>
      <c r="K3701" t="s">
        <v>26</v>
      </c>
    </row>
    <row r="3702" spans="1:11">
      <c r="A3702" s="1">
        <v>45043</v>
      </c>
      <c r="B3702" t="s">
        <v>40</v>
      </c>
      <c r="C3702" t="s">
        <v>70</v>
      </c>
      <c r="D3702">
        <v>636</v>
      </c>
      <c r="E3702">
        <v>230</v>
      </c>
      <c r="F3702">
        <v>26</v>
      </c>
      <c r="G3702">
        <v>14</v>
      </c>
      <c r="H3702">
        <v>906</v>
      </c>
      <c r="I3702" s="1">
        <v>45017</v>
      </c>
      <c r="J3702">
        <v>40</v>
      </c>
      <c r="K3702" t="s">
        <v>26</v>
      </c>
    </row>
    <row r="3703" spans="1:11">
      <c r="A3703" s="1">
        <v>45043</v>
      </c>
      <c r="B3703" t="s">
        <v>40</v>
      </c>
      <c r="C3703" t="s">
        <v>71</v>
      </c>
      <c r="D3703">
        <v>2745</v>
      </c>
      <c r="E3703">
        <v>707</v>
      </c>
      <c r="F3703">
        <v>236</v>
      </c>
      <c r="G3703">
        <v>458</v>
      </c>
      <c r="H3703">
        <v>4146</v>
      </c>
      <c r="I3703" s="1">
        <v>45017</v>
      </c>
      <c r="J3703">
        <v>694</v>
      </c>
      <c r="K3703" t="s">
        <v>26</v>
      </c>
    </row>
    <row r="3704" spans="1:11">
      <c r="A3704" s="1">
        <v>45043</v>
      </c>
      <c r="B3704" t="s">
        <v>40</v>
      </c>
      <c r="C3704" t="s">
        <v>36</v>
      </c>
      <c r="D3704">
        <v>1906</v>
      </c>
      <c r="E3704">
        <v>358</v>
      </c>
      <c r="F3704">
        <v>133</v>
      </c>
      <c r="G3704">
        <v>131</v>
      </c>
      <c r="H3704">
        <v>2528</v>
      </c>
      <c r="I3704" s="1">
        <v>45017</v>
      </c>
      <c r="J3704">
        <v>264</v>
      </c>
      <c r="K3704" t="s">
        <v>26</v>
      </c>
    </row>
    <row r="3705" spans="1:11">
      <c r="A3705" s="1">
        <v>45043</v>
      </c>
      <c r="B3705" t="s">
        <v>40</v>
      </c>
      <c r="C3705" t="s">
        <v>67</v>
      </c>
      <c r="D3705">
        <v>3593</v>
      </c>
      <c r="E3705">
        <v>1094</v>
      </c>
      <c r="F3705">
        <v>543</v>
      </c>
      <c r="G3705">
        <v>957</v>
      </c>
      <c r="H3705">
        <v>6186</v>
      </c>
      <c r="I3705" s="1">
        <v>45017</v>
      </c>
      <c r="J3705">
        <v>1500</v>
      </c>
      <c r="K3705" t="s">
        <v>26</v>
      </c>
    </row>
    <row r="3706" spans="1:11">
      <c r="A3706" s="1">
        <v>45043</v>
      </c>
      <c r="B3706" t="s">
        <v>40</v>
      </c>
      <c r="C3706" t="s">
        <v>49</v>
      </c>
      <c r="D3706">
        <v>447</v>
      </c>
      <c r="E3706">
        <v>224</v>
      </c>
      <c r="F3706">
        <v>125</v>
      </c>
      <c r="G3706">
        <v>39</v>
      </c>
      <c r="H3706">
        <v>836</v>
      </c>
      <c r="I3706" s="1">
        <v>45017</v>
      </c>
      <c r="J3706">
        <v>164</v>
      </c>
      <c r="K3706" t="s">
        <v>26</v>
      </c>
    </row>
    <row r="3707" spans="1:11">
      <c r="A3707" s="1">
        <v>45071</v>
      </c>
      <c r="B3707" t="s">
        <v>40</v>
      </c>
      <c r="C3707" t="s">
        <v>50</v>
      </c>
      <c r="D3707">
        <v>87</v>
      </c>
      <c r="E3707">
        <v>33</v>
      </c>
      <c r="F3707">
        <v>21</v>
      </c>
      <c r="G3707">
        <v>15</v>
      </c>
      <c r="H3707">
        <v>156</v>
      </c>
      <c r="I3707" s="1">
        <v>45047</v>
      </c>
      <c r="J3707">
        <v>36</v>
      </c>
      <c r="K3707" t="s">
        <v>26</v>
      </c>
    </row>
    <row r="3708" spans="1:11">
      <c r="A3708" s="1">
        <v>45071</v>
      </c>
      <c r="B3708" t="s">
        <v>40</v>
      </c>
      <c r="C3708" t="s">
        <v>48</v>
      </c>
      <c r="D3708">
        <v>4044</v>
      </c>
      <c r="E3708">
        <v>1780</v>
      </c>
      <c r="F3708">
        <v>667</v>
      </c>
      <c r="G3708">
        <v>124</v>
      </c>
      <c r="H3708">
        <v>6616</v>
      </c>
      <c r="I3708" s="1">
        <v>45047</v>
      </c>
      <c r="J3708">
        <v>791</v>
      </c>
      <c r="K3708" t="s">
        <v>26</v>
      </c>
    </row>
    <row r="3709" spans="1:11">
      <c r="A3709" s="1">
        <v>45071</v>
      </c>
      <c r="B3709" t="s">
        <v>40</v>
      </c>
      <c r="C3709" t="s">
        <v>65</v>
      </c>
      <c r="D3709">
        <v>702</v>
      </c>
      <c r="E3709">
        <v>283</v>
      </c>
      <c r="F3709">
        <v>178</v>
      </c>
      <c r="G3709">
        <v>256</v>
      </c>
      <c r="H3709">
        <v>1419</v>
      </c>
      <c r="I3709" s="1">
        <v>45047</v>
      </c>
      <c r="J3709">
        <v>434</v>
      </c>
      <c r="K3709" t="s">
        <v>26</v>
      </c>
    </row>
    <row r="3710" spans="1:11">
      <c r="A3710" s="1">
        <v>45071</v>
      </c>
      <c r="B3710" t="s">
        <v>40</v>
      </c>
      <c r="C3710" t="s">
        <v>30</v>
      </c>
      <c r="D3710">
        <v>457</v>
      </c>
      <c r="E3710">
        <v>107</v>
      </c>
      <c r="F3710">
        <v>28</v>
      </c>
      <c r="G3710">
        <v>18</v>
      </c>
      <c r="H3710">
        <v>610</v>
      </c>
      <c r="I3710" s="1">
        <v>45047</v>
      </c>
      <c r="J3710">
        <v>46</v>
      </c>
      <c r="K3710" t="s">
        <v>26</v>
      </c>
    </row>
    <row r="3711" spans="1:11">
      <c r="A3711" s="1">
        <v>45071</v>
      </c>
      <c r="B3711" t="s">
        <v>40</v>
      </c>
      <c r="C3711" t="s">
        <v>66</v>
      </c>
      <c r="D3711">
        <v>4442</v>
      </c>
      <c r="E3711">
        <v>2405</v>
      </c>
      <c r="F3711">
        <v>944</v>
      </c>
      <c r="G3711">
        <v>2053</v>
      </c>
      <c r="H3711">
        <v>9844</v>
      </c>
      <c r="I3711" s="1">
        <v>45047</v>
      </c>
      <c r="J3711">
        <v>2997</v>
      </c>
      <c r="K3711" t="s">
        <v>26</v>
      </c>
    </row>
    <row r="3712" spans="1:11">
      <c r="A3712" s="1">
        <v>45071</v>
      </c>
      <c r="B3712" t="s">
        <v>40</v>
      </c>
      <c r="C3712" t="s">
        <v>57</v>
      </c>
      <c r="D3712">
        <v>1193</v>
      </c>
      <c r="E3712">
        <v>381</v>
      </c>
      <c r="F3712">
        <v>140</v>
      </c>
      <c r="G3712">
        <v>328</v>
      </c>
      <c r="H3712">
        <v>2042</v>
      </c>
      <c r="I3712" s="1">
        <v>45047</v>
      </c>
      <c r="J3712">
        <v>468</v>
      </c>
      <c r="K3712" t="s">
        <v>26</v>
      </c>
    </row>
    <row r="3713" spans="1:11">
      <c r="A3713" s="1">
        <v>45071</v>
      </c>
      <c r="B3713" t="s">
        <v>40</v>
      </c>
      <c r="C3713" t="s">
        <v>68</v>
      </c>
      <c r="D3713">
        <v>3287</v>
      </c>
      <c r="E3713">
        <v>909</v>
      </c>
      <c r="F3713">
        <v>483</v>
      </c>
      <c r="G3713">
        <v>1000</v>
      </c>
      <c r="H3713">
        <v>5679</v>
      </c>
      <c r="I3713" s="1">
        <v>45047</v>
      </c>
      <c r="J3713">
        <v>1483</v>
      </c>
      <c r="K3713" t="s">
        <v>26</v>
      </c>
    </row>
    <row r="3714" spans="1:11">
      <c r="A3714" s="1">
        <v>45071</v>
      </c>
      <c r="B3714" t="s">
        <v>40</v>
      </c>
      <c r="C3714" t="s">
        <v>47</v>
      </c>
      <c r="D3714">
        <v>465</v>
      </c>
      <c r="E3714">
        <v>141</v>
      </c>
      <c r="F3714">
        <v>55</v>
      </c>
      <c r="G3714">
        <v>89</v>
      </c>
      <c r="H3714">
        <v>750</v>
      </c>
      <c r="I3714" s="1">
        <v>45047</v>
      </c>
      <c r="J3714">
        <v>144</v>
      </c>
      <c r="K3714" t="s">
        <v>26</v>
      </c>
    </row>
    <row r="3715" spans="1:11">
      <c r="A3715" s="1">
        <v>45071</v>
      </c>
      <c r="B3715" t="s">
        <v>40</v>
      </c>
      <c r="C3715" t="s">
        <v>25</v>
      </c>
      <c r="D3715">
        <v>556</v>
      </c>
      <c r="E3715">
        <v>154</v>
      </c>
      <c r="F3715">
        <v>84</v>
      </c>
      <c r="G3715">
        <v>38</v>
      </c>
      <c r="H3715">
        <v>832</v>
      </c>
      <c r="I3715" s="1">
        <v>45047</v>
      </c>
      <c r="J3715">
        <v>122</v>
      </c>
      <c r="K3715" t="s">
        <v>26</v>
      </c>
    </row>
    <row r="3716" spans="1:11">
      <c r="A3716" s="1">
        <v>45071</v>
      </c>
      <c r="B3716" t="s">
        <v>40</v>
      </c>
      <c r="C3716" t="s">
        <v>51</v>
      </c>
      <c r="D3716">
        <v>645</v>
      </c>
      <c r="E3716">
        <v>155</v>
      </c>
      <c r="F3716">
        <v>68</v>
      </c>
      <c r="G3716">
        <v>8</v>
      </c>
      <c r="H3716">
        <v>876</v>
      </c>
      <c r="I3716" s="1">
        <v>45047</v>
      </c>
      <c r="J3716">
        <v>76</v>
      </c>
      <c r="K3716" t="s">
        <v>26</v>
      </c>
    </row>
    <row r="3717" spans="1:11">
      <c r="A3717" s="1">
        <v>45071</v>
      </c>
      <c r="B3717" t="s">
        <v>40</v>
      </c>
      <c r="C3717" t="s">
        <v>45</v>
      </c>
      <c r="D3717">
        <v>143</v>
      </c>
      <c r="E3717">
        <v>87</v>
      </c>
      <c r="F3717">
        <v>25</v>
      </c>
      <c r="G3717">
        <v>10</v>
      </c>
      <c r="H3717">
        <v>264</v>
      </c>
      <c r="I3717" s="1">
        <v>45047</v>
      </c>
      <c r="J3717">
        <v>35</v>
      </c>
      <c r="K3717" t="s">
        <v>26</v>
      </c>
    </row>
    <row r="3718" spans="1:11">
      <c r="A3718" s="1">
        <v>45071</v>
      </c>
      <c r="B3718" t="s">
        <v>40</v>
      </c>
      <c r="C3718" t="s">
        <v>43</v>
      </c>
      <c r="D3718">
        <v>732</v>
      </c>
      <c r="E3718">
        <v>231</v>
      </c>
      <c r="F3718">
        <v>62</v>
      </c>
      <c r="G3718">
        <v>32</v>
      </c>
      <c r="H3718">
        <v>1057</v>
      </c>
      <c r="I3718" s="1">
        <v>45047</v>
      </c>
      <c r="J3718">
        <v>94</v>
      </c>
      <c r="K3718" t="s">
        <v>26</v>
      </c>
    </row>
    <row r="3719" spans="1:11">
      <c r="A3719" s="1">
        <v>45071</v>
      </c>
      <c r="B3719" t="s">
        <v>40</v>
      </c>
      <c r="C3719" t="s">
        <v>54</v>
      </c>
      <c r="D3719">
        <v>1320</v>
      </c>
      <c r="E3719">
        <v>307</v>
      </c>
      <c r="F3719">
        <v>21</v>
      </c>
      <c r="G3719">
        <v>31</v>
      </c>
      <c r="H3719">
        <v>1679</v>
      </c>
      <c r="I3719" s="1">
        <v>45047</v>
      </c>
      <c r="J3719">
        <v>52</v>
      </c>
      <c r="K3719" t="s">
        <v>26</v>
      </c>
    </row>
    <row r="3720" spans="1:11">
      <c r="A3720" s="1">
        <v>45071</v>
      </c>
      <c r="B3720" t="s">
        <v>40</v>
      </c>
      <c r="C3720" t="s">
        <v>31</v>
      </c>
      <c r="D3720">
        <v>521</v>
      </c>
      <c r="E3720">
        <v>148</v>
      </c>
      <c r="F3720">
        <v>51</v>
      </c>
      <c r="G3720">
        <v>55</v>
      </c>
      <c r="H3720">
        <v>776</v>
      </c>
      <c r="I3720" s="1">
        <v>45047</v>
      </c>
      <c r="J3720">
        <v>106</v>
      </c>
      <c r="K3720" t="s">
        <v>26</v>
      </c>
    </row>
    <row r="3721" spans="1:11">
      <c r="A3721" s="1">
        <v>45071</v>
      </c>
      <c r="B3721" t="s">
        <v>40</v>
      </c>
      <c r="C3721" t="s">
        <v>63</v>
      </c>
      <c r="D3721">
        <v>1961</v>
      </c>
      <c r="E3721">
        <v>897</v>
      </c>
      <c r="F3721">
        <v>149</v>
      </c>
      <c r="G3721">
        <v>26</v>
      </c>
      <c r="H3721">
        <v>3033</v>
      </c>
      <c r="I3721" s="1">
        <v>45047</v>
      </c>
      <c r="J3721">
        <v>175</v>
      </c>
      <c r="K3721" t="s">
        <v>26</v>
      </c>
    </row>
    <row r="3722" spans="1:11">
      <c r="A3722" s="1">
        <v>45071</v>
      </c>
      <c r="B3722" t="s">
        <v>40</v>
      </c>
      <c r="C3722" t="s">
        <v>60</v>
      </c>
      <c r="D3722">
        <v>1551</v>
      </c>
      <c r="E3722">
        <v>768</v>
      </c>
      <c r="F3722">
        <v>300</v>
      </c>
      <c r="G3722">
        <v>281</v>
      </c>
      <c r="H3722">
        <v>2900</v>
      </c>
      <c r="I3722" s="1">
        <v>45047</v>
      </c>
      <c r="J3722">
        <v>581</v>
      </c>
      <c r="K3722" t="s">
        <v>26</v>
      </c>
    </row>
    <row r="3723" spans="1:11">
      <c r="A3723" s="1">
        <v>45071</v>
      </c>
      <c r="B3723" t="s">
        <v>40</v>
      </c>
      <c r="C3723" t="s">
        <v>61</v>
      </c>
      <c r="D3723">
        <v>2432</v>
      </c>
      <c r="E3723">
        <v>868</v>
      </c>
      <c r="F3723">
        <v>382</v>
      </c>
      <c r="G3723">
        <v>244</v>
      </c>
      <c r="H3723">
        <v>3926</v>
      </c>
      <c r="I3723" s="1">
        <v>45047</v>
      </c>
      <c r="J3723">
        <v>626</v>
      </c>
      <c r="K3723" t="s">
        <v>26</v>
      </c>
    </row>
    <row r="3724" spans="1:11">
      <c r="A3724" s="1">
        <v>45071</v>
      </c>
      <c r="B3724" t="s">
        <v>40</v>
      </c>
      <c r="C3724" t="s">
        <v>62</v>
      </c>
      <c r="D3724">
        <v>484</v>
      </c>
      <c r="E3724">
        <v>139</v>
      </c>
      <c r="F3724">
        <v>39</v>
      </c>
      <c r="G3724">
        <v>26</v>
      </c>
      <c r="H3724">
        <v>689</v>
      </c>
      <c r="I3724" s="1">
        <v>45047</v>
      </c>
      <c r="J3724">
        <v>65</v>
      </c>
      <c r="K3724" t="s">
        <v>26</v>
      </c>
    </row>
    <row r="3725" spans="1:11">
      <c r="A3725" s="1">
        <v>45071</v>
      </c>
      <c r="B3725" t="s">
        <v>40</v>
      </c>
      <c r="C3725" t="s">
        <v>69</v>
      </c>
      <c r="D3725">
        <v>3455</v>
      </c>
      <c r="E3725">
        <v>1436</v>
      </c>
      <c r="F3725">
        <v>636</v>
      </c>
      <c r="G3725">
        <v>1152</v>
      </c>
      <c r="H3725">
        <v>6679</v>
      </c>
      <c r="I3725" s="1">
        <v>45047</v>
      </c>
      <c r="J3725">
        <v>1788</v>
      </c>
      <c r="K3725" t="s">
        <v>26</v>
      </c>
    </row>
    <row r="3726" spans="1:11">
      <c r="A3726" s="1">
        <v>45071</v>
      </c>
      <c r="B3726" t="s">
        <v>40</v>
      </c>
      <c r="C3726" t="s">
        <v>29</v>
      </c>
      <c r="D3726">
        <v>503</v>
      </c>
      <c r="E3726">
        <v>214</v>
      </c>
      <c r="F3726">
        <v>92</v>
      </c>
      <c r="G3726">
        <v>37</v>
      </c>
      <c r="H3726">
        <v>847</v>
      </c>
      <c r="I3726" s="1">
        <v>45047</v>
      </c>
      <c r="J3726">
        <v>129</v>
      </c>
      <c r="K3726" t="s">
        <v>26</v>
      </c>
    </row>
    <row r="3727" spans="1:11">
      <c r="A3727" s="1">
        <v>45071</v>
      </c>
      <c r="B3727" t="s">
        <v>40</v>
      </c>
      <c r="C3727" t="s">
        <v>70</v>
      </c>
      <c r="D3727">
        <v>587</v>
      </c>
      <c r="E3727">
        <v>247</v>
      </c>
      <c r="F3727">
        <v>32</v>
      </c>
      <c r="G3727">
        <v>15</v>
      </c>
      <c r="H3727">
        <v>881</v>
      </c>
      <c r="I3727" s="1">
        <v>45047</v>
      </c>
      <c r="J3727">
        <v>47</v>
      </c>
      <c r="K3727" t="s">
        <v>26</v>
      </c>
    </row>
    <row r="3728" spans="1:11">
      <c r="A3728" s="1">
        <v>45071</v>
      </c>
      <c r="B3728" t="s">
        <v>40</v>
      </c>
      <c r="C3728" t="s">
        <v>71</v>
      </c>
      <c r="D3728">
        <v>2650</v>
      </c>
      <c r="E3728">
        <v>714</v>
      </c>
      <c r="F3728">
        <v>244</v>
      </c>
      <c r="G3728">
        <v>464</v>
      </c>
      <c r="H3728">
        <v>4073</v>
      </c>
      <c r="I3728" s="1">
        <v>45047</v>
      </c>
      <c r="J3728">
        <v>708</v>
      </c>
      <c r="K3728" t="s">
        <v>26</v>
      </c>
    </row>
    <row r="3729" spans="1:11">
      <c r="A3729" s="1">
        <v>45071</v>
      </c>
      <c r="B3729" t="s">
        <v>40</v>
      </c>
      <c r="C3729" t="s">
        <v>36</v>
      </c>
      <c r="D3729">
        <v>1751</v>
      </c>
      <c r="E3729">
        <v>380</v>
      </c>
      <c r="F3729">
        <v>141</v>
      </c>
      <c r="G3729">
        <v>129</v>
      </c>
      <c r="H3729">
        <v>2401</v>
      </c>
      <c r="I3729" s="1">
        <v>45047</v>
      </c>
      <c r="J3729">
        <v>270</v>
      </c>
      <c r="K3729" t="s">
        <v>26</v>
      </c>
    </row>
    <row r="3730" spans="1:11">
      <c r="A3730" s="1">
        <v>45071</v>
      </c>
      <c r="B3730" t="s">
        <v>40</v>
      </c>
      <c r="C3730" t="s">
        <v>59</v>
      </c>
      <c r="D3730">
        <v>1731</v>
      </c>
      <c r="E3730">
        <v>923</v>
      </c>
      <c r="F3730">
        <v>108</v>
      </c>
      <c r="G3730">
        <v>4</v>
      </c>
      <c r="H3730">
        <v>2766</v>
      </c>
      <c r="I3730" s="1">
        <v>45047</v>
      </c>
      <c r="J3730">
        <v>112</v>
      </c>
      <c r="K3730" t="s">
        <v>26</v>
      </c>
    </row>
    <row r="3731" spans="1:11">
      <c r="A3731" s="1">
        <v>45071</v>
      </c>
      <c r="B3731" t="s">
        <v>40</v>
      </c>
      <c r="C3731" t="s">
        <v>67</v>
      </c>
      <c r="D3731">
        <v>3556</v>
      </c>
      <c r="E3731">
        <v>1093</v>
      </c>
      <c r="F3731">
        <v>580</v>
      </c>
      <c r="G3731">
        <v>977</v>
      </c>
      <c r="H3731">
        <v>6207</v>
      </c>
      <c r="I3731" s="1">
        <v>45047</v>
      </c>
      <c r="J3731">
        <v>1557</v>
      </c>
      <c r="K3731" t="s">
        <v>26</v>
      </c>
    </row>
    <row r="3732" spans="1:11">
      <c r="A3732" s="1">
        <v>45071</v>
      </c>
      <c r="B3732" t="s">
        <v>40</v>
      </c>
      <c r="C3732" t="s">
        <v>49</v>
      </c>
      <c r="D3732">
        <v>415</v>
      </c>
      <c r="E3732">
        <v>177</v>
      </c>
      <c r="F3732">
        <v>100</v>
      </c>
      <c r="G3732">
        <v>34</v>
      </c>
      <c r="H3732">
        <v>727</v>
      </c>
      <c r="I3732" s="1">
        <v>45047</v>
      </c>
      <c r="J3732">
        <v>134</v>
      </c>
      <c r="K3732" t="s">
        <v>26</v>
      </c>
    </row>
    <row r="3733" spans="1:11">
      <c r="A3733" s="1">
        <v>45106</v>
      </c>
      <c r="B3733" t="s">
        <v>40</v>
      </c>
      <c r="C3733" t="s">
        <v>50</v>
      </c>
      <c r="D3733">
        <v>96</v>
      </c>
      <c r="E3733">
        <v>34</v>
      </c>
      <c r="F3733">
        <v>22</v>
      </c>
      <c r="G3733">
        <v>19</v>
      </c>
      <c r="H3733">
        <v>171</v>
      </c>
      <c r="I3733" s="1">
        <v>45078</v>
      </c>
      <c r="J3733">
        <v>41</v>
      </c>
      <c r="K3733" t="s">
        <v>26</v>
      </c>
    </row>
    <row r="3734" spans="1:11">
      <c r="A3734" s="1">
        <v>45106</v>
      </c>
      <c r="B3734" t="s">
        <v>40</v>
      </c>
      <c r="C3734" t="s">
        <v>48</v>
      </c>
      <c r="D3734">
        <v>4130</v>
      </c>
      <c r="E3734">
        <v>1658</v>
      </c>
      <c r="F3734">
        <v>713</v>
      </c>
      <c r="G3734">
        <v>154</v>
      </c>
      <c r="H3734">
        <v>6654</v>
      </c>
      <c r="I3734" s="1">
        <v>45078</v>
      </c>
      <c r="J3734">
        <v>867</v>
      </c>
      <c r="K3734" t="s">
        <v>26</v>
      </c>
    </row>
    <row r="3735" spans="1:11">
      <c r="A3735" s="1">
        <v>45106</v>
      </c>
      <c r="B3735" t="s">
        <v>40</v>
      </c>
      <c r="C3735" t="s">
        <v>65</v>
      </c>
      <c r="D3735">
        <v>738</v>
      </c>
      <c r="E3735">
        <v>288</v>
      </c>
      <c r="F3735">
        <v>178</v>
      </c>
      <c r="G3735">
        <v>262</v>
      </c>
      <c r="H3735">
        <v>1465</v>
      </c>
      <c r="I3735" s="1">
        <v>45078</v>
      </c>
      <c r="J3735">
        <v>440</v>
      </c>
      <c r="K3735" t="s">
        <v>26</v>
      </c>
    </row>
    <row r="3736" spans="1:11">
      <c r="A3736" s="1">
        <v>45106</v>
      </c>
      <c r="B3736" t="s">
        <v>40</v>
      </c>
      <c r="C3736" t="s">
        <v>30</v>
      </c>
      <c r="D3736">
        <v>483</v>
      </c>
      <c r="E3736">
        <v>116</v>
      </c>
      <c r="F3736">
        <v>35</v>
      </c>
      <c r="G3736">
        <v>19</v>
      </c>
      <c r="H3736">
        <v>653</v>
      </c>
      <c r="I3736" s="1">
        <v>45078</v>
      </c>
      <c r="J3736">
        <v>54</v>
      </c>
      <c r="K3736" t="s">
        <v>26</v>
      </c>
    </row>
    <row r="3737" spans="1:11">
      <c r="A3737" s="1">
        <v>45106</v>
      </c>
      <c r="B3737" t="s">
        <v>40</v>
      </c>
      <c r="C3737" t="s">
        <v>66</v>
      </c>
      <c r="D3737">
        <v>4661</v>
      </c>
      <c r="E3737">
        <v>2266</v>
      </c>
      <c r="F3737">
        <v>1003</v>
      </c>
      <c r="G3737">
        <v>1779</v>
      </c>
      <c r="H3737">
        <v>9708</v>
      </c>
      <c r="I3737" s="1">
        <v>45078</v>
      </c>
      <c r="J3737">
        <v>2782</v>
      </c>
      <c r="K3737" t="s">
        <v>26</v>
      </c>
    </row>
    <row r="3738" spans="1:11">
      <c r="A3738" s="1">
        <v>45106</v>
      </c>
      <c r="B3738" t="s">
        <v>40</v>
      </c>
      <c r="C3738" t="s">
        <v>57</v>
      </c>
      <c r="D3738">
        <v>1249</v>
      </c>
      <c r="E3738">
        <v>344</v>
      </c>
      <c r="F3738">
        <v>141</v>
      </c>
      <c r="G3738">
        <v>271</v>
      </c>
      <c r="H3738">
        <v>2005</v>
      </c>
      <c r="I3738" s="1">
        <v>45078</v>
      </c>
      <c r="J3738">
        <v>412</v>
      </c>
      <c r="K3738" t="s">
        <v>26</v>
      </c>
    </row>
    <row r="3739" spans="1:11">
      <c r="A3739" s="1">
        <v>45106</v>
      </c>
      <c r="B3739" t="s">
        <v>40</v>
      </c>
      <c r="C3739" t="s">
        <v>68</v>
      </c>
      <c r="D3739">
        <v>3117</v>
      </c>
      <c r="E3739">
        <v>869</v>
      </c>
      <c r="F3739">
        <v>485</v>
      </c>
      <c r="G3739">
        <v>1004</v>
      </c>
      <c r="H3739">
        <v>5475</v>
      </c>
      <c r="I3739" s="1">
        <v>45078</v>
      </c>
      <c r="J3739">
        <v>1489</v>
      </c>
      <c r="K3739" t="s">
        <v>26</v>
      </c>
    </row>
    <row r="3740" spans="1:11">
      <c r="A3740" s="1">
        <v>45106</v>
      </c>
      <c r="B3740" t="s">
        <v>40</v>
      </c>
      <c r="C3740" t="s">
        <v>47</v>
      </c>
      <c r="D3740">
        <v>496</v>
      </c>
      <c r="E3740">
        <v>106</v>
      </c>
      <c r="F3740">
        <v>53</v>
      </c>
      <c r="G3740">
        <v>56</v>
      </c>
      <c r="H3740">
        <v>711</v>
      </c>
      <c r="I3740" s="1">
        <v>45078</v>
      </c>
      <c r="J3740">
        <v>109</v>
      </c>
      <c r="K3740" t="s">
        <v>26</v>
      </c>
    </row>
    <row r="3741" spans="1:11">
      <c r="A3741" s="1">
        <v>45106</v>
      </c>
      <c r="B3741" t="s">
        <v>40</v>
      </c>
      <c r="C3741" t="s">
        <v>25</v>
      </c>
      <c r="D3741">
        <v>604</v>
      </c>
      <c r="E3741">
        <v>180</v>
      </c>
      <c r="F3741">
        <v>79</v>
      </c>
      <c r="G3741">
        <v>33</v>
      </c>
      <c r="H3741">
        <v>895</v>
      </c>
      <c r="I3741" s="1">
        <v>45078</v>
      </c>
      <c r="J3741">
        <v>112</v>
      </c>
      <c r="K3741" t="s">
        <v>26</v>
      </c>
    </row>
    <row r="3742" spans="1:11">
      <c r="A3742" s="1">
        <v>45106</v>
      </c>
      <c r="B3742" t="s">
        <v>40</v>
      </c>
      <c r="C3742" t="s">
        <v>51</v>
      </c>
      <c r="D3742">
        <v>699</v>
      </c>
      <c r="E3742">
        <v>155</v>
      </c>
      <c r="F3742">
        <v>37</v>
      </c>
      <c r="G3742">
        <v>37</v>
      </c>
      <c r="H3742">
        <v>928</v>
      </c>
      <c r="I3742" s="1">
        <v>45078</v>
      </c>
      <c r="J3742">
        <v>74</v>
      </c>
      <c r="K3742" t="s">
        <v>26</v>
      </c>
    </row>
    <row r="3743" spans="1:11">
      <c r="A3743" s="1">
        <v>45106</v>
      </c>
      <c r="B3743" t="s">
        <v>40</v>
      </c>
      <c r="C3743" t="s">
        <v>45</v>
      </c>
      <c r="D3743">
        <v>114</v>
      </c>
      <c r="E3743">
        <v>74</v>
      </c>
      <c r="F3743">
        <v>27</v>
      </c>
      <c r="G3743">
        <v>6</v>
      </c>
      <c r="H3743">
        <v>221</v>
      </c>
      <c r="I3743" s="1">
        <v>45078</v>
      </c>
      <c r="J3743">
        <v>33</v>
      </c>
      <c r="K3743" t="s">
        <v>26</v>
      </c>
    </row>
    <row r="3744" spans="1:11">
      <c r="A3744" s="1">
        <v>45106</v>
      </c>
      <c r="B3744" t="s">
        <v>40</v>
      </c>
      <c r="C3744" t="s">
        <v>43</v>
      </c>
      <c r="D3744">
        <v>643</v>
      </c>
      <c r="E3744">
        <v>195</v>
      </c>
      <c r="F3744">
        <v>55</v>
      </c>
      <c r="G3744">
        <v>14</v>
      </c>
      <c r="H3744">
        <v>907</v>
      </c>
      <c r="I3744" s="1">
        <v>45078</v>
      </c>
      <c r="J3744">
        <v>69</v>
      </c>
      <c r="K3744" t="s">
        <v>26</v>
      </c>
    </row>
    <row r="3745" spans="1:11">
      <c r="A3745" s="1">
        <v>45106</v>
      </c>
      <c r="B3745" t="s">
        <v>40</v>
      </c>
      <c r="C3745" t="s">
        <v>54</v>
      </c>
      <c r="D3745">
        <v>1433</v>
      </c>
      <c r="E3745">
        <v>319</v>
      </c>
      <c r="F3745">
        <v>29</v>
      </c>
      <c r="G3745">
        <v>27</v>
      </c>
      <c r="H3745">
        <v>1808</v>
      </c>
      <c r="I3745" s="1">
        <v>45078</v>
      </c>
      <c r="J3745">
        <v>56</v>
      </c>
      <c r="K3745" t="s">
        <v>26</v>
      </c>
    </row>
    <row r="3746" spans="1:11">
      <c r="A3746" s="1">
        <v>45106</v>
      </c>
      <c r="B3746" t="s">
        <v>40</v>
      </c>
      <c r="C3746" t="s">
        <v>22</v>
      </c>
      <c r="D3746">
        <v>592</v>
      </c>
      <c r="E3746">
        <v>93</v>
      </c>
      <c r="F3746">
        <v>15</v>
      </c>
      <c r="G3746">
        <v>4</v>
      </c>
      <c r="H3746">
        <v>704</v>
      </c>
      <c r="I3746" s="1">
        <v>45078</v>
      </c>
      <c r="J3746">
        <v>19</v>
      </c>
      <c r="K3746" t="s">
        <v>26</v>
      </c>
    </row>
    <row r="3747" spans="1:11">
      <c r="A3747" s="1">
        <v>45106</v>
      </c>
      <c r="B3747" t="s">
        <v>40</v>
      </c>
      <c r="C3747" t="s">
        <v>46</v>
      </c>
      <c r="D3747">
        <v>425</v>
      </c>
      <c r="E3747">
        <v>129</v>
      </c>
      <c r="F3747">
        <v>19</v>
      </c>
      <c r="G3747">
        <v>6</v>
      </c>
      <c r="H3747">
        <v>579</v>
      </c>
      <c r="I3747" s="1">
        <v>45078</v>
      </c>
      <c r="J3747">
        <v>25</v>
      </c>
      <c r="K3747" t="s">
        <v>26</v>
      </c>
    </row>
    <row r="3748" spans="1:11">
      <c r="A3748" s="1">
        <v>45106</v>
      </c>
      <c r="B3748" t="s">
        <v>40</v>
      </c>
      <c r="C3748" t="s">
        <v>31</v>
      </c>
      <c r="D3748">
        <v>574</v>
      </c>
      <c r="E3748">
        <v>135</v>
      </c>
      <c r="F3748">
        <v>45</v>
      </c>
      <c r="G3748">
        <v>39</v>
      </c>
      <c r="H3748">
        <v>793</v>
      </c>
      <c r="I3748" s="1">
        <v>45078</v>
      </c>
      <c r="J3748">
        <v>84</v>
      </c>
      <c r="K3748" t="s">
        <v>26</v>
      </c>
    </row>
    <row r="3749" spans="1:11">
      <c r="A3749" s="1">
        <v>45106</v>
      </c>
      <c r="B3749" t="s">
        <v>40</v>
      </c>
      <c r="C3749" t="s">
        <v>63</v>
      </c>
      <c r="D3749">
        <v>2062</v>
      </c>
      <c r="E3749">
        <v>863</v>
      </c>
      <c r="F3749">
        <v>171</v>
      </c>
      <c r="G3749">
        <v>33</v>
      </c>
      <c r="H3749">
        <v>3129</v>
      </c>
      <c r="I3749" s="1">
        <v>45078</v>
      </c>
      <c r="J3749">
        <v>204</v>
      </c>
      <c r="K3749" t="s">
        <v>26</v>
      </c>
    </row>
    <row r="3750" spans="1:11">
      <c r="A3750" s="1">
        <v>45106</v>
      </c>
      <c r="B3750" t="s">
        <v>40</v>
      </c>
      <c r="C3750" t="s">
        <v>60</v>
      </c>
      <c r="D3750">
        <v>1571</v>
      </c>
      <c r="E3750">
        <v>672</v>
      </c>
      <c r="F3750">
        <v>316</v>
      </c>
      <c r="G3750">
        <v>214</v>
      </c>
      <c r="H3750">
        <v>2772</v>
      </c>
      <c r="I3750" s="1">
        <v>45078</v>
      </c>
      <c r="J3750">
        <v>530</v>
      </c>
      <c r="K3750" t="s">
        <v>26</v>
      </c>
    </row>
    <row r="3751" spans="1:11">
      <c r="A3751" s="1">
        <v>45106</v>
      </c>
      <c r="B3751" t="s">
        <v>40</v>
      </c>
      <c r="C3751" t="s">
        <v>61</v>
      </c>
      <c r="D3751">
        <v>2350</v>
      </c>
      <c r="E3751">
        <v>628</v>
      </c>
      <c r="F3751">
        <v>335</v>
      </c>
      <c r="G3751">
        <v>234</v>
      </c>
      <c r="H3751">
        <v>3546</v>
      </c>
      <c r="I3751" s="1">
        <v>45078</v>
      </c>
      <c r="J3751">
        <v>569</v>
      </c>
      <c r="K3751" t="s">
        <v>26</v>
      </c>
    </row>
    <row r="3752" spans="1:11">
      <c r="A3752" s="1">
        <v>45106</v>
      </c>
      <c r="B3752" t="s">
        <v>40</v>
      </c>
      <c r="C3752" t="s">
        <v>62</v>
      </c>
      <c r="D3752">
        <v>398</v>
      </c>
      <c r="E3752">
        <v>136</v>
      </c>
      <c r="F3752">
        <v>51</v>
      </c>
      <c r="G3752">
        <v>22</v>
      </c>
      <c r="H3752">
        <v>607</v>
      </c>
      <c r="I3752" s="1">
        <v>45078</v>
      </c>
      <c r="J3752">
        <v>73</v>
      </c>
      <c r="K3752" t="s">
        <v>26</v>
      </c>
    </row>
    <row r="3753" spans="1:11">
      <c r="A3753" s="1">
        <v>45106</v>
      </c>
      <c r="B3753" t="s">
        <v>40</v>
      </c>
      <c r="C3753" t="s">
        <v>69</v>
      </c>
      <c r="D3753">
        <v>3553</v>
      </c>
      <c r="E3753">
        <v>1584</v>
      </c>
      <c r="F3753">
        <v>662</v>
      </c>
      <c r="G3753">
        <v>1125</v>
      </c>
      <c r="H3753">
        <v>6924</v>
      </c>
      <c r="I3753" s="1">
        <v>45078</v>
      </c>
      <c r="J3753">
        <v>1787</v>
      </c>
      <c r="K3753" t="s">
        <v>26</v>
      </c>
    </row>
    <row r="3754" spans="1:11">
      <c r="A3754" s="1">
        <v>45106</v>
      </c>
      <c r="B3754" t="s">
        <v>40</v>
      </c>
      <c r="C3754" t="s">
        <v>29</v>
      </c>
      <c r="D3754">
        <v>418</v>
      </c>
      <c r="E3754">
        <v>222</v>
      </c>
      <c r="F3754">
        <v>103</v>
      </c>
      <c r="G3754">
        <v>44</v>
      </c>
      <c r="H3754">
        <v>787</v>
      </c>
      <c r="I3754" s="1">
        <v>45078</v>
      </c>
      <c r="J3754">
        <v>147</v>
      </c>
      <c r="K3754" t="s">
        <v>26</v>
      </c>
    </row>
    <row r="3755" spans="1:11">
      <c r="A3755" s="1">
        <v>45106</v>
      </c>
      <c r="B3755" t="s">
        <v>40</v>
      </c>
      <c r="C3755" t="s">
        <v>70</v>
      </c>
      <c r="D3755">
        <v>543</v>
      </c>
      <c r="E3755">
        <v>264</v>
      </c>
      <c r="F3755">
        <v>46</v>
      </c>
      <c r="G3755">
        <v>9</v>
      </c>
      <c r="H3755">
        <v>861</v>
      </c>
      <c r="I3755" s="1">
        <v>45078</v>
      </c>
      <c r="J3755">
        <v>55</v>
      </c>
      <c r="K3755" t="s">
        <v>26</v>
      </c>
    </row>
    <row r="3756" spans="1:11">
      <c r="A3756" s="1">
        <v>45106</v>
      </c>
      <c r="B3756" t="s">
        <v>40</v>
      </c>
      <c r="C3756" t="s">
        <v>71</v>
      </c>
      <c r="D3756">
        <v>2632</v>
      </c>
      <c r="E3756">
        <v>662</v>
      </c>
      <c r="F3756">
        <v>268</v>
      </c>
      <c r="G3756">
        <v>458</v>
      </c>
      <c r="H3756">
        <v>4019</v>
      </c>
      <c r="I3756" s="1">
        <v>45078</v>
      </c>
      <c r="J3756">
        <v>726</v>
      </c>
      <c r="K3756" t="s">
        <v>26</v>
      </c>
    </row>
    <row r="3757" spans="1:11">
      <c r="A3757" s="1">
        <v>45106</v>
      </c>
      <c r="B3757" t="s">
        <v>40</v>
      </c>
      <c r="C3757" t="s">
        <v>36</v>
      </c>
      <c r="D3757">
        <v>1836</v>
      </c>
      <c r="E3757">
        <v>375</v>
      </c>
      <c r="F3757">
        <v>147</v>
      </c>
      <c r="G3757">
        <v>133</v>
      </c>
      <c r="H3757">
        <v>2491</v>
      </c>
      <c r="I3757" s="1">
        <v>45078</v>
      </c>
      <c r="J3757">
        <v>280</v>
      </c>
      <c r="K3757" t="s">
        <v>26</v>
      </c>
    </row>
    <row r="3758" spans="1:11">
      <c r="A3758" s="1">
        <v>45106</v>
      </c>
      <c r="B3758" t="s">
        <v>40</v>
      </c>
      <c r="C3758" t="s">
        <v>59</v>
      </c>
      <c r="D3758">
        <v>1796</v>
      </c>
      <c r="E3758">
        <v>854</v>
      </c>
      <c r="F3758">
        <v>145</v>
      </c>
      <c r="G3758">
        <v>11</v>
      </c>
      <c r="H3758">
        <v>2805</v>
      </c>
      <c r="I3758" s="1">
        <v>45078</v>
      </c>
      <c r="J3758">
        <v>156</v>
      </c>
      <c r="K3758" t="s">
        <v>26</v>
      </c>
    </row>
    <row r="3759" spans="1:11">
      <c r="A3759" s="1">
        <v>45106</v>
      </c>
      <c r="B3759" t="s">
        <v>40</v>
      </c>
      <c r="C3759" t="s">
        <v>67</v>
      </c>
      <c r="D3759">
        <v>3504</v>
      </c>
      <c r="E3759">
        <v>1077</v>
      </c>
      <c r="F3759">
        <v>604</v>
      </c>
      <c r="G3759">
        <v>905</v>
      </c>
      <c r="H3759">
        <v>6089</v>
      </c>
      <c r="I3759" s="1">
        <v>45078</v>
      </c>
      <c r="J3759">
        <v>1509</v>
      </c>
      <c r="K3759" t="s">
        <v>26</v>
      </c>
    </row>
    <row r="3760" spans="1:11">
      <c r="A3760" s="1">
        <v>45106</v>
      </c>
      <c r="B3760" t="s">
        <v>40</v>
      </c>
      <c r="C3760" t="s">
        <v>49</v>
      </c>
      <c r="D3760">
        <v>411</v>
      </c>
      <c r="E3760">
        <v>133</v>
      </c>
      <c r="F3760">
        <v>77</v>
      </c>
      <c r="G3760">
        <v>34</v>
      </c>
      <c r="H3760">
        <v>655</v>
      </c>
      <c r="I3760" s="1">
        <v>45078</v>
      </c>
      <c r="J3760">
        <v>111</v>
      </c>
      <c r="K3760" t="s">
        <v>26</v>
      </c>
    </row>
    <row r="3761" spans="1:11">
      <c r="A3761" s="1">
        <v>45134</v>
      </c>
      <c r="B3761" t="s">
        <v>40</v>
      </c>
      <c r="C3761" t="s">
        <v>50</v>
      </c>
      <c r="D3761">
        <v>103</v>
      </c>
      <c r="E3761">
        <v>28</v>
      </c>
      <c r="F3761">
        <v>27</v>
      </c>
      <c r="G3761">
        <v>21</v>
      </c>
      <c r="H3761">
        <v>179</v>
      </c>
      <c r="I3761" s="1">
        <v>45108</v>
      </c>
      <c r="J3761">
        <v>48</v>
      </c>
      <c r="K3761" t="s">
        <v>26</v>
      </c>
    </row>
    <row r="3762" spans="1:11">
      <c r="A3762" s="1">
        <v>45134</v>
      </c>
      <c r="B3762" t="s">
        <v>40</v>
      </c>
      <c r="C3762" t="s">
        <v>48</v>
      </c>
      <c r="D3762">
        <v>4060</v>
      </c>
      <c r="E3762">
        <v>1663</v>
      </c>
      <c r="F3762">
        <v>720</v>
      </c>
      <c r="G3762">
        <v>188</v>
      </c>
      <c r="H3762">
        <v>6630</v>
      </c>
      <c r="I3762" s="1">
        <v>45108</v>
      </c>
      <c r="J3762">
        <v>908</v>
      </c>
      <c r="K3762" t="s">
        <v>26</v>
      </c>
    </row>
    <row r="3763" spans="1:11">
      <c r="A3763" s="1">
        <v>45134</v>
      </c>
      <c r="B3763" t="s">
        <v>40</v>
      </c>
      <c r="C3763" t="s">
        <v>65</v>
      </c>
      <c r="D3763">
        <v>706</v>
      </c>
      <c r="E3763">
        <v>269</v>
      </c>
      <c r="F3763">
        <v>169</v>
      </c>
      <c r="G3763">
        <v>253</v>
      </c>
      <c r="H3763">
        <v>1396</v>
      </c>
      <c r="I3763" s="1">
        <v>45108</v>
      </c>
      <c r="J3763">
        <v>422</v>
      </c>
      <c r="K3763" t="s">
        <v>26</v>
      </c>
    </row>
    <row r="3764" spans="1:11">
      <c r="A3764" s="1">
        <v>45134</v>
      </c>
      <c r="B3764" t="s">
        <v>40</v>
      </c>
      <c r="C3764" t="s">
        <v>30</v>
      </c>
      <c r="D3764">
        <v>489</v>
      </c>
      <c r="E3764">
        <v>127</v>
      </c>
      <c r="F3764">
        <v>43</v>
      </c>
      <c r="G3764">
        <v>19</v>
      </c>
      <c r="H3764">
        <v>678</v>
      </c>
      <c r="I3764" s="1">
        <v>45108</v>
      </c>
      <c r="J3764">
        <v>62</v>
      </c>
      <c r="K3764" t="s">
        <v>26</v>
      </c>
    </row>
    <row r="3765" spans="1:11">
      <c r="A3765" s="1">
        <v>45134</v>
      </c>
      <c r="B3765" t="s">
        <v>40</v>
      </c>
      <c r="C3765" t="s">
        <v>66</v>
      </c>
      <c r="D3765">
        <v>4758</v>
      </c>
      <c r="E3765">
        <v>2019</v>
      </c>
      <c r="F3765">
        <v>1097</v>
      </c>
      <c r="G3765">
        <v>1596</v>
      </c>
      <c r="H3765">
        <v>9469</v>
      </c>
      <c r="I3765" s="1">
        <v>45108</v>
      </c>
      <c r="J3765">
        <v>2693</v>
      </c>
      <c r="K3765" t="s">
        <v>26</v>
      </c>
    </row>
    <row r="3766" spans="1:11">
      <c r="A3766" s="1">
        <v>45134</v>
      </c>
      <c r="B3766" t="s">
        <v>40</v>
      </c>
      <c r="C3766" t="s">
        <v>57</v>
      </c>
      <c r="D3766">
        <v>1357</v>
      </c>
      <c r="E3766">
        <v>317</v>
      </c>
      <c r="F3766">
        <v>151</v>
      </c>
      <c r="G3766">
        <v>234</v>
      </c>
      <c r="H3766">
        <v>2059</v>
      </c>
      <c r="I3766" s="1">
        <v>45108</v>
      </c>
      <c r="J3766">
        <v>385</v>
      </c>
      <c r="K3766" t="s">
        <v>26</v>
      </c>
    </row>
    <row r="3767" spans="1:11">
      <c r="A3767" s="1">
        <v>45134</v>
      </c>
      <c r="B3767" t="s">
        <v>40</v>
      </c>
      <c r="C3767" t="s">
        <v>68</v>
      </c>
      <c r="D3767">
        <v>3026</v>
      </c>
      <c r="E3767">
        <v>803</v>
      </c>
      <c r="F3767">
        <v>512</v>
      </c>
      <c r="G3767">
        <v>995</v>
      </c>
      <c r="H3767">
        <v>5335</v>
      </c>
      <c r="I3767" s="1">
        <v>45108</v>
      </c>
      <c r="J3767">
        <v>1507</v>
      </c>
      <c r="K3767" t="s">
        <v>26</v>
      </c>
    </row>
    <row r="3768" spans="1:11">
      <c r="A3768" s="1">
        <v>45134</v>
      </c>
      <c r="B3768" t="s">
        <v>40</v>
      </c>
      <c r="C3768" t="s">
        <v>47</v>
      </c>
      <c r="D3768">
        <v>456</v>
      </c>
      <c r="E3768">
        <v>94</v>
      </c>
      <c r="F3768">
        <v>53</v>
      </c>
      <c r="G3768">
        <v>48</v>
      </c>
      <c r="H3768">
        <v>651</v>
      </c>
      <c r="I3768" s="1">
        <v>45108</v>
      </c>
      <c r="J3768">
        <v>101</v>
      </c>
      <c r="K3768" t="s">
        <v>26</v>
      </c>
    </row>
    <row r="3769" spans="1:11">
      <c r="A3769" s="1">
        <v>45134</v>
      </c>
      <c r="B3769" t="s">
        <v>40</v>
      </c>
      <c r="C3769" t="s">
        <v>25</v>
      </c>
      <c r="D3769">
        <v>686</v>
      </c>
      <c r="E3769">
        <v>198</v>
      </c>
      <c r="F3769">
        <v>59</v>
      </c>
      <c r="G3769">
        <v>34</v>
      </c>
      <c r="H3769">
        <v>976</v>
      </c>
      <c r="I3769" s="1">
        <v>45108</v>
      </c>
      <c r="J3769">
        <v>93</v>
      </c>
      <c r="K3769" t="s">
        <v>26</v>
      </c>
    </row>
    <row r="3770" spans="1:11">
      <c r="A3770" s="1">
        <v>45134</v>
      </c>
      <c r="B3770" t="s">
        <v>40</v>
      </c>
      <c r="C3770" t="s">
        <v>51</v>
      </c>
      <c r="D3770">
        <v>700</v>
      </c>
      <c r="E3770">
        <v>147</v>
      </c>
      <c r="F3770">
        <v>24</v>
      </c>
      <c r="G3770">
        <v>30</v>
      </c>
      <c r="H3770">
        <v>901</v>
      </c>
      <c r="I3770" s="1">
        <v>45108</v>
      </c>
      <c r="J3770">
        <v>54</v>
      </c>
      <c r="K3770" t="s">
        <v>26</v>
      </c>
    </row>
    <row r="3771" spans="1:11">
      <c r="A3771" s="1">
        <v>45134</v>
      </c>
      <c r="B3771" t="s">
        <v>40</v>
      </c>
      <c r="C3771" t="s">
        <v>45</v>
      </c>
      <c r="D3771">
        <v>114</v>
      </c>
      <c r="E3771">
        <v>19</v>
      </c>
      <c r="F3771">
        <v>19</v>
      </c>
      <c r="G3771">
        <v>6</v>
      </c>
      <c r="H3771">
        <v>158</v>
      </c>
      <c r="I3771" s="1">
        <v>45108</v>
      </c>
      <c r="J3771">
        <v>25</v>
      </c>
      <c r="K3771" t="s">
        <v>26</v>
      </c>
    </row>
    <row r="3772" spans="1:11">
      <c r="A3772" s="1">
        <v>45134</v>
      </c>
      <c r="B3772" t="s">
        <v>40</v>
      </c>
      <c r="C3772" t="s">
        <v>43</v>
      </c>
      <c r="D3772">
        <v>613</v>
      </c>
      <c r="E3772">
        <v>159</v>
      </c>
      <c r="F3772">
        <v>23</v>
      </c>
      <c r="G3772">
        <v>7</v>
      </c>
      <c r="H3772">
        <v>802</v>
      </c>
      <c r="I3772" s="1">
        <v>45108</v>
      </c>
      <c r="J3772">
        <v>30</v>
      </c>
      <c r="K3772" t="s">
        <v>26</v>
      </c>
    </row>
    <row r="3773" spans="1:11">
      <c r="A3773" s="1">
        <v>45134</v>
      </c>
      <c r="B3773" t="s">
        <v>40</v>
      </c>
      <c r="C3773" t="s">
        <v>54</v>
      </c>
      <c r="D3773">
        <v>1485</v>
      </c>
      <c r="E3773">
        <v>284</v>
      </c>
      <c r="F3773">
        <v>24</v>
      </c>
      <c r="G3773">
        <v>28</v>
      </c>
      <c r="H3773">
        <v>1821</v>
      </c>
      <c r="I3773" s="1">
        <v>45108</v>
      </c>
      <c r="J3773">
        <v>52</v>
      </c>
      <c r="K3773" t="s">
        <v>26</v>
      </c>
    </row>
    <row r="3774" spans="1:11">
      <c r="A3774" s="1">
        <v>45134</v>
      </c>
      <c r="B3774" t="s">
        <v>40</v>
      </c>
      <c r="C3774" t="s">
        <v>22</v>
      </c>
      <c r="D3774">
        <v>587</v>
      </c>
      <c r="E3774">
        <v>75</v>
      </c>
      <c r="F3774">
        <v>10</v>
      </c>
      <c r="G3774">
        <v>6</v>
      </c>
      <c r="H3774">
        <v>677</v>
      </c>
      <c r="I3774" s="1">
        <v>45108</v>
      </c>
      <c r="J3774">
        <v>16</v>
      </c>
      <c r="K3774" t="s">
        <v>26</v>
      </c>
    </row>
    <row r="3775" spans="1:11">
      <c r="A3775" s="1">
        <v>45134</v>
      </c>
      <c r="B3775" t="s">
        <v>40</v>
      </c>
      <c r="C3775" t="s">
        <v>46</v>
      </c>
      <c r="D3775">
        <v>439</v>
      </c>
      <c r="E3775">
        <v>131</v>
      </c>
      <c r="F3775">
        <v>18</v>
      </c>
      <c r="G3775">
        <v>4</v>
      </c>
      <c r="H3775">
        <v>592</v>
      </c>
      <c r="I3775" s="1">
        <v>45108</v>
      </c>
      <c r="J3775">
        <v>22</v>
      </c>
      <c r="K3775" t="s">
        <v>26</v>
      </c>
    </row>
    <row r="3776" spans="1:11">
      <c r="A3776" s="1">
        <v>45134</v>
      </c>
      <c r="B3776" t="s">
        <v>40</v>
      </c>
      <c r="C3776" t="s">
        <v>31</v>
      </c>
      <c r="D3776">
        <v>547</v>
      </c>
      <c r="E3776">
        <v>103</v>
      </c>
      <c r="F3776">
        <v>43</v>
      </c>
      <c r="G3776">
        <v>37</v>
      </c>
      <c r="H3776">
        <v>730</v>
      </c>
      <c r="I3776" s="1">
        <v>45108</v>
      </c>
      <c r="J3776">
        <v>80</v>
      </c>
      <c r="K3776" t="s">
        <v>26</v>
      </c>
    </row>
    <row r="3777" spans="1:11">
      <c r="A3777" s="1">
        <v>45134</v>
      </c>
      <c r="B3777" t="s">
        <v>40</v>
      </c>
      <c r="C3777" t="s">
        <v>63</v>
      </c>
      <c r="D3777">
        <v>2054</v>
      </c>
      <c r="E3777">
        <v>604</v>
      </c>
      <c r="F3777">
        <v>164</v>
      </c>
      <c r="G3777">
        <v>30</v>
      </c>
      <c r="H3777">
        <v>2852</v>
      </c>
      <c r="I3777" s="1">
        <v>45108</v>
      </c>
      <c r="J3777">
        <v>194</v>
      </c>
      <c r="K3777" t="s">
        <v>26</v>
      </c>
    </row>
    <row r="3778" spans="1:11">
      <c r="A3778" s="1">
        <v>45134</v>
      </c>
      <c r="B3778" t="s">
        <v>40</v>
      </c>
      <c r="C3778" t="s">
        <v>60</v>
      </c>
      <c r="D3778">
        <v>1699</v>
      </c>
      <c r="E3778">
        <v>580</v>
      </c>
      <c r="F3778">
        <v>326</v>
      </c>
      <c r="G3778">
        <v>191</v>
      </c>
      <c r="H3778">
        <v>2795</v>
      </c>
      <c r="I3778" s="1">
        <v>45108</v>
      </c>
      <c r="J3778">
        <v>517</v>
      </c>
      <c r="K3778" t="s">
        <v>26</v>
      </c>
    </row>
    <row r="3779" spans="1:11">
      <c r="A3779" s="1">
        <v>45134</v>
      </c>
      <c r="B3779" t="s">
        <v>40</v>
      </c>
      <c r="C3779" t="s">
        <v>61</v>
      </c>
      <c r="D3779">
        <v>2314</v>
      </c>
      <c r="E3779">
        <v>650</v>
      </c>
      <c r="F3779">
        <v>323</v>
      </c>
      <c r="G3779">
        <v>228</v>
      </c>
      <c r="H3779">
        <v>3514</v>
      </c>
      <c r="I3779" s="1">
        <v>45108</v>
      </c>
      <c r="J3779">
        <v>551</v>
      </c>
      <c r="K3779" t="s">
        <v>26</v>
      </c>
    </row>
    <row r="3780" spans="1:11">
      <c r="A3780" s="1">
        <v>45134</v>
      </c>
      <c r="B3780" t="s">
        <v>40</v>
      </c>
      <c r="C3780" t="s">
        <v>62</v>
      </c>
      <c r="D3780">
        <v>362</v>
      </c>
      <c r="E3780">
        <v>111</v>
      </c>
      <c r="F3780">
        <v>46</v>
      </c>
      <c r="G3780">
        <v>15</v>
      </c>
      <c r="H3780">
        <v>534</v>
      </c>
      <c r="I3780" s="1">
        <v>45108</v>
      </c>
      <c r="J3780">
        <v>61</v>
      </c>
      <c r="K3780" t="s">
        <v>26</v>
      </c>
    </row>
    <row r="3781" spans="1:11">
      <c r="A3781" s="1">
        <v>45134</v>
      </c>
      <c r="B3781" t="s">
        <v>40</v>
      </c>
      <c r="C3781" t="s">
        <v>69</v>
      </c>
      <c r="D3781">
        <v>3540</v>
      </c>
      <c r="E3781">
        <v>1631</v>
      </c>
      <c r="F3781">
        <v>687</v>
      </c>
      <c r="G3781">
        <v>1055</v>
      </c>
      <c r="H3781">
        <v>6913</v>
      </c>
      <c r="I3781" s="1">
        <v>45108</v>
      </c>
      <c r="J3781">
        <v>1742</v>
      </c>
      <c r="K3781" t="s">
        <v>26</v>
      </c>
    </row>
    <row r="3782" spans="1:11">
      <c r="A3782" s="1">
        <v>45134</v>
      </c>
      <c r="B3782" t="s">
        <v>40</v>
      </c>
      <c r="C3782" t="s">
        <v>29</v>
      </c>
      <c r="D3782">
        <v>485</v>
      </c>
      <c r="E3782">
        <v>211</v>
      </c>
      <c r="F3782">
        <v>115</v>
      </c>
      <c r="G3782">
        <v>46</v>
      </c>
      <c r="H3782">
        <v>857</v>
      </c>
      <c r="I3782" s="1">
        <v>45108</v>
      </c>
      <c r="J3782">
        <v>161</v>
      </c>
      <c r="K3782" t="s">
        <v>26</v>
      </c>
    </row>
    <row r="3783" spans="1:11">
      <c r="A3783" s="1">
        <v>45134</v>
      </c>
      <c r="B3783" t="s">
        <v>40</v>
      </c>
      <c r="C3783" t="s">
        <v>70</v>
      </c>
      <c r="D3783">
        <v>474</v>
      </c>
      <c r="E3783">
        <v>265</v>
      </c>
      <c r="F3783">
        <v>45</v>
      </c>
      <c r="G3783">
        <v>11</v>
      </c>
      <c r="H3783">
        <v>794</v>
      </c>
      <c r="I3783" s="1">
        <v>45108</v>
      </c>
      <c r="J3783">
        <v>56</v>
      </c>
      <c r="K3783" t="s">
        <v>26</v>
      </c>
    </row>
    <row r="3784" spans="1:11">
      <c r="A3784" s="1">
        <v>45134</v>
      </c>
      <c r="B3784" t="s">
        <v>40</v>
      </c>
      <c r="C3784" t="s">
        <v>71</v>
      </c>
      <c r="D3784">
        <v>2598</v>
      </c>
      <c r="E3784">
        <v>626</v>
      </c>
      <c r="F3784">
        <v>303</v>
      </c>
      <c r="G3784">
        <v>451</v>
      </c>
      <c r="H3784">
        <v>3978</v>
      </c>
      <c r="I3784" s="1">
        <v>45108</v>
      </c>
      <c r="J3784">
        <v>754</v>
      </c>
      <c r="K3784" t="s">
        <v>26</v>
      </c>
    </row>
    <row r="3785" spans="1:11">
      <c r="A3785" s="1">
        <v>45134</v>
      </c>
      <c r="B3785" t="s">
        <v>40</v>
      </c>
      <c r="C3785" t="s">
        <v>36</v>
      </c>
      <c r="D3785">
        <v>1913</v>
      </c>
      <c r="E3785">
        <v>329</v>
      </c>
      <c r="F3785">
        <v>133</v>
      </c>
      <c r="G3785">
        <v>123</v>
      </c>
      <c r="H3785">
        <v>2497</v>
      </c>
      <c r="I3785" s="1">
        <v>45108</v>
      </c>
      <c r="J3785">
        <v>256</v>
      </c>
      <c r="K3785" t="s">
        <v>26</v>
      </c>
    </row>
    <row r="3786" spans="1:11">
      <c r="A3786" s="1">
        <v>45134</v>
      </c>
      <c r="B3786" t="s">
        <v>40</v>
      </c>
      <c r="C3786" t="s">
        <v>67</v>
      </c>
      <c r="D3786">
        <v>3599</v>
      </c>
      <c r="E3786">
        <v>1093</v>
      </c>
      <c r="F3786">
        <v>585</v>
      </c>
      <c r="G3786">
        <v>812</v>
      </c>
      <c r="H3786">
        <v>6088</v>
      </c>
      <c r="I3786" s="1">
        <v>45108</v>
      </c>
      <c r="J3786">
        <v>1397</v>
      </c>
      <c r="K3786" t="s">
        <v>26</v>
      </c>
    </row>
    <row r="3787" spans="1:11">
      <c r="A3787" s="1">
        <v>45134</v>
      </c>
      <c r="B3787" t="s">
        <v>40</v>
      </c>
      <c r="C3787" t="s">
        <v>49</v>
      </c>
      <c r="D3787">
        <v>434</v>
      </c>
      <c r="E3787">
        <v>114</v>
      </c>
      <c r="F3787">
        <v>58</v>
      </c>
      <c r="G3787">
        <v>24</v>
      </c>
      <c r="H3787">
        <v>630</v>
      </c>
      <c r="I3787" s="1">
        <v>45108</v>
      </c>
      <c r="J3787">
        <v>82</v>
      </c>
      <c r="K3787" t="s">
        <v>26</v>
      </c>
    </row>
    <row r="3788" spans="1:11">
      <c r="A3788" s="1">
        <v>45169</v>
      </c>
      <c r="B3788" t="s">
        <v>40</v>
      </c>
      <c r="C3788" t="s">
        <v>50</v>
      </c>
      <c r="D3788">
        <v>87</v>
      </c>
      <c r="E3788">
        <v>34</v>
      </c>
      <c r="F3788">
        <v>31</v>
      </c>
      <c r="G3788">
        <v>24</v>
      </c>
      <c r="H3788">
        <v>176</v>
      </c>
      <c r="I3788" s="1">
        <v>45139</v>
      </c>
      <c r="J3788">
        <v>55</v>
      </c>
      <c r="K3788" t="s">
        <v>26</v>
      </c>
    </row>
    <row r="3789" spans="1:11">
      <c r="A3789" s="1">
        <v>45169</v>
      </c>
      <c r="B3789" t="s">
        <v>40</v>
      </c>
      <c r="C3789" t="s">
        <v>48</v>
      </c>
      <c r="D3789">
        <v>3988</v>
      </c>
      <c r="E3789">
        <v>1645</v>
      </c>
      <c r="F3789">
        <v>807</v>
      </c>
      <c r="G3789">
        <v>253</v>
      </c>
      <c r="H3789">
        <v>6693</v>
      </c>
      <c r="I3789" s="1">
        <v>45139</v>
      </c>
      <c r="J3789">
        <v>1060</v>
      </c>
      <c r="K3789" t="s">
        <v>26</v>
      </c>
    </row>
    <row r="3790" spans="1:11">
      <c r="A3790" s="1">
        <v>45169</v>
      </c>
      <c r="B3790" t="s">
        <v>40</v>
      </c>
      <c r="C3790" t="s">
        <v>33</v>
      </c>
      <c r="D3790">
        <v>73</v>
      </c>
      <c r="E3790">
        <v>46</v>
      </c>
      <c r="F3790">
        <v>8</v>
      </c>
      <c r="G3790">
        <v>4</v>
      </c>
      <c r="H3790">
        <v>130</v>
      </c>
      <c r="I3790" s="1">
        <v>45139</v>
      </c>
      <c r="J3790">
        <v>12</v>
      </c>
      <c r="K3790" t="s">
        <v>26</v>
      </c>
    </row>
    <row r="3791" spans="1:11">
      <c r="A3791" s="1">
        <v>45169</v>
      </c>
      <c r="B3791" t="s">
        <v>40</v>
      </c>
      <c r="C3791" t="s">
        <v>65</v>
      </c>
      <c r="D3791">
        <v>645</v>
      </c>
      <c r="E3791">
        <v>257</v>
      </c>
      <c r="F3791">
        <v>151</v>
      </c>
      <c r="G3791">
        <v>253</v>
      </c>
      <c r="H3791">
        <v>1306</v>
      </c>
      <c r="I3791" s="1">
        <v>45139</v>
      </c>
      <c r="J3791">
        <v>404</v>
      </c>
      <c r="K3791" t="s">
        <v>26</v>
      </c>
    </row>
    <row r="3792" spans="1:11">
      <c r="A3792" s="1">
        <v>45169</v>
      </c>
      <c r="B3792" t="s">
        <v>40</v>
      </c>
      <c r="C3792" t="s">
        <v>30</v>
      </c>
      <c r="D3792">
        <v>500</v>
      </c>
      <c r="E3792">
        <v>146</v>
      </c>
      <c r="F3792">
        <v>55</v>
      </c>
      <c r="G3792">
        <v>119</v>
      </c>
      <c r="H3792">
        <v>820</v>
      </c>
      <c r="I3792" s="1">
        <v>45139</v>
      </c>
      <c r="J3792">
        <v>174</v>
      </c>
      <c r="K3792" t="s">
        <v>26</v>
      </c>
    </row>
    <row r="3793" spans="1:11">
      <c r="A3793" s="1">
        <v>45169</v>
      </c>
      <c r="B3793" t="s">
        <v>40</v>
      </c>
      <c r="C3793" t="s">
        <v>66</v>
      </c>
      <c r="D3793">
        <v>4939</v>
      </c>
      <c r="E3793">
        <v>2040</v>
      </c>
      <c r="F3793">
        <v>935</v>
      </c>
      <c r="G3793">
        <v>1518</v>
      </c>
      <c r="H3793">
        <v>9432</v>
      </c>
      <c r="I3793" s="1">
        <v>45139</v>
      </c>
      <c r="J3793">
        <v>2453</v>
      </c>
      <c r="K3793" t="s">
        <v>26</v>
      </c>
    </row>
    <row r="3794" spans="1:11">
      <c r="A3794" s="1">
        <v>45169</v>
      </c>
      <c r="B3794" t="s">
        <v>40</v>
      </c>
      <c r="C3794" t="s">
        <v>57</v>
      </c>
      <c r="D3794">
        <v>1478</v>
      </c>
      <c r="E3794">
        <v>346</v>
      </c>
      <c r="F3794">
        <v>201</v>
      </c>
      <c r="G3794">
        <v>284</v>
      </c>
      <c r="H3794">
        <v>2308</v>
      </c>
      <c r="I3794" s="1">
        <v>45139</v>
      </c>
      <c r="J3794">
        <v>485</v>
      </c>
      <c r="K3794" t="s">
        <v>26</v>
      </c>
    </row>
    <row r="3795" spans="1:11">
      <c r="A3795" s="1">
        <v>45169</v>
      </c>
      <c r="B3795" t="s">
        <v>40</v>
      </c>
      <c r="C3795" t="s">
        <v>68</v>
      </c>
      <c r="D3795">
        <v>3024</v>
      </c>
      <c r="E3795">
        <v>826</v>
      </c>
      <c r="F3795">
        <v>472</v>
      </c>
      <c r="G3795">
        <v>1007</v>
      </c>
      <c r="H3795">
        <v>5328</v>
      </c>
      <c r="I3795" s="1">
        <v>45139</v>
      </c>
      <c r="J3795">
        <v>1479</v>
      </c>
      <c r="K3795" t="s">
        <v>26</v>
      </c>
    </row>
    <row r="3796" spans="1:11">
      <c r="A3796" s="1">
        <v>45169</v>
      </c>
      <c r="B3796" t="s">
        <v>40</v>
      </c>
      <c r="C3796" t="s">
        <v>47</v>
      </c>
      <c r="D3796">
        <v>472</v>
      </c>
      <c r="E3796">
        <v>103</v>
      </c>
      <c r="F3796">
        <v>49</v>
      </c>
      <c r="G3796">
        <v>33</v>
      </c>
      <c r="H3796">
        <v>656</v>
      </c>
      <c r="I3796" s="1">
        <v>45139</v>
      </c>
      <c r="J3796">
        <v>82</v>
      </c>
      <c r="K3796" t="s">
        <v>26</v>
      </c>
    </row>
    <row r="3797" spans="1:11">
      <c r="A3797" s="1">
        <v>45169</v>
      </c>
      <c r="B3797" t="s">
        <v>40</v>
      </c>
      <c r="C3797" t="s">
        <v>25</v>
      </c>
      <c r="D3797">
        <v>633</v>
      </c>
      <c r="E3797">
        <v>221</v>
      </c>
      <c r="F3797">
        <v>61</v>
      </c>
      <c r="G3797">
        <v>35</v>
      </c>
      <c r="H3797">
        <v>949</v>
      </c>
      <c r="I3797" s="1">
        <v>45139</v>
      </c>
      <c r="J3797">
        <v>96</v>
      </c>
      <c r="K3797" t="s">
        <v>26</v>
      </c>
    </row>
    <row r="3798" spans="1:11">
      <c r="A3798" s="1">
        <v>45169</v>
      </c>
      <c r="B3798" t="s">
        <v>40</v>
      </c>
      <c r="C3798" t="s">
        <v>51</v>
      </c>
      <c r="D3798">
        <v>745</v>
      </c>
      <c r="E3798">
        <v>159</v>
      </c>
      <c r="F3798">
        <v>22</v>
      </c>
      <c r="G3798">
        <v>25</v>
      </c>
      <c r="H3798">
        <v>950</v>
      </c>
      <c r="I3798" s="1">
        <v>45139</v>
      </c>
      <c r="J3798">
        <v>47</v>
      </c>
      <c r="K3798" t="s">
        <v>26</v>
      </c>
    </row>
    <row r="3799" spans="1:11">
      <c r="A3799" s="1">
        <v>45169</v>
      </c>
      <c r="B3799" t="s">
        <v>40</v>
      </c>
      <c r="C3799" t="s">
        <v>45</v>
      </c>
      <c r="D3799">
        <v>158</v>
      </c>
      <c r="E3799">
        <v>28</v>
      </c>
      <c r="F3799">
        <v>23</v>
      </c>
      <c r="G3799">
        <v>8</v>
      </c>
      <c r="H3799">
        <v>216</v>
      </c>
      <c r="I3799" s="1">
        <v>45139</v>
      </c>
      <c r="J3799">
        <v>31</v>
      </c>
      <c r="K3799" t="s">
        <v>26</v>
      </c>
    </row>
    <row r="3800" spans="1:11">
      <c r="A3800" s="1">
        <v>45169</v>
      </c>
      <c r="B3800" t="s">
        <v>40</v>
      </c>
      <c r="C3800" t="s">
        <v>54</v>
      </c>
      <c r="D3800">
        <v>1519</v>
      </c>
      <c r="E3800">
        <v>321</v>
      </c>
      <c r="F3800">
        <v>21</v>
      </c>
      <c r="G3800">
        <v>35</v>
      </c>
      <c r="H3800">
        <v>1895</v>
      </c>
      <c r="I3800" s="1">
        <v>45139</v>
      </c>
      <c r="J3800">
        <v>56</v>
      </c>
      <c r="K3800" t="s">
        <v>26</v>
      </c>
    </row>
    <row r="3801" spans="1:11">
      <c r="A3801" s="1">
        <v>45169</v>
      </c>
      <c r="B3801" t="s">
        <v>40</v>
      </c>
      <c r="C3801" t="s">
        <v>22</v>
      </c>
      <c r="D3801">
        <v>580</v>
      </c>
      <c r="E3801">
        <v>66</v>
      </c>
      <c r="F3801">
        <v>14</v>
      </c>
      <c r="G3801">
        <v>6</v>
      </c>
      <c r="H3801">
        <v>666</v>
      </c>
      <c r="I3801" s="1">
        <v>45139</v>
      </c>
      <c r="J3801">
        <v>20</v>
      </c>
      <c r="K3801" t="s">
        <v>26</v>
      </c>
    </row>
    <row r="3802" spans="1:11">
      <c r="A3802" s="1">
        <v>45169</v>
      </c>
      <c r="B3802" t="s">
        <v>40</v>
      </c>
      <c r="C3802" t="s">
        <v>46</v>
      </c>
      <c r="D3802">
        <v>402</v>
      </c>
      <c r="E3802">
        <v>144</v>
      </c>
      <c r="F3802">
        <v>13</v>
      </c>
      <c r="G3802">
        <v>4</v>
      </c>
      <c r="H3802">
        <v>563</v>
      </c>
      <c r="I3802" s="1">
        <v>45139</v>
      </c>
      <c r="J3802">
        <v>17</v>
      </c>
      <c r="K3802" t="s">
        <v>26</v>
      </c>
    </row>
    <row r="3803" spans="1:11">
      <c r="A3803" s="1">
        <v>45169</v>
      </c>
      <c r="B3803" t="s">
        <v>40</v>
      </c>
      <c r="C3803" t="s">
        <v>31</v>
      </c>
      <c r="D3803">
        <v>630</v>
      </c>
      <c r="E3803">
        <v>116</v>
      </c>
      <c r="F3803">
        <v>50</v>
      </c>
      <c r="G3803">
        <v>47</v>
      </c>
      <c r="H3803">
        <v>842</v>
      </c>
      <c r="I3803" s="1">
        <v>45139</v>
      </c>
      <c r="J3803">
        <v>97</v>
      </c>
      <c r="K3803" t="s">
        <v>26</v>
      </c>
    </row>
    <row r="3804" spans="1:11">
      <c r="A3804" s="1">
        <v>45169</v>
      </c>
      <c r="B3804" t="s">
        <v>40</v>
      </c>
      <c r="C3804" t="s">
        <v>63</v>
      </c>
      <c r="D3804">
        <v>1937</v>
      </c>
      <c r="E3804">
        <v>696</v>
      </c>
      <c r="F3804">
        <v>183</v>
      </c>
      <c r="G3804">
        <v>41</v>
      </c>
      <c r="H3804">
        <v>2857</v>
      </c>
      <c r="I3804" s="1">
        <v>45139</v>
      </c>
      <c r="J3804">
        <v>224</v>
      </c>
      <c r="K3804" t="s">
        <v>26</v>
      </c>
    </row>
    <row r="3805" spans="1:11">
      <c r="A3805" s="1">
        <v>45169</v>
      </c>
      <c r="B3805" t="s">
        <v>40</v>
      </c>
      <c r="C3805" t="s">
        <v>60</v>
      </c>
      <c r="D3805">
        <v>1762</v>
      </c>
      <c r="E3805">
        <v>551</v>
      </c>
      <c r="F3805">
        <v>294</v>
      </c>
      <c r="G3805">
        <v>196</v>
      </c>
      <c r="H3805">
        <v>2803</v>
      </c>
      <c r="I3805" s="1">
        <v>45139</v>
      </c>
      <c r="J3805">
        <v>490</v>
      </c>
      <c r="K3805" t="s">
        <v>26</v>
      </c>
    </row>
    <row r="3806" spans="1:11">
      <c r="A3806" s="1">
        <v>45169</v>
      </c>
      <c r="B3806" t="s">
        <v>40</v>
      </c>
      <c r="C3806" t="s">
        <v>61</v>
      </c>
      <c r="D3806">
        <v>2370</v>
      </c>
      <c r="E3806">
        <v>681</v>
      </c>
      <c r="F3806">
        <v>281</v>
      </c>
      <c r="G3806">
        <v>258</v>
      </c>
      <c r="H3806">
        <v>3590</v>
      </c>
      <c r="I3806" s="1">
        <v>45139</v>
      </c>
      <c r="J3806">
        <v>539</v>
      </c>
      <c r="K3806" t="s">
        <v>26</v>
      </c>
    </row>
    <row r="3807" spans="1:11">
      <c r="A3807" s="1">
        <v>45169</v>
      </c>
      <c r="B3807" t="s">
        <v>40</v>
      </c>
      <c r="C3807" t="s">
        <v>62</v>
      </c>
      <c r="D3807">
        <v>347</v>
      </c>
      <c r="E3807">
        <v>97</v>
      </c>
      <c r="F3807">
        <v>54</v>
      </c>
      <c r="G3807">
        <v>15</v>
      </c>
      <c r="H3807">
        <v>512</v>
      </c>
      <c r="I3807" s="1">
        <v>45139</v>
      </c>
      <c r="J3807">
        <v>69</v>
      </c>
      <c r="K3807" t="s">
        <v>26</v>
      </c>
    </row>
    <row r="3808" spans="1:11">
      <c r="A3808" s="1">
        <v>45169</v>
      </c>
      <c r="B3808" t="s">
        <v>40</v>
      </c>
      <c r="C3808" t="s">
        <v>69</v>
      </c>
      <c r="D3808">
        <v>3575</v>
      </c>
      <c r="E3808">
        <v>1697</v>
      </c>
      <c r="F3808">
        <v>738</v>
      </c>
      <c r="G3808">
        <v>1095</v>
      </c>
      <c r="H3808">
        <v>7106</v>
      </c>
      <c r="I3808" s="1">
        <v>45139</v>
      </c>
      <c r="J3808">
        <v>1833</v>
      </c>
      <c r="K3808" t="s">
        <v>26</v>
      </c>
    </row>
    <row r="3809" spans="1:11">
      <c r="A3809" s="1">
        <v>45169</v>
      </c>
      <c r="B3809" t="s">
        <v>40</v>
      </c>
      <c r="C3809" t="s">
        <v>29</v>
      </c>
      <c r="D3809">
        <v>485</v>
      </c>
      <c r="E3809">
        <v>190</v>
      </c>
      <c r="F3809">
        <v>114</v>
      </c>
      <c r="G3809">
        <v>51</v>
      </c>
      <c r="H3809">
        <v>839</v>
      </c>
      <c r="I3809" s="1">
        <v>45139</v>
      </c>
      <c r="J3809">
        <v>165</v>
      </c>
      <c r="K3809" t="s">
        <v>26</v>
      </c>
    </row>
    <row r="3810" spans="1:11">
      <c r="A3810" s="1">
        <v>45169</v>
      </c>
      <c r="B3810" t="s">
        <v>40</v>
      </c>
      <c r="C3810" t="s">
        <v>70</v>
      </c>
      <c r="D3810">
        <v>507</v>
      </c>
      <c r="E3810">
        <v>246</v>
      </c>
      <c r="F3810">
        <v>45</v>
      </c>
      <c r="G3810">
        <v>9</v>
      </c>
      <c r="H3810">
        <v>808</v>
      </c>
      <c r="I3810" s="1">
        <v>45139</v>
      </c>
      <c r="J3810">
        <v>54</v>
      </c>
      <c r="K3810" t="s">
        <v>26</v>
      </c>
    </row>
    <row r="3811" spans="1:11">
      <c r="A3811" s="1">
        <v>45169</v>
      </c>
      <c r="B3811" t="s">
        <v>40</v>
      </c>
      <c r="C3811" t="s">
        <v>71</v>
      </c>
      <c r="D3811">
        <v>2576</v>
      </c>
      <c r="E3811">
        <v>632</v>
      </c>
      <c r="F3811">
        <v>292</v>
      </c>
      <c r="G3811">
        <v>434</v>
      </c>
      <c r="H3811">
        <v>3934</v>
      </c>
      <c r="I3811" s="1">
        <v>45139</v>
      </c>
      <c r="J3811">
        <v>726</v>
      </c>
      <c r="K3811" t="s">
        <v>26</v>
      </c>
    </row>
    <row r="3812" spans="1:11">
      <c r="A3812" s="1">
        <v>45169</v>
      </c>
      <c r="B3812" t="s">
        <v>40</v>
      </c>
      <c r="C3812" t="s">
        <v>36</v>
      </c>
      <c r="D3812">
        <v>1831</v>
      </c>
      <c r="E3812">
        <v>344</v>
      </c>
      <c r="F3812">
        <v>136</v>
      </c>
      <c r="G3812">
        <v>117</v>
      </c>
      <c r="H3812">
        <v>2429</v>
      </c>
      <c r="I3812" s="1">
        <v>45139</v>
      </c>
      <c r="J3812">
        <v>253</v>
      </c>
      <c r="K3812" t="s">
        <v>26</v>
      </c>
    </row>
    <row r="3813" spans="1:11">
      <c r="A3813" s="1">
        <v>45169</v>
      </c>
      <c r="B3813" t="s">
        <v>40</v>
      </c>
      <c r="C3813" t="s">
        <v>67</v>
      </c>
      <c r="D3813">
        <v>3217</v>
      </c>
      <c r="E3813">
        <v>1090</v>
      </c>
      <c r="F3813">
        <v>581</v>
      </c>
      <c r="G3813">
        <v>791</v>
      </c>
      <c r="H3813">
        <v>5679</v>
      </c>
      <c r="I3813" s="1">
        <v>45139</v>
      </c>
      <c r="J3813">
        <v>1372</v>
      </c>
      <c r="K3813" t="s">
        <v>26</v>
      </c>
    </row>
    <row r="3814" spans="1:11">
      <c r="A3814" s="1">
        <v>45169</v>
      </c>
      <c r="B3814" t="s">
        <v>40</v>
      </c>
      <c r="C3814" t="s">
        <v>49</v>
      </c>
      <c r="D3814">
        <v>412</v>
      </c>
      <c r="E3814">
        <v>153</v>
      </c>
      <c r="F3814">
        <v>61</v>
      </c>
      <c r="G3814">
        <v>29</v>
      </c>
      <c r="H3814">
        <v>654</v>
      </c>
      <c r="I3814" s="1">
        <v>45139</v>
      </c>
      <c r="J3814">
        <v>90</v>
      </c>
      <c r="K3814" t="s">
        <v>26</v>
      </c>
    </row>
    <row r="3815" spans="1:11">
      <c r="A3815" s="1">
        <v>45197</v>
      </c>
      <c r="B3815" t="s">
        <v>40</v>
      </c>
      <c r="C3815" t="s">
        <v>50</v>
      </c>
      <c r="D3815">
        <v>75</v>
      </c>
      <c r="E3815">
        <v>30</v>
      </c>
      <c r="F3815">
        <v>29</v>
      </c>
      <c r="G3815">
        <v>28</v>
      </c>
      <c r="H3815">
        <v>162</v>
      </c>
      <c r="I3815" s="1">
        <v>45170</v>
      </c>
      <c r="J3815">
        <v>57</v>
      </c>
      <c r="K3815" t="s">
        <v>26</v>
      </c>
    </row>
    <row r="3816" spans="1:11">
      <c r="A3816" s="1">
        <v>45197</v>
      </c>
      <c r="B3816" t="s">
        <v>40</v>
      </c>
      <c r="C3816" t="s">
        <v>48</v>
      </c>
      <c r="D3816">
        <v>3994</v>
      </c>
      <c r="E3816">
        <v>1581</v>
      </c>
      <c r="F3816">
        <v>740</v>
      </c>
      <c r="G3816">
        <v>286</v>
      </c>
      <c r="H3816">
        <v>6602</v>
      </c>
      <c r="I3816" s="1">
        <v>45170</v>
      </c>
      <c r="J3816">
        <v>1026</v>
      </c>
      <c r="K3816" t="s">
        <v>26</v>
      </c>
    </row>
    <row r="3817" spans="1:11">
      <c r="A3817" s="1">
        <v>45197</v>
      </c>
      <c r="B3817" t="s">
        <v>40</v>
      </c>
      <c r="C3817" t="s">
        <v>65</v>
      </c>
      <c r="D3817">
        <v>658</v>
      </c>
      <c r="E3817">
        <v>270</v>
      </c>
      <c r="F3817">
        <v>140</v>
      </c>
      <c r="G3817">
        <v>234</v>
      </c>
      <c r="H3817">
        <v>1302</v>
      </c>
      <c r="I3817" s="1">
        <v>45170</v>
      </c>
      <c r="J3817">
        <v>374</v>
      </c>
      <c r="K3817" t="s">
        <v>26</v>
      </c>
    </row>
    <row r="3818" spans="1:11">
      <c r="A3818" s="1">
        <v>45197</v>
      </c>
      <c r="B3818" t="s">
        <v>40</v>
      </c>
      <c r="C3818" t="s">
        <v>30</v>
      </c>
      <c r="D3818">
        <v>485</v>
      </c>
      <c r="E3818">
        <v>149</v>
      </c>
      <c r="F3818">
        <v>59</v>
      </c>
      <c r="G3818">
        <v>21</v>
      </c>
      <c r="H3818">
        <v>714</v>
      </c>
      <c r="I3818" s="1">
        <v>45170</v>
      </c>
      <c r="J3818">
        <v>80</v>
      </c>
      <c r="K3818" t="s">
        <v>26</v>
      </c>
    </row>
    <row r="3819" spans="1:11">
      <c r="A3819" s="1">
        <v>45197</v>
      </c>
      <c r="B3819" t="s">
        <v>40</v>
      </c>
      <c r="C3819" t="s">
        <v>66</v>
      </c>
      <c r="D3819">
        <v>5010</v>
      </c>
      <c r="E3819">
        <v>2001</v>
      </c>
      <c r="F3819">
        <v>846</v>
      </c>
      <c r="G3819">
        <v>1400</v>
      </c>
      <c r="H3819">
        <v>9257</v>
      </c>
      <c r="I3819" s="1">
        <v>45170</v>
      </c>
      <c r="J3819">
        <v>2246</v>
      </c>
      <c r="K3819" t="s">
        <v>26</v>
      </c>
    </row>
    <row r="3820" spans="1:11">
      <c r="A3820" s="1">
        <v>45197</v>
      </c>
      <c r="B3820" t="s">
        <v>40</v>
      </c>
      <c r="C3820" t="s">
        <v>56</v>
      </c>
      <c r="D3820">
        <v>574</v>
      </c>
      <c r="E3820">
        <v>107</v>
      </c>
      <c r="F3820">
        <v>11</v>
      </c>
      <c r="G3820">
        <v>5</v>
      </c>
      <c r="H3820">
        <v>697</v>
      </c>
      <c r="I3820" s="1">
        <v>45170</v>
      </c>
      <c r="J3820">
        <v>16</v>
      </c>
      <c r="K3820" t="s">
        <v>26</v>
      </c>
    </row>
    <row r="3821" spans="1:11">
      <c r="A3821" s="1">
        <v>45197</v>
      </c>
      <c r="B3821" t="s">
        <v>40</v>
      </c>
      <c r="C3821" t="s">
        <v>57</v>
      </c>
      <c r="D3821">
        <v>1381</v>
      </c>
      <c r="E3821">
        <v>321</v>
      </c>
      <c r="F3821">
        <v>207</v>
      </c>
      <c r="G3821">
        <v>232</v>
      </c>
      <c r="H3821">
        <v>2141</v>
      </c>
      <c r="I3821" s="1">
        <v>45170</v>
      </c>
      <c r="J3821">
        <v>439</v>
      </c>
      <c r="K3821" t="s">
        <v>26</v>
      </c>
    </row>
    <row r="3822" spans="1:11">
      <c r="A3822" s="1">
        <v>45197</v>
      </c>
      <c r="B3822" t="s">
        <v>40</v>
      </c>
      <c r="C3822" t="s">
        <v>68</v>
      </c>
      <c r="D3822">
        <v>3176</v>
      </c>
      <c r="E3822">
        <v>833</v>
      </c>
      <c r="F3822">
        <v>466</v>
      </c>
      <c r="G3822">
        <v>963</v>
      </c>
      <c r="H3822">
        <v>5439</v>
      </c>
      <c r="I3822" s="1">
        <v>45170</v>
      </c>
      <c r="J3822">
        <v>1429</v>
      </c>
      <c r="K3822" t="s">
        <v>26</v>
      </c>
    </row>
    <row r="3823" spans="1:11">
      <c r="A3823" s="1">
        <v>45197</v>
      </c>
      <c r="B3823" t="s">
        <v>40</v>
      </c>
      <c r="C3823" t="s">
        <v>47</v>
      </c>
      <c r="D3823">
        <v>517</v>
      </c>
      <c r="E3823">
        <v>102</v>
      </c>
      <c r="F3823">
        <v>42</v>
      </c>
      <c r="G3823">
        <v>29</v>
      </c>
      <c r="H3823">
        <v>691</v>
      </c>
      <c r="I3823" s="1">
        <v>45170</v>
      </c>
      <c r="J3823">
        <v>71</v>
      </c>
      <c r="K3823" t="s">
        <v>26</v>
      </c>
    </row>
    <row r="3824" spans="1:11">
      <c r="A3824" s="1">
        <v>45197</v>
      </c>
      <c r="B3824" t="s">
        <v>40</v>
      </c>
      <c r="C3824" t="s">
        <v>25</v>
      </c>
      <c r="D3824">
        <v>698</v>
      </c>
      <c r="E3824">
        <v>228</v>
      </c>
      <c r="F3824">
        <v>54</v>
      </c>
      <c r="G3824">
        <v>39</v>
      </c>
      <c r="H3824">
        <v>1020</v>
      </c>
      <c r="I3824" s="1">
        <v>45170</v>
      </c>
      <c r="J3824">
        <v>93</v>
      </c>
      <c r="K3824" t="s">
        <v>26</v>
      </c>
    </row>
    <row r="3825" spans="1:11">
      <c r="A3825" s="1">
        <v>45197</v>
      </c>
      <c r="B3825" t="s">
        <v>40</v>
      </c>
      <c r="C3825" t="s">
        <v>51</v>
      </c>
      <c r="D3825">
        <v>792</v>
      </c>
      <c r="E3825">
        <v>176</v>
      </c>
      <c r="F3825">
        <v>22</v>
      </c>
      <c r="G3825">
        <v>15</v>
      </c>
      <c r="H3825">
        <v>1006</v>
      </c>
      <c r="I3825" s="1">
        <v>45170</v>
      </c>
      <c r="J3825">
        <v>37</v>
      </c>
      <c r="K3825" t="s">
        <v>26</v>
      </c>
    </row>
    <row r="3826" spans="1:11">
      <c r="A3826" s="1">
        <v>45197</v>
      </c>
      <c r="B3826" t="s">
        <v>40</v>
      </c>
      <c r="C3826" t="s">
        <v>45</v>
      </c>
      <c r="D3826">
        <v>160</v>
      </c>
      <c r="E3826">
        <v>27</v>
      </c>
      <c r="F3826">
        <v>21</v>
      </c>
      <c r="G3826">
        <v>9</v>
      </c>
      <c r="H3826">
        <v>218</v>
      </c>
      <c r="I3826" s="1">
        <v>45170</v>
      </c>
      <c r="J3826">
        <v>30</v>
      </c>
      <c r="K3826" t="s">
        <v>26</v>
      </c>
    </row>
    <row r="3827" spans="1:11">
      <c r="A3827" s="1">
        <v>45197</v>
      </c>
      <c r="B3827" t="s">
        <v>40</v>
      </c>
      <c r="C3827" t="s">
        <v>54</v>
      </c>
      <c r="D3827">
        <v>1461</v>
      </c>
      <c r="E3827">
        <v>343</v>
      </c>
      <c r="F3827">
        <v>32</v>
      </c>
      <c r="G3827">
        <v>33</v>
      </c>
      <c r="H3827">
        <v>1869</v>
      </c>
      <c r="I3827" s="1">
        <v>45170</v>
      </c>
      <c r="J3827">
        <v>65</v>
      </c>
      <c r="K3827" t="s">
        <v>26</v>
      </c>
    </row>
    <row r="3828" spans="1:11">
      <c r="A3828" s="1">
        <v>45197</v>
      </c>
      <c r="B3828" t="s">
        <v>40</v>
      </c>
      <c r="C3828" t="s">
        <v>22</v>
      </c>
      <c r="D3828">
        <v>545</v>
      </c>
      <c r="E3828">
        <v>74</v>
      </c>
      <c r="F3828">
        <v>15</v>
      </c>
      <c r="G3828">
        <v>4</v>
      </c>
      <c r="H3828">
        <v>638</v>
      </c>
      <c r="I3828" s="1">
        <v>45170</v>
      </c>
      <c r="J3828">
        <v>19</v>
      </c>
      <c r="K3828" t="s">
        <v>26</v>
      </c>
    </row>
    <row r="3829" spans="1:11">
      <c r="A3829" s="1">
        <v>45197</v>
      </c>
      <c r="B3829" t="s">
        <v>40</v>
      </c>
      <c r="C3829" t="s">
        <v>46</v>
      </c>
      <c r="D3829">
        <v>441</v>
      </c>
      <c r="E3829">
        <v>136</v>
      </c>
      <c r="F3829">
        <v>14</v>
      </c>
      <c r="G3829">
        <v>4</v>
      </c>
      <c r="H3829">
        <v>595</v>
      </c>
      <c r="I3829" s="1">
        <v>45170</v>
      </c>
      <c r="J3829">
        <v>18</v>
      </c>
      <c r="K3829" t="s">
        <v>26</v>
      </c>
    </row>
    <row r="3830" spans="1:11">
      <c r="A3830" s="1">
        <v>45197</v>
      </c>
      <c r="B3830" t="s">
        <v>40</v>
      </c>
      <c r="C3830" t="s">
        <v>31</v>
      </c>
      <c r="D3830">
        <v>591</v>
      </c>
      <c r="E3830">
        <v>149</v>
      </c>
      <c r="F3830">
        <v>52</v>
      </c>
      <c r="G3830">
        <v>46</v>
      </c>
      <c r="H3830">
        <v>838</v>
      </c>
      <c r="I3830" s="1">
        <v>45170</v>
      </c>
      <c r="J3830">
        <v>98</v>
      </c>
      <c r="K3830" t="s">
        <v>26</v>
      </c>
    </row>
    <row r="3831" spans="1:11">
      <c r="A3831" s="1">
        <v>45197</v>
      </c>
      <c r="B3831" t="s">
        <v>40</v>
      </c>
      <c r="C3831" t="s">
        <v>63</v>
      </c>
      <c r="D3831">
        <v>2048</v>
      </c>
      <c r="E3831">
        <v>832</v>
      </c>
      <c r="F3831">
        <v>199</v>
      </c>
      <c r="G3831">
        <v>54</v>
      </c>
      <c r="H3831">
        <v>3133</v>
      </c>
      <c r="I3831" s="1">
        <v>45170</v>
      </c>
      <c r="J3831">
        <v>253</v>
      </c>
      <c r="K3831" t="s">
        <v>26</v>
      </c>
    </row>
    <row r="3832" spans="1:11">
      <c r="A3832" s="1">
        <v>45197</v>
      </c>
      <c r="B3832" t="s">
        <v>40</v>
      </c>
      <c r="C3832" t="s">
        <v>60</v>
      </c>
      <c r="D3832">
        <v>1907</v>
      </c>
      <c r="E3832">
        <v>499</v>
      </c>
      <c r="F3832">
        <v>302</v>
      </c>
      <c r="G3832">
        <v>183</v>
      </c>
      <c r="H3832">
        <v>2892</v>
      </c>
      <c r="I3832" s="1">
        <v>45170</v>
      </c>
      <c r="J3832">
        <v>485</v>
      </c>
      <c r="K3832" t="s">
        <v>26</v>
      </c>
    </row>
    <row r="3833" spans="1:11">
      <c r="A3833" s="1">
        <v>45197</v>
      </c>
      <c r="B3833" t="s">
        <v>40</v>
      </c>
      <c r="C3833" t="s">
        <v>61</v>
      </c>
      <c r="D3833">
        <v>2476</v>
      </c>
      <c r="E3833">
        <v>708</v>
      </c>
      <c r="F3833">
        <v>258</v>
      </c>
      <c r="G3833">
        <v>280</v>
      </c>
      <c r="H3833">
        <v>3722</v>
      </c>
      <c r="I3833" s="1">
        <v>45170</v>
      </c>
      <c r="J3833">
        <v>538</v>
      </c>
      <c r="K3833" t="s">
        <v>26</v>
      </c>
    </row>
    <row r="3834" spans="1:11">
      <c r="A3834" s="1">
        <v>45197</v>
      </c>
      <c r="B3834" t="s">
        <v>40</v>
      </c>
      <c r="C3834" t="s">
        <v>62</v>
      </c>
      <c r="D3834">
        <v>407</v>
      </c>
      <c r="E3834">
        <v>93</v>
      </c>
      <c r="F3834">
        <v>60</v>
      </c>
      <c r="G3834">
        <v>19</v>
      </c>
      <c r="H3834">
        <v>580</v>
      </c>
      <c r="I3834" s="1">
        <v>45170</v>
      </c>
      <c r="J3834">
        <v>79</v>
      </c>
      <c r="K3834" t="s">
        <v>26</v>
      </c>
    </row>
    <row r="3835" spans="1:11">
      <c r="A3835" s="1">
        <v>45197</v>
      </c>
      <c r="B3835" t="s">
        <v>40</v>
      </c>
      <c r="C3835" t="s">
        <v>69</v>
      </c>
      <c r="D3835">
        <v>3435</v>
      </c>
      <c r="E3835">
        <v>1709</v>
      </c>
      <c r="F3835">
        <v>706</v>
      </c>
      <c r="G3835">
        <v>1063</v>
      </c>
      <c r="H3835">
        <v>6912</v>
      </c>
      <c r="I3835" s="1">
        <v>45170</v>
      </c>
      <c r="J3835">
        <v>1769</v>
      </c>
      <c r="K3835" t="s">
        <v>26</v>
      </c>
    </row>
    <row r="3836" spans="1:11">
      <c r="A3836" s="1">
        <v>45197</v>
      </c>
      <c r="B3836" t="s">
        <v>40</v>
      </c>
      <c r="C3836" t="s">
        <v>29</v>
      </c>
      <c r="D3836">
        <v>506</v>
      </c>
      <c r="E3836">
        <v>222</v>
      </c>
      <c r="F3836">
        <v>113</v>
      </c>
      <c r="G3836">
        <v>51</v>
      </c>
      <c r="H3836">
        <v>893</v>
      </c>
      <c r="I3836" s="1">
        <v>45170</v>
      </c>
      <c r="J3836">
        <v>164</v>
      </c>
      <c r="K3836" t="s">
        <v>26</v>
      </c>
    </row>
    <row r="3837" spans="1:11">
      <c r="A3837" s="1">
        <v>45197</v>
      </c>
      <c r="B3837" t="s">
        <v>40</v>
      </c>
      <c r="C3837" t="s">
        <v>70</v>
      </c>
      <c r="D3837">
        <v>546</v>
      </c>
      <c r="E3837">
        <v>215</v>
      </c>
      <c r="F3837">
        <v>59</v>
      </c>
      <c r="G3837">
        <v>9</v>
      </c>
      <c r="H3837">
        <v>828</v>
      </c>
      <c r="I3837" s="1">
        <v>45170</v>
      </c>
      <c r="J3837">
        <v>68</v>
      </c>
      <c r="K3837" t="s">
        <v>26</v>
      </c>
    </row>
    <row r="3838" spans="1:11">
      <c r="A3838" s="1">
        <v>45197</v>
      </c>
      <c r="B3838" t="s">
        <v>40</v>
      </c>
      <c r="C3838" t="s">
        <v>71</v>
      </c>
      <c r="D3838">
        <v>2595</v>
      </c>
      <c r="E3838">
        <v>652</v>
      </c>
      <c r="F3838">
        <v>297</v>
      </c>
      <c r="G3838">
        <v>398</v>
      </c>
      <c r="H3838">
        <v>3942</v>
      </c>
      <c r="I3838" s="1">
        <v>45170</v>
      </c>
      <c r="J3838">
        <v>695</v>
      </c>
      <c r="K3838" t="s">
        <v>26</v>
      </c>
    </row>
    <row r="3839" spans="1:11">
      <c r="A3839" s="1">
        <v>45197</v>
      </c>
      <c r="B3839" t="s">
        <v>40</v>
      </c>
      <c r="C3839" t="s">
        <v>36</v>
      </c>
      <c r="D3839">
        <v>1925</v>
      </c>
      <c r="E3839">
        <v>344</v>
      </c>
      <c r="F3839">
        <v>147</v>
      </c>
      <c r="G3839">
        <v>113</v>
      </c>
      <c r="H3839">
        <v>2530</v>
      </c>
      <c r="I3839" s="1">
        <v>45170</v>
      </c>
      <c r="J3839">
        <v>260</v>
      </c>
      <c r="K3839" t="s">
        <v>26</v>
      </c>
    </row>
    <row r="3840" spans="1:11">
      <c r="A3840" s="1">
        <v>45197</v>
      </c>
      <c r="B3840" t="s">
        <v>40</v>
      </c>
      <c r="C3840" t="s">
        <v>59</v>
      </c>
      <c r="D3840">
        <v>1863</v>
      </c>
      <c r="E3840">
        <v>756</v>
      </c>
      <c r="F3840">
        <v>160</v>
      </c>
      <c r="G3840">
        <v>4</v>
      </c>
      <c r="H3840">
        <v>2784</v>
      </c>
      <c r="I3840" s="1">
        <v>45170</v>
      </c>
      <c r="J3840">
        <v>164</v>
      </c>
      <c r="K3840" t="s">
        <v>26</v>
      </c>
    </row>
    <row r="3841" spans="1:11">
      <c r="A3841" s="1">
        <v>45197</v>
      </c>
      <c r="B3841" t="s">
        <v>40</v>
      </c>
      <c r="C3841" t="s">
        <v>67</v>
      </c>
      <c r="D3841">
        <v>3072</v>
      </c>
      <c r="E3841">
        <v>1074</v>
      </c>
      <c r="F3841">
        <v>564</v>
      </c>
      <c r="G3841">
        <v>764</v>
      </c>
      <c r="H3841">
        <v>5474</v>
      </c>
      <c r="I3841" s="1">
        <v>45170</v>
      </c>
      <c r="J3841">
        <v>1328</v>
      </c>
      <c r="K3841" t="s">
        <v>26</v>
      </c>
    </row>
    <row r="3842" spans="1:11">
      <c r="A3842" s="1">
        <v>45197</v>
      </c>
      <c r="B3842" t="s">
        <v>40</v>
      </c>
      <c r="C3842" t="s">
        <v>49</v>
      </c>
      <c r="D3842">
        <v>440</v>
      </c>
      <c r="E3842">
        <v>150</v>
      </c>
      <c r="F3842">
        <v>66</v>
      </c>
      <c r="G3842">
        <v>35</v>
      </c>
      <c r="H3842">
        <v>692</v>
      </c>
      <c r="I3842" s="1">
        <v>45170</v>
      </c>
      <c r="J3842">
        <v>101</v>
      </c>
      <c r="K3842" t="s">
        <v>26</v>
      </c>
    </row>
    <row r="3843" spans="1:11">
      <c r="A3843" s="1">
        <v>45225</v>
      </c>
      <c r="B3843" t="s">
        <v>40</v>
      </c>
      <c r="C3843" t="s">
        <v>50</v>
      </c>
      <c r="D3843">
        <v>62</v>
      </c>
      <c r="E3843">
        <v>32</v>
      </c>
      <c r="F3843">
        <v>26</v>
      </c>
      <c r="G3843">
        <v>26</v>
      </c>
      <c r="H3843">
        <v>146</v>
      </c>
      <c r="I3843" s="1">
        <v>45200</v>
      </c>
      <c r="J3843">
        <v>52</v>
      </c>
      <c r="K3843" t="s">
        <v>26</v>
      </c>
    </row>
    <row r="3844" spans="1:11">
      <c r="A3844" s="1">
        <v>45225</v>
      </c>
      <c r="B3844" t="s">
        <v>40</v>
      </c>
      <c r="C3844" t="s">
        <v>48</v>
      </c>
      <c r="D3844">
        <v>4246</v>
      </c>
      <c r="E3844">
        <v>1405</v>
      </c>
      <c r="F3844">
        <v>599</v>
      </c>
      <c r="G3844">
        <v>291</v>
      </c>
      <c r="H3844">
        <v>6542</v>
      </c>
      <c r="I3844" s="1">
        <v>45200</v>
      </c>
      <c r="J3844">
        <v>890</v>
      </c>
      <c r="K3844" t="s">
        <v>26</v>
      </c>
    </row>
    <row r="3845" spans="1:11">
      <c r="A3845" s="1">
        <v>45225</v>
      </c>
      <c r="B3845" t="s">
        <v>40</v>
      </c>
      <c r="C3845" t="s">
        <v>33</v>
      </c>
      <c r="D3845">
        <v>71</v>
      </c>
      <c r="E3845">
        <v>60</v>
      </c>
      <c r="F3845">
        <v>12</v>
      </c>
      <c r="G3845">
        <v>4</v>
      </c>
      <c r="H3845">
        <v>147</v>
      </c>
      <c r="I3845" s="1">
        <v>45200</v>
      </c>
      <c r="J3845">
        <v>16</v>
      </c>
      <c r="K3845" t="s">
        <v>26</v>
      </c>
    </row>
    <row r="3846" spans="1:11">
      <c r="A3846" s="1">
        <v>45225</v>
      </c>
      <c r="B3846" t="s">
        <v>40</v>
      </c>
      <c r="C3846" t="s">
        <v>65</v>
      </c>
      <c r="D3846">
        <v>619</v>
      </c>
      <c r="E3846">
        <v>265</v>
      </c>
      <c r="F3846">
        <v>138</v>
      </c>
      <c r="G3846">
        <v>232</v>
      </c>
      <c r="H3846">
        <v>1254</v>
      </c>
      <c r="I3846" s="1">
        <v>45200</v>
      </c>
      <c r="J3846">
        <v>370</v>
      </c>
      <c r="K3846" t="s">
        <v>26</v>
      </c>
    </row>
    <row r="3847" spans="1:11">
      <c r="A3847" s="1">
        <v>45225</v>
      </c>
      <c r="B3847" t="s">
        <v>40</v>
      </c>
      <c r="C3847" t="s">
        <v>30</v>
      </c>
      <c r="D3847">
        <v>465</v>
      </c>
      <c r="E3847">
        <v>147</v>
      </c>
      <c r="F3847">
        <v>57</v>
      </c>
      <c r="G3847">
        <v>17</v>
      </c>
      <c r="H3847">
        <v>686</v>
      </c>
      <c r="I3847" s="1">
        <v>45200</v>
      </c>
      <c r="J3847">
        <v>74</v>
      </c>
      <c r="K3847" t="s">
        <v>26</v>
      </c>
    </row>
    <row r="3848" spans="1:11">
      <c r="A3848" s="1">
        <v>45225</v>
      </c>
      <c r="B3848" t="s">
        <v>40</v>
      </c>
      <c r="C3848" t="s">
        <v>66</v>
      </c>
      <c r="D3848">
        <v>5306</v>
      </c>
      <c r="E3848">
        <v>1941</v>
      </c>
      <c r="F3848">
        <v>849</v>
      </c>
      <c r="G3848">
        <v>1383</v>
      </c>
      <c r="H3848">
        <v>9479</v>
      </c>
      <c r="I3848" s="1">
        <v>45200</v>
      </c>
      <c r="J3848">
        <v>2232</v>
      </c>
      <c r="K3848" t="s">
        <v>26</v>
      </c>
    </row>
    <row r="3849" spans="1:11">
      <c r="A3849" s="1">
        <v>45225</v>
      </c>
      <c r="B3849" t="s">
        <v>40</v>
      </c>
      <c r="C3849" t="s">
        <v>56</v>
      </c>
      <c r="D3849">
        <v>568</v>
      </c>
      <c r="E3849">
        <v>107</v>
      </c>
      <c r="F3849">
        <v>17</v>
      </c>
      <c r="G3849">
        <v>5</v>
      </c>
      <c r="H3849">
        <v>697</v>
      </c>
      <c r="I3849" s="1">
        <v>45200</v>
      </c>
      <c r="J3849">
        <v>22</v>
      </c>
      <c r="K3849" t="s">
        <v>26</v>
      </c>
    </row>
    <row r="3850" spans="1:11">
      <c r="A3850" s="1">
        <v>45225</v>
      </c>
      <c r="B3850" t="s">
        <v>40</v>
      </c>
      <c r="C3850" t="s">
        <v>57</v>
      </c>
      <c r="D3850">
        <v>1159</v>
      </c>
      <c r="E3850">
        <v>226</v>
      </c>
      <c r="F3850">
        <v>173</v>
      </c>
      <c r="G3850">
        <v>184</v>
      </c>
      <c r="H3850">
        <v>1742</v>
      </c>
      <c r="I3850" s="1">
        <v>45200</v>
      </c>
      <c r="J3850">
        <v>357</v>
      </c>
      <c r="K3850" t="s">
        <v>26</v>
      </c>
    </row>
    <row r="3851" spans="1:11">
      <c r="A3851" s="1">
        <v>45225</v>
      </c>
      <c r="B3851" t="s">
        <v>40</v>
      </c>
      <c r="C3851" t="s">
        <v>68</v>
      </c>
      <c r="D3851">
        <v>3323</v>
      </c>
      <c r="E3851">
        <v>819</v>
      </c>
      <c r="F3851">
        <v>442</v>
      </c>
      <c r="G3851">
        <v>829</v>
      </c>
      <c r="H3851">
        <v>5412</v>
      </c>
      <c r="I3851" s="1">
        <v>45200</v>
      </c>
      <c r="J3851">
        <v>1271</v>
      </c>
      <c r="K3851" t="s">
        <v>26</v>
      </c>
    </row>
    <row r="3852" spans="1:11">
      <c r="A3852" s="1">
        <v>45225</v>
      </c>
      <c r="B3852" t="s">
        <v>40</v>
      </c>
      <c r="C3852" t="s">
        <v>47</v>
      </c>
      <c r="D3852">
        <v>593</v>
      </c>
      <c r="E3852">
        <v>96</v>
      </c>
      <c r="F3852">
        <v>35</v>
      </c>
      <c r="G3852">
        <v>19</v>
      </c>
      <c r="H3852">
        <v>744</v>
      </c>
      <c r="I3852" s="1">
        <v>45200</v>
      </c>
      <c r="J3852">
        <v>54</v>
      </c>
      <c r="K3852" t="s">
        <v>26</v>
      </c>
    </row>
    <row r="3853" spans="1:11">
      <c r="A3853" s="1">
        <v>45225</v>
      </c>
      <c r="B3853" t="s">
        <v>40</v>
      </c>
      <c r="C3853" t="s">
        <v>25</v>
      </c>
      <c r="D3853">
        <v>697</v>
      </c>
      <c r="E3853">
        <v>201</v>
      </c>
      <c r="F3853">
        <v>57</v>
      </c>
      <c r="G3853">
        <v>35</v>
      </c>
      <c r="H3853">
        <v>990</v>
      </c>
      <c r="I3853" s="1">
        <v>45200</v>
      </c>
      <c r="J3853">
        <v>92</v>
      </c>
      <c r="K3853" t="s">
        <v>26</v>
      </c>
    </row>
    <row r="3854" spans="1:11">
      <c r="A3854" s="1">
        <v>45225</v>
      </c>
      <c r="B3854" t="s">
        <v>40</v>
      </c>
      <c r="C3854" t="s">
        <v>51</v>
      </c>
      <c r="D3854">
        <v>782</v>
      </c>
      <c r="E3854">
        <v>192</v>
      </c>
      <c r="F3854">
        <v>17</v>
      </c>
      <c r="G3854">
        <v>13</v>
      </c>
      <c r="H3854">
        <v>1005</v>
      </c>
      <c r="I3854" s="1">
        <v>45200</v>
      </c>
      <c r="J3854">
        <v>30</v>
      </c>
      <c r="K3854" t="s">
        <v>26</v>
      </c>
    </row>
    <row r="3855" spans="1:11">
      <c r="A3855" s="1">
        <v>45225</v>
      </c>
      <c r="B3855" t="s">
        <v>40</v>
      </c>
      <c r="C3855" t="s">
        <v>45</v>
      </c>
      <c r="D3855">
        <v>185</v>
      </c>
      <c r="E3855">
        <v>23</v>
      </c>
      <c r="F3855">
        <v>13</v>
      </c>
      <c r="G3855">
        <v>4</v>
      </c>
      <c r="H3855">
        <v>226</v>
      </c>
      <c r="I3855" s="1">
        <v>45200</v>
      </c>
      <c r="J3855">
        <v>17</v>
      </c>
      <c r="K3855" t="s">
        <v>26</v>
      </c>
    </row>
    <row r="3856" spans="1:11">
      <c r="A3856" s="1">
        <v>45225</v>
      </c>
      <c r="B3856" t="s">
        <v>40</v>
      </c>
      <c r="C3856" t="s">
        <v>54</v>
      </c>
      <c r="D3856">
        <v>1539</v>
      </c>
      <c r="E3856">
        <v>329</v>
      </c>
      <c r="F3856">
        <v>35</v>
      </c>
      <c r="G3856">
        <v>33</v>
      </c>
      <c r="H3856">
        <v>1936</v>
      </c>
      <c r="I3856" s="1">
        <v>45200</v>
      </c>
      <c r="J3856">
        <v>68</v>
      </c>
      <c r="K3856" t="s">
        <v>26</v>
      </c>
    </row>
    <row r="3857" spans="1:11">
      <c r="A3857" s="1">
        <v>45225</v>
      </c>
      <c r="B3857" t="s">
        <v>40</v>
      </c>
      <c r="C3857" t="s">
        <v>22</v>
      </c>
      <c r="D3857">
        <v>570</v>
      </c>
      <c r="E3857">
        <v>73</v>
      </c>
      <c r="F3857">
        <v>18</v>
      </c>
      <c r="G3857">
        <v>6</v>
      </c>
      <c r="H3857">
        <v>668</v>
      </c>
      <c r="I3857" s="1">
        <v>45200</v>
      </c>
      <c r="J3857">
        <v>24</v>
      </c>
      <c r="K3857" t="s">
        <v>26</v>
      </c>
    </row>
    <row r="3858" spans="1:11">
      <c r="A3858" s="1">
        <v>45225</v>
      </c>
      <c r="B3858" t="s">
        <v>40</v>
      </c>
      <c r="C3858" t="s">
        <v>46</v>
      </c>
      <c r="D3858">
        <v>430</v>
      </c>
      <c r="E3858">
        <v>143</v>
      </c>
      <c r="F3858">
        <v>21</v>
      </c>
      <c r="G3858">
        <v>4</v>
      </c>
      <c r="H3858">
        <v>598</v>
      </c>
      <c r="I3858" s="1">
        <v>45200</v>
      </c>
      <c r="J3858">
        <v>25</v>
      </c>
      <c r="K3858" t="s">
        <v>26</v>
      </c>
    </row>
    <row r="3859" spans="1:11">
      <c r="A3859" s="1">
        <v>45225</v>
      </c>
      <c r="B3859" t="s">
        <v>40</v>
      </c>
      <c r="C3859" t="s">
        <v>31</v>
      </c>
      <c r="D3859">
        <v>577</v>
      </c>
      <c r="E3859">
        <v>168</v>
      </c>
      <c r="F3859">
        <v>45</v>
      </c>
      <c r="G3859">
        <v>40</v>
      </c>
      <c r="H3859">
        <v>830</v>
      </c>
      <c r="I3859" s="1">
        <v>45200</v>
      </c>
      <c r="J3859">
        <v>85</v>
      </c>
      <c r="K3859" t="s">
        <v>26</v>
      </c>
    </row>
    <row r="3860" spans="1:11">
      <c r="A3860" s="1">
        <v>45225</v>
      </c>
      <c r="B3860" t="s">
        <v>40</v>
      </c>
      <c r="C3860" t="s">
        <v>63</v>
      </c>
      <c r="D3860">
        <v>2013</v>
      </c>
      <c r="E3860">
        <v>776</v>
      </c>
      <c r="F3860">
        <v>228</v>
      </c>
      <c r="G3860">
        <v>59</v>
      </c>
      <c r="H3860">
        <v>3076</v>
      </c>
      <c r="I3860" s="1">
        <v>45200</v>
      </c>
      <c r="J3860">
        <v>287</v>
      </c>
      <c r="K3860" t="s">
        <v>26</v>
      </c>
    </row>
    <row r="3861" spans="1:11">
      <c r="A3861" s="1">
        <v>45225</v>
      </c>
      <c r="B3861" t="s">
        <v>40</v>
      </c>
      <c r="C3861" t="s">
        <v>60</v>
      </c>
      <c r="D3861">
        <v>1575</v>
      </c>
      <c r="E3861">
        <v>429</v>
      </c>
      <c r="F3861">
        <v>250</v>
      </c>
      <c r="G3861">
        <v>143</v>
      </c>
      <c r="H3861">
        <v>2398</v>
      </c>
      <c r="I3861" s="1">
        <v>45200</v>
      </c>
      <c r="J3861">
        <v>393</v>
      </c>
      <c r="K3861" t="s">
        <v>26</v>
      </c>
    </row>
    <row r="3862" spans="1:11">
      <c r="A3862" s="1">
        <v>45225</v>
      </c>
      <c r="B3862" t="s">
        <v>40</v>
      </c>
      <c r="C3862" t="s">
        <v>61</v>
      </c>
      <c r="D3862">
        <v>2459</v>
      </c>
      <c r="E3862">
        <v>749</v>
      </c>
      <c r="F3862">
        <v>245</v>
      </c>
      <c r="G3862">
        <v>279</v>
      </c>
      <c r="H3862">
        <v>3732</v>
      </c>
      <c r="I3862" s="1">
        <v>45200</v>
      </c>
      <c r="J3862">
        <v>524</v>
      </c>
      <c r="K3862" t="s">
        <v>26</v>
      </c>
    </row>
    <row r="3863" spans="1:11">
      <c r="A3863" s="1">
        <v>45225</v>
      </c>
      <c r="B3863" t="s">
        <v>40</v>
      </c>
      <c r="C3863" t="s">
        <v>62</v>
      </c>
      <c r="D3863">
        <v>418</v>
      </c>
      <c r="E3863">
        <v>88</v>
      </c>
      <c r="F3863">
        <v>70</v>
      </c>
      <c r="G3863">
        <v>24</v>
      </c>
      <c r="H3863">
        <v>601</v>
      </c>
      <c r="I3863" s="1">
        <v>45200</v>
      </c>
      <c r="J3863">
        <v>94</v>
      </c>
      <c r="K3863" t="s">
        <v>26</v>
      </c>
    </row>
    <row r="3864" spans="1:11">
      <c r="A3864" s="1">
        <v>45225</v>
      </c>
      <c r="B3864" t="s">
        <v>40</v>
      </c>
      <c r="C3864" t="s">
        <v>69</v>
      </c>
      <c r="D3864">
        <v>3485</v>
      </c>
      <c r="E3864">
        <v>1597</v>
      </c>
      <c r="F3864">
        <v>722</v>
      </c>
      <c r="G3864">
        <v>927</v>
      </c>
      <c r="H3864">
        <v>6731</v>
      </c>
      <c r="I3864" s="1">
        <v>45200</v>
      </c>
      <c r="J3864">
        <v>1649</v>
      </c>
      <c r="K3864" t="s">
        <v>26</v>
      </c>
    </row>
    <row r="3865" spans="1:11">
      <c r="A3865" s="1">
        <v>45225</v>
      </c>
      <c r="B3865" t="s">
        <v>40</v>
      </c>
      <c r="C3865" t="s">
        <v>29</v>
      </c>
      <c r="D3865">
        <v>574</v>
      </c>
      <c r="E3865">
        <v>192</v>
      </c>
      <c r="F3865">
        <v>113</v>
      </c>
      <c r="G3865">
        <v>49</v>
      </c>
      <c r="H3865">
        <v>928</v>
      </c>
      <c r="I3865" s="1">
        <v>45200</v>
      </c>
      <c r="J3865">
        <v>162</v>
      </c>
      <c r="K3865" t="s">
        <v>26</v>
      </c>
    </row>
    <row r="3866" spans="1:11">
      <c r="A3866" s="1">
        <v>45225</v>
      </c>
      <c r="B3866" t="s">
        <v>40</v>
      </c>
      <c r="C3866" t="s">
        <v>70</v>
      </c>
      <c r="D3866">
        <v>543</v>
      </c>
      <c r="E3866">
        <v>179</v>
      </c>
      <c r="F3866">
        <v>60</v>
      </c>
      <c r="G3866">
        <v>6</v>
      </c>
      <c r="H3866">
        <v>789</v>
      </c>
      <c r="I3866" s="1">
        <v>45200</v>
      </c>
      <c r="J3866">
        <v>66</v>
      </c>
      <c r="K3866" t="s">
        <v>26</v>
      </c>
    </row>
    <row r="3867" spans="1:11">
      <c r="A3867" s="1">
        <v>45225</v>
      </c>
      <c r="B3867" t="s">
        <v>40</v>
      </c>
      <c r="C3867" t="s">
        <v>71</v>
      </c>
      <c r="D3867">
        <v>2601</v>
      </c>
      <c r="E3867">
        <v>596</v>
      </c>
      <c r="F3867">
        <v>305</v>
      </c>
      <c r="G3867">
        <v>325</v>
      </c>
      <c r="H3867">
        <v>3827</v>
      </c>
      <c r="I3867" s="1">
        <v>45200</v>
      </c>
      <c r="J3867">
        <v>630</v>
      </c>
      <c r="K3867" t="s">
        <v>26</v>
      </c>
    </row>
    <row r="3868" spans="1:11">
      <c r="A3868" s="1">
        <v>45225</v>
      </c>
      <c r="B3868" t="s">
        <v>40</v>
      </c>
      <c r="C3868" t="s">
        <v>36</v>
      </c>
      <c r="D3868">
        <v>2043</v>
      </c>
      <c r="E3868">
        <v>342</v>
      </c>
      <c r="F3868">
        <v>145</v>
      </c>
      <c r="G3868">
        <v>118</v>
      </c>
      <c r="H3868">
        <v>2648</v>
      </c>
      <c r="I3868" s="1">
        <v>45200</v>
      </c>
      <c r="J3868">
        <v>263</v>
      </c>
      <c r="K3868" t="s">
        <v>26</v>
      </c>
    </row>
    <row r="3869" spans="1:11">
      <c r="A3869" s="1">
        <v>45225</v>
      </c>
      <c r="B3869" t="s">
        <v>40</v>
      </c>
      <c r="C3869" t="s">
        <v>67</v>
      </c>
      <c r="D3869">
        <v>3111</v>
      </c>
      <c r="E3869">
        <v>1060</v>
      </c>
      <c r="F3869">
        <v>571</v>
      </c>
      <c r="G3869">
        <v>763</v>
      </c>
      <c r="H3869">
        <v>5504</v>
      </c>
      <c r="I3869" s="1">
        <v>45200</v>
      </c>
      <c r="J3869">
        <v>1334</v>
      </c>
      <c r="K3869" t="s">
        <v>26</v>
      </c>
    </row>
    <row r="3870" spans="1:11">
      <c r="A3870" s="1">
        <v>45225</v>
      </c>
      <c r="B3870" t="s">
        <v>40</v>
      </c>
      <c r="C3870" t="s">
        <v>49</v>
      </c>
      <c r="D3870">
        <v>432</v>
      </c>
      <c r="E3870">
        <v>119</v>
      </c>
      <c r="F3870">
        <v>66</v>
      </c>
      <c r="G3870">
        <v>35</v>
      </c>
      <c r="H3870">
        <v>652</v>
      </c>
      <c r="I3870" s="1">
        <v>45200</v>
      </c>
      <c r="J3870">
        <v>101</v>
      </c>
      <c r="K3870" t="s">
        <v>26</v>
      </c>
    </row>
    <row r="3871" spans="1:11">
      <c r="A3871" s="1">
        <v>45260</v>
      </c>
      <c r="B3871" t="s">
        <v>40</v>
      </c>
      <c r="C3871" t="s">
        <v>50</v>
      </c>
      <c r="D3871">
        <v>86</v>
      </c>
      <c r="E3871">
        <v>38</v>
      </c>
      <c r="F3871">
        <v>22</v>
      </c>
      <c r="G3871">
        <v>23</v>
      </c>
      <c r="H3871">
        <v>169</v>
      </c>
      <c r="I3871" s="1">
        <v>45231</v>
      </c>
      <c r="J3871">
        <v>45</v>
      </c>
      <c r="K3871" t="s">
        <v>26</v>
      </c>
    </row>
    <row r="3872" spans="1:11">
      <c r="A3872" s="1">
        <v>45260</v>
      </c>
      <c r="B3872" t="s">
        <v>40</v>
      </c>
      <c r="C3872" t="s">
        <v>48</v>
      </c>
      <c r="D3872">
        <v>4779</v>
      </c>
      <c r="E3872">
        <v>1488</v>
      </c>
      <c r="F3872">
        <v>516</v>
      </c>
      <c r="G3872">
        <v>321</v>
      </c>
      <c r="H3872">
        <v>7104</v>
      </c>
      <c r="I3872" s="1">
        <v>45231</v>
      </c>
      <c r="J3872">
        <v>837</v>
      </c>
      <c r="K3872" t="s">
        <v>26</v>
      </c>
    </row>
    <row r="3873" spans="1:11">
      <c r="A3873" s="1">
        <v>45260</v>
      </c>
      <c r="B3873" t="s">
        <v>40</v>
      </c>
      <c r="C3873" t="s">
        <v>33</v>
      </c>
      <c r="D3873">
        <v>63</v>
      </c>
      <c r="E3873">
        <v>69</v>
      </c>
      <c r="F3873">
        <v>18</v>
      </c>
      <c r="G3873">
        <v>4</v>
      </c>
      <c r="H3873">
        <v>154</v>
      </c>
      <c r="I3873" s="1">
        <v>45231</v>
      </c>
      <c r="J3873">
        <v>22</v>
      </c>
      <c r="K3873" t="s">
        <v>26</v>
      </c>
    </row>
    <row r="3874" spans="1:11">
      <c r="A3874" s="1">
        <v>45260</v>
      </c>
      <c r="B3874" t="s">
        <v>40</v>
      </c>
      <c r="C3874" t="s">
        <v>65</v>
      </c>
      <c r="D3874">
        <v>742</v>
      </c>
      <c r="E3874">
        <v>254</v>
      </c>
      <c r="F3874">
        <v>134</v>
      </c>
      <c r="G3874">
        <v>213</v>
      </c>
      <c r="H3874">
        <v>1343</v>
      </c>
      <c r="I3874" s="1">
        <v>45231</v>
      </c>
      <c r="J3874">
        <v>347</v>
      </c>
      <c r="K3874" t="s">
        <v>26</v>
      </c>
    </row>
    <row r="3875" spans="1:11">
      <c r="A3875" s="1">
        <v>45260</v>
      </c>
      <c r="B3875" t="s">
        <v>40</v>
      </c>
      <c r="C3875" t="s">
        <v>30</v>
      </c>
      <c r="D3875">
        <v>517</v>
      </c>
      <c r="E3875">
        <v>147</v>
      </c>
      <c r="F3875">
        <v>54</v>
      </c>
      <c r="G3875">
        <v>20</v>
      </c>
      <c r="H3875">
        <v>738</v>
      </c>
      <c r="I3875" s="1">
        <v>45231</v>
      </c>
      <c r="J3875">
        <v>74</v>
      </c>
      <c r="K3875" t="s">
        <v>26</v>
      </c>
    </row>
    <row r="3876" spans="1:11">
      <c r="A3876" s="1">
        <v>45260</v>
      </c>
      <c r="B3876" t="s">
        <v>40</v>
      </c>
      <c r="C3876" t="s">
        <v>66</v>
      </c>
      <c r="D3876">
        <v>5164</v>
      </c>
      <c r="E3876">
        <v>1990</v>
      </c>
      <c r="F3876">
        <v>859</v>
      </c>
      <c r="G3876">
        <v>1391</v>
      </c>
      <c r="H3876">
        <v>9404</v>
      </c>
      <c r="I3876" s="1">
        <v>45231</v>
      </c>
      <c r="J3876">
        <v>2250</v>
      </c>
      <c r="K3876" t="s">
        <v>26</v>
      </c>
    </row>
    <row r="3877" spans="1:11">
      <c r="A3877" s="1">
        <v>45260</v>
      </c>
      <c r="B3877" t="s">
        <v>40</v>
      </c>
      <c r="C3877" t="s">
        <v>56</v>
      </c>
      <c r="D3877">
        <v>534</v>
      </c>
      <c r="E3877">
        <v>126</v>
      </c>
      <c r="F3877">
        <v>25</v>
      </c>
      <c r="G3877">
        <v>8</v>
      </c>
      <c r="H3877">
        <v>693</v>
      </c>
      <c r="I3877" s="1">
        <v>45231</v>
      </c>
      <c r="J3877">
        <v>33</v>
      </c>
      <c r="K3877" t="s">
        <v>26</v>
      </c>
    </row>
    <row r="3878" spans="1:11">
      <c r="A3878" s="1">
        <v>45260</v>
      </c>
      <c r="B3878" t="s">
        <v>40</v>
      </c>
      <c r="C3878" t="s">
        <v>57</v>
      </c>
      <c r="D3878">
        <v>1052</v>
      </c>
      <c r="E3878">
        <v>149</v>
      </c>
      <c r="F3878">
        <v>124</v>
      </c>
      <c r="G3878">
        <v>129</v>
      </c>
      <c r="H3878">
        <v>1454</v>
      </c>
      <c r="I3878" s="1">
        <v>45231</v>
      </c>
      <c r="J3878">
        <v>253</v>
      </c>
      <c r="K3878" t="s">
        <v>26</v>
      </c>
    </row>
    <row r="3879" spans="1:11">
      <c r="A3879" s="1">
        <v>45260</v>
      </c>
      <c r="B3879" t="s">
        <v>40</v>
      </c>
      <c r="C3879" t="s">
        <v>68</v>
      </c>
      <c r="D3879">
        <v>3290</v>
      </c>
      <c r="E3879">
        <v>860</v>
      </c>
      <c r="F3879">
        <v>436</v>
      </c>
      <c r="G3879">
        <v>838</v>
      </c>
      <c r="H3879">
        <v>5425</v>
      </c>
      <c r="I3879" s="1">
        <v>45231</v>
      </c>
      <c r="J3879">
        <v>1274</v>
      </c>
      <c r="K3879" t="s">
        <v>26</v>
      </c>
    </row>
    <row r="3880" spans="1:11">
      <c r="A3880" s="1">
        <v>45260</v>
      </c>
      <c r="B3880" t="s">
        <v>40</v>
      </c>
      <c r="C3880" t="s">
        <v>47</v>
      </c>
      <c r="D3880">
        <v>586</v>
      </c>
      <c r="E3880">
        <v>100</v>
      </c>
      <c r="F3880">
        <v>16</v>
      </c>
      <c r="G3880">
        <v>25</v>
      </c>
      <c r="H3880">
        <v>728</v>
      </c>
      <c r="I3880" s="1">
        <v>45231</v>
      </c>
      <c r="J3880">
        <v>41</v>
      </c>
      <c r="K3880" t="s">
        <v>26</v>
      </c>
    </row>
    <row r="3881" spans="1:11">
      <c r="A3881" s="1">
        <v>45260</v>
      </c>
      <c r="B3881" t="s">
        <v>40</v>
      </c>
      <c r="C3881" t="s">
        <v>25</v>
      </c>
      <c r="D3881">
        <v>678</v>
      </c>
      <c r="E3881">
        <v>171</v>
      </c>
      <c r="F3881">
        <v>64</v>
      </c>
      <c r="G3881">
        <v>32</v>
      </c>
      <c r="H3881">
        <v>946</v>
      </c>
      <c r="I3881" s="1">
        <v>45231</v>
      </c>
      <c r="J3881">
        <v>96</v>
      </c>
      <c r="K3881" t="s">
        <v>26</v>
      </c>
    </row>
    <row r="3882" spans="1:11">
      <c r="A3882" s="1">
        <v>45260</v>
      </c>
      <c r="B3882" t="s">
        <v>40</v>
      </c>
      <c r="C3882" t="s">
        <v>51</v>
      </c>
      <c r="D3882">
        <v>719</v>
      </c>
      <c r="E3882">
        <v>222</v>
      </c>
      <c r="F3882">
        <v>8</v>
      </c>
      <c r="G3882">
        <v>10</v>
      </c>
      <c r="H3882">
        <v>960</v>
      </c>
      <c r="I3882" s="1">
        <v>45231</v>
      </c>
      <c r="J3882">
        <v>18</v>
      </c>
      <c r="K3882" t="s">
        <v>26</v>
      </c>
    </row>
    <row r="3883" spans="1:11">
      <c r="A3883" s="1">
        <v>45260</v>
      </c>
      <c r="B3883" t="s">
        <v>40</v>
      </c>
      <c r="C3883" t="s">
        <v>45</v>
      </c>
      <c r="D3883">
        <v>203</v>
      </c>
      <c r="E3883">
        <v>28</v>
      </c>
      <c r="F3883">
        <v>13</v>
      </c>
      <c r="G3883">
        <v>4</v>
      </c>
      <c r="H3883">
        <v>249</v>
      </c>
      <c r="I3883" s="1">
        <v>45231</v>
      </c>
      <c r="J3883">
        <v>17</v>
      </c>
      <c r="K3883" t="s">
        <v>26</v>
      </c>
    </row>
    <row r="3884" spans="1:11">
      <c r="A3884" s="1">
        <v>45260</v>
      </c>
      <c r="B3884" t="s">
        <v>40</v>
      </c>
      <c r="C3884" t="s">
        <v>54</v>
      </c>
      <c r="D3884">
        <v>1554</v>
      </c>
      <c r="E3884">
        <v>334</v>
      </c>
      <c r="F3884">
        <v>51</v>
      </c>
      <c r="G3884">
        <v>32</v>
      </c>
      <c r="H3884">
        <v>1971</v>
      </c>
      <c r="I3884" s="1">
        <v>45231</v>
      </c>
      <c r="J3884">
        <v>83</v>
      </c>
      <c r="K3884" t="s">
        <v>26</v>
      </c>
    </row>
    <row r="3885" spans="1:11">
      <c r="A3885" s="1">
        <v>45260</v>
      </c>
      <c r="B3885" t="s">
        <v>40</v>
      </c>
      <c r="C3885" t="s">
        <v>22</v>
      </c>
      <c r="D3885">
        <v>652</v>
      </c>
      <c r="E3885">
        <v>78</v>
      </c>
      <c r="F3885">
        <v>10</v>
      </c>
      <c r="G3885">
        <v>4</v>
      </c>
      <c r="H3885">
        <v>745</v>
      </c>
      <c r="I3885" s="1">
        <v>45231</v>
      </c>
      <c r="J3885">
        <v>14</v>
      </c>
      <c r="K3885" t="s">
        <v>26</v>
      </c>
    </row>
    <row r="3886" spans="1:11">
      <c r="A3886" s="1">
        <v>45260</v>
      </c>
      <c r="B3886" t="s">
        <v>40</v>
      </c>
      <c r="C3886" t="s">
        <v>31</v>
      </c>
      <c r="D3886">
        <v>549</v>
      </c>
      <c r="E3886">
        <v>194</v>
      </c>
      <c r="F3886">
        <v>43</v>
      </c>
      <c r="G3886">
        <v>45</v>
      </c>
      <c r="H3886">
        <v>831</v>
      </c>
      <c r="I3886" s="1">
        <v>45231</v>
      </c>
      <c r="J3886">
        <v>88</v>
      </c>
      <c r="K3886" t="s">
        <v>26</v>
      </c>
    </row>
    <row r="3887" spans="1:11">
      <c r="A3887" s="1">
        <v>45260</v>
      </c>
      <c r="B3887" t="s">
        <v>40</v>
      </c>
      <c r="C3887" t="s">
        <v>63</v>
      </c>
      <c r="D3887">
        <v>2038</v>
      </c>
      <c r="E3887">
        <v>541</v>
      </c>
      <c r="F3887">
        <v>184</v>
      </c>
      <c r="G3887">
        <v>88</v>
      </c>
      <c r="H3887">
        <v>2851</v>
      </c>
      <c r="I3887" s="1">
        <v>45231</v>
      </c>
      <c r="J3887">
        <v>272</v>
      </c>
      <c r="K3887" t="s">
        <v>26</v>
      </c>
    </row>
    <row r="3888" spans="1:11">
      <c r="A3888" s="1">
        <v>45260</v>
      </c>
      <c r="B3888" t="s">
        <v>40</v>
      </c>
      <c r="C3888" t="s">
        <v>60</v>
      </c>
      <c r="D3888">
        <v>1463</v>
      </c>
      <c r="E3888">
        <v>446</v>
      </c>
      <c r="F3888">
        <v>199</v>
      </c>
      <c r="G3888">
        <v>138</v>
      </c>
      <c r="H3888">
        <v>2246</v>
      </c>
      <c r="I3888" s="1">
        <v>45231</v>
      </c>
      <c r="J3888">
        <v>337</v>
      </c>
      <c r="K3888" t="s">
        <v>26</v>
      </c>
    </row>
    <row r="3889" spans="1:11">
      <c r="A3889" s="1">
        <v>45260</v>
      </c>
      <c r="B3889" t="s">
        <v>40</v>
      </c>
      <c r="C3889" t="s">
        <v>61</v>
      </c>
      <c r="D3889">
        <v>2585</v>
      </c>
      <c r="E3889">
        <v>773</v>
      </c>
      <c r="F3889">
        <v>214</v>
      </c>
      <c r="G3889">
        <v>283</v>
      </c>
      <c r="H3889">
        <v>3855</v>
      </c>
      <c r="I3889" s="1">
        <v>45231</v>
      </c>
      <c r="J3889">
        <v>497</v>
      </c>
      <c r="K3889" t="s">
        <v>26</v>
      </c>
    </row>
    <row r="3890" spans="1:11">
      <c r="A3890" s="1">
        <v>45260</v>
      </c>
      <c r="B3890" t="s">
        <v>40</v>
      </c>
      <c r="C3890" t="s">
        <v>62</v>
      </c>
      <c r="D3890">
        <v>358</v>
      </c>
      <c r="E3890">
        <v>97</v>
      </c>
      <c r="F3890">
        <v>73</v>
      </c>
      <c r="G3890">
        <v>27</v>
      </c>
      <c r="H3890">
        <v>555</v>
      </c>
      <c r="I3890" s="1">
        <v>45231</v>
      </c>
      <c r="J3890">
        <v>100</v>
      </c>
      <c r="K3890" t="s">
        <v>26</v>
      </c>
    </row>
    <row r="3891" spans="1:11">
      <c r="A3891" s="1">
        <v>45260</v>
      </c>
      <c r="B3891" t="s">
        <v>40</v>
      </c>
      <c r="C3891" t="s">
        <v>69</v>
      </c>
      <c r="D3891">
        <v>3767</v>
      </c>
      <c r="E3891">
        <v>1493</v>
      </c>
      <c r="F3891">
        <v>762</v>
      </c>
      <c r="G3891">
        <v>828</v>
      </c>
      <c r="H3891">
        <v>6850</v>
      </c>
      <c r="I3891" s="1">
        <v>45231</v>
      </c>
      <c r="J3891">
        <v>1590</v>
      </c>
      <c r="K3891" t="s">
        <v>26</v>
      </c>
    </row>
    <row r="3892" spans="1:11">
      <c r="A3892" s="1">
        <v>45260</v>
      </c>
      <c r="B3892" t="s">
        <v>40</v>
      </c>
      <c r="C3892" t="s">
        <v>29</v>
      </c>
      <c r="D3892">
        <v>586</v>
      </c>
      <c r="E3892">
        <v>203</v>
      </c>
      <c r="F3892">
        <v>102</v>
      </c>
      <c r="G3892">
        <v>62</v>
      </c>
      <c r="H3892">
        <v>953</v>
      </c>
      <c r="I3892" s="1">
        <v>45231</v>
      </c>
      <c r="J3892">
        <v>164</v>
      </c>
      <c r="K3892" t="s">
        <v>26</v>
      </c>
    </row>
    <row r="3893" spans="1:11">
      <c r="A3893" s="1">
        <v>45260</v>
      </c>
      <c r="B3893" t="s">
        <v>40</v>
      </c>
      <c r="C3893" t="s">
        <v>70</v>
      </c>
      <c r="D3893">
        <v>540</v>
      </c>
      <c r="E3893">
        <v>178</v>
      </c>
      <c r="F3893">
        <v>67</v>
      </c>
      <c r="G3893">
        <v>13</v>
      </c>
      <c r="H3893">
        <v>799</v>
      </c>
      <c r="I3893" s="1">
        <v>45231</v>
      </c>
      <c r="J3893">
        <v>80</v>
      </c>
      <c r="K3893" t="s">
        <v>26</v>
      </c>
    </row>
    <row r="3894" spans="1:11">
      <c r="A3894" s="1">
        <v>45260</v>
      </c>
      <c r="B3894" t="s">
        <v>40</v>
      </c>
      <c r="C3894" t="s">
        <v>71</v>
      </c>
      <c r="D3894">
        <v>2675</v>
      </c>
      <c r="E3894">
        <v>595</v>
      </c>
      <c r="F3894">
        <v>319</v>
      </c>
      <c r="G3894">
        <v>328</v>
      </c>
      <c r="H3894">
        <v>3918</v>
      </c>
      <c r="I3894" s="1">
        <v>45231</v>
      </c>
      <c r="J3894">
        <v>647</v>
      </c>
      <c r="K3894" t="s">
        <v>26</v>
      </c>
    </row>
    <row r="3895" spans="1:11">
      <c r="A3895" s="1">
        <v>45260</v>
      </c>
      <c r="B3895" t="s">
        <v>40</v>
      </c>
      <c r="C3895" t="s">
        <v>36</v>
      </c>
      <c r="D3895">
        <v>2482</v>
      </c>
      <c r="E3895">
        <v>338</v>
      </c>
      <c r="F3895">
        <v>133</v>
      </c>
      <c r="G3895">
        <v>111</v>
      </c>
      <c r="H3895">
        <v>3064</v>
      </c>
      <c r="I3895" s="1">
        <v>45231</v>
      </c>
      <c r="J3895">
        <v>244</v>
      </c>
      <c r="K3895" t="s">
        <v>26</v>
      </c>
    </row>
    <row r="3896" spans="1:11">
      <c r="A3896" s="1">
        <v>45260</v>
      </c>
      <c r="B3896" t="s">
        <v>40</v>
      </c>
      <c r="C3896" t="s">
        <v>44</v>
      </c>
      <c r="D3896">
        <v>191</v>
      </c>
      <c r="E3896">
        <v>0</v>
      </c>
      <c r="F3896">
        <v>2</v>
      </c>
      <c r="G3896">
        <v>6</v>
      </c>
      <c r="H3896">
        <v>200</v>
      </c>
      <c r="I3896" s="1">
        <v>45231</v>
      </c>
      <c r="J3896">
        <v>8</v>
      </c>
      <c r="K3896" t="s">
        <v>26</v>
      </c>
    </row>
    <row r="3897" spans="1:11">
      <c r="A3897" s="1">
        <v>45260</v>
      </c>
      <c r="B3897" t="s">
        <v>40</v>
      </c>
      <c r="C3897" t="s">
        <v>59</v>
      </c>
      <c r="D3897">
        <v>1761</v>
      </c>
      <c r="E3897">
        <v>769</v>
      </c>
      <c r="F3897">
        <v>157</v>
      </c>
      <c r="G3897">
        <v>4</v>
      </c>
      <c r="H3897">
        <v>2691</v>
      </c>
      <c r="I3897" s="1">
        <v>45231</v>
      </c>
      <c r="J3897">
        <v>161</v>
      </c>
      <c r="K3897" t="s">
        <v>26</v>
      </c>
    </row>
    <row r="3898" spans="1:11">
      <c r="A3898" s="1">
        <v>45260</v>
      </c>
      <c r="B3898" t="s">
        <v>40</v>
      </c>
      <c r="C3898" t="s">
        <v>67</v>
      </c>
      <c r="D3898">
        <v>3111</v>
      </c>
      <c r="E3898">
        <v>973</v>
      </c>
      <c r="F3898">
        <v>597</v>
      </c>
      <c r="G3898">
        <v>747</v>
      </c>
      <c r="H3898">
        <v>5427</v>
      </c>
      <c r="I3898" s="1">
        <v>45231</v>
      </c>
      <c r="J3898">
        <v>1344</v>
      </c>
      <c r="K3898" t="s">
        <v>26</v>
      </c>
    </row>
    <row r="3899" spans="1:11">
      <c r="A3899" s="1">
        <v>45260</v>
      </c>
      <c r="B3899" t="s">
        <v>40</v>
      </c>
      <c r="C3899" t="s">
        <v>49</v>
      </c>
      <c r="D3899">
        <v>466</v>
      </c>
      <c r="E3899">
        <v>97</v>
      </c>
      <c r="F3899">
        <v>55</v>
      </c>
      <c r="G3899">
        <v>39</v>
      </c>
      <c r="H3899">
        <v>657</v>
      </c>
      <c r="I3899" s="1">
        <v>45231</v>
      </c>
      <c r="J3899">
        <v>94</v>
      </c>
      <c r="K3899" t="s">
        <v>26</v>
      </c>
    </row>
    <row r="3900" spans="1:11">
      <c r="A3900" s="1">
        <v>45288</v>
      </c>
      <c r="B3900" t="s">
        <v>40</v>
      </c>
      <c r="C3900" t="s">
        <v>50</v>
      </c>
      <c r="D3900">
        <v>99</v>
      </c>
      <c r="E3900">
        <v>39</v>
      </c>
      <c r="F3900">
        <v>10</v>
      </c>
      <c r="G3900">
        <v>21</v>
      </c>
      <c r="H3900">
        <v>169</v>
      </c>
      <c r="I3900" s="1">
        <v>45261</v>
      </c>
      <c r="J3900">
        <v>31</v>
      </c>
      <c r="K3900" t="s">
        <v>26</v>
      </c>
    </row>
    <row r="3901" spans="1:11">
      <c r="A3901" s="1">
        <v>45288</v>
      </c>
      <c r="B3901" t="s">
        <v>40</v>
      </c>
      <c r="C3901" t="s">
        <v>48</v>
      </c>
      <c r="D3901">
        <v>4895</v>
      </c>
      <c r="E3901">
        <v>1546</v>
      </c>
      <c r="F3901">
        <v>393</v>
      </c>
      <c r="G3901">
        <v>250</v>
      </c>
      <c r="H3901">
        <v>7084</v>
      </c>
      <c r="I3901" s="1">
        <v>45261</v>
      </c>
      <c r="J3901">
        <v>643</v>
      </c>
      <c r="K3901" t="s">
        <v>26</v>
      </c>
    </row>
    <row r="3902" spans="1:11">
      <c r="A3902" s="1">
        <v>45288</v>
      </c>
      <c r="B3902" t="s">
        <v>40</v>
      </c>
      <c r="C3902" t="s">
        <v>65</v>
      </c>
      <c r="D3902">
        <v>791</v>
      </c>
      <c r="E3902">
        <v>245</v>
      </c>
      <c r="F3902">
        <v>140</v>
      </c>
      <c r="G3902">
        <v>211</v>
      </c>
      <c r="H3902">
        <v>1388</v>
      </c>
      <c r="I3902" s="1">
        <v>45261</v>
      </c>
      <c r="J3902">
        <v>351</v>
      </c>
      <c r="K3902" t="s">
        <v>26</v>
      </c>
    </row>
    <row r="3903" spans="1:11">
      <c r="A3903" s="1">
        <v>45288</v>
      </c>
      <c r="B3903" t="s">
        <v>40</v>
      </c>
      <c r="C3903" t="s">
        <v>30</v>
      </c>
      <c r="D3903">
        <v>525</v>
      </c>
      <c r="E3903">
        <v>157</v>
      </c>
      <c r="F3903">
        <v>57</v>
      </c>
      <c r="G3903">
        <v>18</v>
      </c>
      <c r="H3903">
        <v>757</v>
      </c>
      <c r="I3903" s="1">
        <v>45261</v>
      </c>
      <c r="J3903">
        <v>75</v>
      </c>
      <c r="K3903" t="s">
        <v>26</v>
      </c>
    </row>
    <row r="3904" spans="1:11">
      <c r="A3904" s="1">
        <v>45288</v>
      </c>
      <c r="B3904" t="s">
        <v>40</v>
      </c>
      <c r="C3904" t="s">
        <v>66</v>
      </c>
      <c r="D3904">
        <v>5439</v>
      </c>
      <c r="E3904">
        <v>2026</v>
      </c>
      <c r="F3904">
        <v>760</v>
      </c>
      <c r="G3904">
        <v>1402</v>
      </c>
      <c r="H3904">
        <v>9627</v>
      </c>
      <c r="I3904" s="1">
        <v>45261</v>
      </c>
      <c r="J3904">
        <v>2162</v>
      </c>
      <c r="K3904" t="s">
        <v>26</v>
      </c>
    </row>
    <row r="3905" spans="1:11">
      <c r="A3905" s="1">
        <v>45288</v>
      </c>
      <c r="B3905" t="s">
        <v>40</v>
      </c>
      <c r="C3905" t="s">
        <v>56</v>
      </c>
      <c r="D3905">
        <v>502</v>
      </c>
      <c r="E3905">
        <v>136</v>
      </c>
      <c r="F3905">
        <v>31</v>
      </c>
      <c r="G3905">
        <v>9</v>
      </c>
      <c r="H3905">
        <v>678</v>
      </c>
      <c r="I3905" s="1">
        <v>45261</v>
      </c>
      <c r="J3905">
        <v>40</v>
      </c>
      <c r="K3905" t="s">
        <v>26</v>
      </c>
    </row>
    <row r="3906" spans="1:11">
      <c r="A3906" s="1">
        <v>45288</v>
      </c>
      <c r="B3906" t="s">
        <v>40</v>
      </c>
      <c r="C3906" t="s">
        <v>57</v>
      </c>
      <c r="D3906">
        <v>1049</v>
      </c>
      <c r="E3906">
        <v>204</v>
      </c>
      <c r="F3906">
        <v>111</v>
      </c>
      <c r="G3906">
        <v>126</v>
      </c>
      <c r="H3906">
        <v>1490</v>
      </c>
      <c r="I3906" s="1">
        <v>45261</v>
      </c>
      <c r="J3906">
        <v>237</v>
      </c>
      <c r="K3906" t="s">
        <v>26</v>
      </c>
    </row>
    <row r="3907" spans="1:11">
      <c r="A3907" s="1">
        <v>45288</v>
      </c>
      <c r="B3907" t="s">
        <v>40</v>
      </c>
      <c r="C3907" t="s">
        <v>68</v>
      </c>
      <c r="D3907">
        <v>3504</v>
      </c>
      <c r="E3907">
        <v>905</v>
      </c>
      <c r="F3907">
        <v>447</v>
      </c>
      <c r="G3907">
        <v>856</v>
      </c>
      <c r="H3907">
        <v>5713</v>
      </c>
      <c r="I3907" s="1">
        <v>45261</v>
      </c>
      <c r="J3907">
        <v>1303</v>
      </c>
      <c r="K3907" t="s">
        <v>26</v>
      </c>
    </row>
    <row r="3908" spans="1:11">
      <c r="A3908" s="1">
        <v>45288</v>
      </c>
      <c r="B3908" t="s">
        <v>40</v>
      </c>
      <c r="C3908" t="s">
        <v>25</v>
      </c>
      <c r="D3908">
        <v>629</v>
      </c>
      <c r="E3908">
        <v>197</v>
      </c>
      <c r="F3908">
        <v>57</v>
      </c>
      <c r="G3908">
        <v>15</v>
      </c>
      <c r="H3908">
        <v>898</v>
      </c>
      <c r="I3908" s="1">
        <v>45261</v>
      </c>
      <c r="J3908">
        <v>72</v>
      </c>
      <c r="K3908" t="s">
        <v>26</v>
      </c>
    </row>
    <row r="3909" spans="1:11">
      <c r="A3909" s="1">
        <v>45288</v>
      </c>
      <c r="B3909" t="s">
        <v>40</v>
      </c>
      <c r="C3909" t="s">
        <v>45</v>
      </c>
      <c r="D3909">
        <v>229</v>
      </c>
      <c r="E3909">
        <v>33</v>
      </c>
      <c r="F3909">
        <v>12</v>
      </c>
      <c r="G3909">
        <v>8</v>
      </c>
      <c r="H3909">
        <v>282</v>
      </c>
      <c r="I3909" s="1">
        <v>45261</v>
      </c>
      <c r="J3909">
        <v>20</v>
      </c>
      <c r="K3909" t="s">
        <v>26</v>
      </c>
    </row>
    <row r="3910" spans="1:11">
      <c r="A3910" s="1">
        <v>45288</v>
      </c>
      <c r="B3910" t="s">
        <v>40</v>
      </c>
      <c r="C3910" t="s">
        <v>54</v>
      </c>
      <c r="D3910">
        <v>1579</v>
      </c>
      <c r="E3910">
        <v>354</v>
      </c>
      <c r="F3910">
        <v>57</v>
      </c>
      <c r="G3910">
        <v>30</v>
      </c>
      <c r="H3910">
        <v>2020</v>
      </c>
      <c r="I3910" s="1">
        <v>45261</v>
      </c>
      <c r="J3910">
        <v>87</v>
      </c>
      <c r="K3910" t="s">
        <v>26</v>
      </c>
    </row>
    <row r="3911" spans="1:11">
      <c r="A3911" s="1">
        <v>45288</v>
      </c>
      <c r="B3911" t="s">
        <v>40</v>
      </c>
      <c r="C3911" t="s">
        <v>31</v>
      </c>
      <c r="D3911">
        <v>539</v>
      </c>
      <c r="E3911">
        <v>202</v>
      </c>
      <c r="F3911">
        <v>55</v>
      </c>
      <c r="G3911">
        <v>43</v>
      </c>
      <c r="H3911">
        <v>839</v>
      </c>
      <c r="I3911" s="1">
        <v>45261</v>
      </c>
      <c r="J3911">
        <v>98</v>
      </c>
      <c r="K3911" t="s">
        <v>26</v>
      </c>
    </row>
    <row r="3912" spans="1:11">
      <c r="A3912" s="1">
        <v>45288</v>
      </c>
      <c r="B3912" t="s">
        <v>40</v>
      </c>
      <c r="C3912" t="s">
        <v>63</v>
      </c>
      <c r="D3912">
        <v>2267</v>
      </c>
      <c r="E3912">
        <v>584</v>
      </c>
      <c r="F3912">
        <v>176</v>
      </c>
      <c r="G3912">
        <v>101</v>
      </c>
      <c r="H3912">
        <v>3128</v>
      </c>
      <c r="I3912" s="1">
        <v>45261</v>
      </c>
      <c r="J3912">
        <v>277</v>
      </c>
      <c r="K3912" t="s">
        <v>26</v>
      </c>
    </row>
    <row r="3913" spans="1:11">
      <c r="A3913" s="1">
        <v>45288</v>
      </c>
      <c r="B3913" t="s">
        <v>40</v>
      </c>
      <c r="C3913" t="s">
        <v>60</v>
      </c>
      <c r="D3913">
        <v>1498</v>
      </c>
      <c r="E3913">
        <v>422</v>
      </c>
      <c r="F3913">
        <v>165</v>
      </c>
      <c r="G3913">
        <v>109</v>
      </c>
      <c r="H3913">
        <v>2194</v>
      </c>
      <c r="I3913" s="1">
        <v>45261</v>
      </c>
      <c r="J3913">
        <v>274</v>
      </c>
      <c r="K3913" t="s">
        <v>26</v>
      </c>
    </row>
    <row r="3914" spans="1:11">
      <c r="A3914" s="1">
        <v>45288</v>
      </c>
      <c r="B3914" t="s">
        <v>40</v>
      </c>
      <c r="C3914" t="s">
        <v>61</v>
      </c>
      <c r="D3914">
        <v>2631</v>
      </c>
      <c r="E3914">
        <v>734</v>
      </c>
      <c r="F3914">
        <v>239</v>
      </c>
      <c r="G3914">
        <v>297</v>
      </c>
      <c r="H3914">
        <v>3901</v>
      </c>
      <c r="I3914" s="1">
        <v>45261</v>
      </c>
      <c r="J3914">
        <v>536</v>
      </c>
      <c r="K3914" t="s">
        <v>26</v>
      </c>
    </row>
    <row r="3915" spans="1:11">
      <c r="A3915" s="1">
        <v>45288</v>
      </c>
      <c r="B3915" t="s">
        <v>40</v>
      </c>
      <c r="C3915" t="s">
        <v>62</v>
      </c>
      <c r="D3915">
        <v>308</v>
      </c>
      <c r="E3915">
        <v>86</v>
      </c>
      <c r="F3915">
        <v>74</v>
      </c>
      <c r="G3915">
        <v>24</v>
      </c>
      <c r="H3915">
        <v>492</v>
      </c>
      <c r="I3915" s="1">
        <v>45261</v>
      </c>
      <c r="J3915">
        <v>98</v>
      </c>
      <c r="K3915" t="s">
        <v>26</v>
      </c>
    </row>
    <row r="3916" spans="1:11">
      <c r="A3916" s="1">
        <v>45288</v>
      </c>
      <c r="B3916" t="s">
        <v>40</v>
      </c>
      <c r="C3916" t="s">
        <v>69</v>
      </c>
      <c r="D3916">
        <v>3633</v>
      </c>
      <c r="E3916">
        <v>1585</v>
      </c>
      <c r="F3916">
        <v>902</v>
      </c>
      <c r="G3916">
        <v>767</v>
      </c>
      <c r="H3916">
        <v>6887</v>
      </c>
      <c r="I3916" s="1">
        <v>45261</v>
      </c>
      <c r="J3916">
        <v>1669</v>
      </c>
      <c r="K3916" t="s">
        <v>26</v>
      </c>
    </row>
    <row r="3917" spans="1:11">
      <c r="A3917" s="1">
        <v>45288</v>
      </c>
      <c r="B3917" t="s">
        <v>40</v>
      </c>
      <c r="C3917" t="s">
        <v>29</v>
      </c>
      <c r="D3917">
        <v>652</v>
      </c>
      <c r="E3917">
        <v>212</v>
      </c>
      <c r="F3917">
        <v>107</v>
      </c>
      <c r="G3917">
        <v>70</v>
      </c>
      <c r="H3917">
        <v>1041</v>
      </c>
      <c r="I3917" s="1">
        <v>45261</v>
      </c>
      <c r="J3917">
        <v>177</v>
      </c>
      <c r="K3917" t="s">
        <v>26</v>
      </c>
    </row>
    <row r="3918" spans="1:11">
      <c r="A3918" s="1">
        <v>45288</v>
      </c>
      <c r="B3918" t="s">
        <v>40</v>
      </c>
      <c r="C3918" t="s">
        <v>70</v>
      </c>
      <c r="D3918">
        <v>535</v>
      </c>
      <c r="E3918">
        <v>173</v>
      </c>
      <c r="F3918">
        <v>85</v>
      </c>
      <c r="G3918">
        <v>15</v>
      </c>
      <c r="H3918">
        <v>808</v>
      </c>
      <c r="I3918" s="1">
        <v>45261</v>
      </c>
      <c r="J3918">
        <v>100</v>
      </c>
      <c r="K3918" t="s">
        <v>26</v>
      </c>
    </row>
    <row r="3919" spans="1:11">
      <c r="A3919" s="1">
        <v>45288</v>
      </c>
      <c r="B3919" t="s">
        <v>40</v>
      </c>
      <c r="C3919" t="s">
        <v>71</v>
      </c>
      <c r="D3919">
        <v>2625</v>
      </c>
      <c r="E3919">
        <v>603</v>
      </c>
      <c r="F3919">
        <v>299</v>
      </c>
      <c r="G3919">
        <v>331</v>
      </c>
      <c r="H3919">
        <v>3859</v>
      </c>
      <c r="I3919" s="1">
        <v>45261</v>
      </c>
      <c r="J3919">
        <v>630</v>
      </c>
      <c r="K3919" t="s">
        <v>26</v>
      </c>
    </row>
    <row r="3920" spans="1:11">
      <c r="A3920" s="1">
        <v>45288</v>
      </c>
      <c r="B3920" t="s">
        <v>40</v>
      </c>
      <c r="C3920" t="s">
        <v>36</v>
      </c>
      <c r="D3920">
        <v>2759</v>
      </c>
      <c r="E3920">
        <v>365</v>
      </c>
      <c r="F3920">
        <v>127</v>
      </c>
      <c r="G3920">
        <v>91</v>
      </c>
      <c r="H3920">
        <v>3342</v>
      </c>
      <c r="I3920" s="1">
        <v>45261</v>
      </c>
      <c r="J3920">
        <v>218</v>
      </c>
      <c r="K3920" t="s">
        <v>26</v>
      </c>
    </row>
    <row r="3921" spans="1:11">
      <c r="A3921" s="1">
        <v>45288</v>
      </c>
      <c r="B3921" t="s">
        <v>40</v>
      </c>
      <c r="C3921" t="s">
        <v>67</v>
      </c>
      <c r="D3921">
        <v>3108</v>
      </c>
      <c r="E3921">
        <v>968</v>
      </c>
      <c r="F3921">
        <v>555</v>
      </c>
      <c r="G3921">
        <v>766</v>
      </c>
      <c r="H3921">
        <v>5397</v>
      </c>
      <c r="I3921" s="1">
        <v>45261</v>
      </c>
      <c r="J3921">
        <v>1321</v>
      </c>
      <c r="K3921" t="s">
        <v>26</v>
      </c>
    </row>
    <row r="3922" spans="1:11">
      <c r="A3922" s="1">
        <v>45288</v>
      </c>
      <c r="B3922" t="s">
        <v>40</v>
      </c>
      <c r="C3922" t="s">
        <v>49</v>
      </c>
      <c r="D3922">
        <v>472</v>
      </c>
      <c r="E3922">
        <v>90</v>
      </c>
      <c r="F3922">
        <v>56</v>
      </c>
      <c r="G3922">
        <v>40</v>
      </c>
      <c r="H3922">
        <v>658</v>
      </c>
      <c r="I3922" s="1">
        <v>45261</v>
      </c>
      <c r="J3922">
        <v>96</v>
      </c>
      <c r="K3922" t="s">
        <v>26</v>
      </c>
    </row>
    <row r="3923" spans="1:11">
      <c r="A3923" s="1">
        <v>45316</v>
      </c>
      <c r="B3923" t="s">
        <v>40</v>
      </c>
      <c r="C3923" t="s">
        <v>50</v>
      </c>
      <c r="D3923">
        <v>96</v>
      </c>
      <c r="E3923">
        <v>38</v>
      </c>
      <c r="F3923">
        <v>8</v>
      </c>
      <c r="G3923">
        <v>24</v>
      </c>
      <c r="H3923">
        <v>165</v>
      </c>
      <c r="I3923" s="1">
        <v>45292</v>
      </c>
      <c r="J3923">
        <v>32</v>
      </c>
      <c r="K3923" t="s">
        <v>26</v>
      </c>
    </row>
    <row r="3924" spans="1:11">
      <c r="A3924" s="1">
        <v>45316</v>
      </c>
      <c r="B3924" t="s">
        <v>40</v>
      </c>
      <c r="C3924" t="s">
        <v>48</v>
      </c>
      <c r="D3924">
        <v>4773</v>
      </c>
      <c r="E3924">
        <v>1652</v>
      </c>
      <c r="F3924">
        <v>472</v>
      </c>
      <c r="G3924">
        <v>304</v>
      </c>
      <c r="H3924">
        <v>7200</v>
      </c>
      <c r="I3924" s="1">
        <v>45292</v>
      </c>
      <c r="J3924">
        <v>776</v>
      </c>
      <c r="K3924" t="s">
        <v>26</v>
      </c>
    </row>
    <row r="3925" spans="1:11">
      <c r="A3925" s="1">
        <v>45316</v>
      </c>
      <c r="B3925" t="s">
        <v>40</v>
      </c>
      <c r="C3925" t="s">
        <v>41</v>
      </c>
      <c r="D3925">
        <v>545</v>
      </c>
      <c r="E3925">
        <v>7</v>
      </c>
      <c r="F3925">
        <v>0</v>
      </c>
      <c r="G3925">
        <v>5</v>
      </c>
      <c r="H3925">
        <v>557</v>
      </c>
      <c r="I3925" s="1">
        <v>45292</v>
      </c>
      <c r="J3925">
        <v>5</v>
      </c>
      <c r="K3925" t="s">
        <v>26</v>
      </c>
    </row>
    <row r="3926" spans="1:11">
      <c r="A3926" s="1">
        <v>45316</v>
      </c>
      <c r="B3926" t="s">
        <v>40</v>
      </c>
      <c r="C3926" t="s">
        <v>33</v>
      </c>
      <c r="D3926">
        <v>117</v>
      </c>
      <c r="E3926">
        <v>61</v>
      </c>
      <c r="F3926">
        <v>17</v>
      </c>
      <c r="G3926">
        <v>4</v>
      </c>
      <c r="H3926">
        <v>198</v>
      </c>
      <c r="I3926" s="1">
        <v>45292</v>
      </c>
      <c r="J3926">
        <v>21</v>
      </c>
      <c r="K3926" t="s">
        <v>26</v>
      </c>
    </row>
    <row r="3927" spans="1:11">
      <c r="A3927" s="1">
        <v>45316</v>
      </c>
      <c r="B3927" t="s">
        <v>40</v>
      </c>
      <c r="C3927" t="s">
        <v>65</v>
      </c>
      <c r="D3927">
        <v>793</v>
      </c>
      <c r="E3927">
        <v>246</v>
      </c>
      <c r="F3927">
        <v>141</v>
      </c>
      <c r="G3927">
        <v>209</v>
      </c>
      <c r="H3927">
        <v>1389</v>
      </c>
      <c r="I3927" s="1">
        <v>45292</v>
      </c>
      <c r="J3927">
        <v>350</v>
      </c>
      <c r="K3927" t="s">
        <v>26</v>
      </c>
    </row>
    <row r="3928" spans="1:11">
      <c r="A3928" s="1">
        <v>45316</v>
      </c>
      <c r="B3928" t="s">
        <v>40</v>
      </c>
      <c r="C3928" t="s">
        <v>30</v>
      </c>
      <c r="D3928">
        <v>510</v>
      </c>
      <c r="E3928">
        <v>145</v>
      </c>
      <c r="F3928">
        <v>50</v>
      </c>
      <c r="G3928">
        <v>16</v>
      </c>
      <c r="H3928">
        <v>721</v>
      </c>
      <c r="I3928" s="1">
        <v>45292</v>
      </c>
      <c r="J3928">
        <v>66</v>
      </c>
      <c r="K3928" t="s">
        <v>26</v>
      </c>
    </row>
    <row r="3929" spans="1:11">
      <c r="A3929" s="1">
        <v>45316</v>
      </c>
      <c r="B3929" t="s">
        <v>40</v>
      </c>
      <c r="C3929" t="s">
        <v>66</v>
      </c>
      <c r="D3929">
        <v>5311</v>
      </c>
      <c r="E3929">
        <v>2079</v>
      </c>
      <c r="F3929">
        <v>767</v>
      </c>
      <c r="G3929">
        <v>1476</v>
      </c>
      <c r="H3929">
        <v>9633</v>
      </c>
      <c r="I3929" s="1">
        <v>45292</v>
      </c>
      <c r="J3929">
        <v>2243</v>
      </c>
      <c r="K3929" t="s">
        <v>26</v>
      </c>
    </row>
    <row r="3930" spans="1:11">
      <c r="A3930" s="1">
        <v>45316</v>
      </c>
      <c r="B3930" t="s">
        <v>40</v>
      </c>
      <c r="C3930" t="s">
        <v>56</v>
      </c>
      <c r="D3930">
        <v>587</v>
      </c>
      <c r="E3930">
        <v>132</v>
      </c>
      <c r="F3930">
        <v>31</v>
      </c>
      <c r="G3930">
        <v>10</v>
      </c>
      <c r="H3930">
        <v>760</v>
      </c>
      <c r="I3930" s="1">
        <v>45292</v>
      </c>
      <c r="J3930">
        <v>41</v>
      </c>
      <c r="K3930" t="s">
        <v>26</v>
      </c>
    </row>
    <row r="3931" spans="1:11">
      <c r="A3931" s="1">
        <v>45316</v>
      </c>
      <c r="B3931" t="s">
        <v>40</v>
      </c>
      <c r="C3931" t="s">
        <v>57</v>
      </c>
      <c r="D3931">
        <v>1053</v>
      </c>
      <c r="E3931">
        <v>186</v>
      </c>
      <c r="F3931">
        <v>92</v>
      </c>
      <c r="G3931">
        <v>162</v>
      </c>
      <c r="H3931">
        <v>1493</v>
      </c>
      <c r="I3931" s="1">
        <v>45292</v>
      </c>
      <c r="J3931">
        <v>254</v>
      </c>
      <c r="K3931" t="s">
        <v>26</v>
      </c>
    </row>
    <row r="3932" spans="1:11">
      <c r="A3932" s="1">
        <v>45316</v>
      </c>
      <c r="B3932" t="s">
        <v>40</v>
      </c>
      <c r="C3932" t="s">
        <v>68</v>
      </c>
      <c r="D3932">
        <v>3452</v>
      </c>
      <c r="E3932">
        <v>940</v>
      </c>
      <c r="F3932">
        <v>442</v>
      </c>
      <c r="G3932">
        <v>832</v>
      </c>
      <c r="H3932">
        <v>5666</v>
      </c>
      <c r="I3932" s="1">
        <v>45292</v>
      </c>
      <c r="J3932">
        <v>1274</v>
      </c>
      <c r="K3932" t="s">
        <v>26</v>
      </c>
    </row>
    <row r="3933" spans="1:11">
      <c r="A3933" s="1">
        <v>45316</v>
      </c>
      <c r="B3933" t="s">
        <v>40</v>
      </c>
      <c r="C3933" t="s">
        <v>47</v>
      </c>
      <c r="D3933">
        <v>601</v>
      </c>
      <c r="E3933">
        <v>137</v>
      </c>
      <c r="F3933">
        <v>11</v>
      </c>
      <c r="G3933">
        <v>13</v>
      </c>
      <c r="H3933">
        <v>762</v>
      </c>
      <c r="I3933" s="1">
        <v>45292</v>
      </c>
      <c r="J3933">
        <v>24</v>
      </c>
      <c r="K3933" t="s">
        <v>26</v>
      </c>
    </row>
    <row r="3934" spans="1:11">
      <c r="A3934" s="1">
        <v>45316</v>
      </c>
      <c r="B3934" t="s">
        <v>40</v>
      </c>
      <c r="C3934" t="s">
        <v>25</v>
      </c>
      <c r="D3934">
        <v>596</v>
      </c>
      <c r="E3934">
        <v>207</v>
      </c>
      <c r="F3934">
        <v>60</v>
      </c>
      <c r="G3934">
        <v>15</v>
      </c>
      <c r="H3934">
        <v>878</v>
      </c>
      <c r="I3934" s="1">
        <v>45292</v>
      </c>
      <c r="J3934">
        <v>75</v>
      </c>
      <c r="K3934" t="s">
        <v>26</v>
      </c>
    </row>
    <row r="3935" spans="1:11">
      <c r="A3935" s="1">
        <v>45316</v>
      </c>
      <c r="B3935" t="s">
        <v>40</v>
      </c>
      <c r="C3935" t="s">
        <v>45</v>
      </c>
      <c r="D3935">
        <v>302</v>
      </c>
      <c r="E3935">
        <v>52</v>
      </c>
      <c r="F3935">
        <v>14</v>
      </c>
      <c r="G3935">
        <v>18</v>
      </c>
      <c r="H3935">
        <v>386</v>
      </c>
      <c r="I3935" s="1">
        <v>45292</v>
      </c>
      <c r="J3935">
        <v>32</v>
      </c>
      <c r="K3935" t="s">
        <v>26</v>
      </c>
    </row>
    <row r="3936" spans="1:11">
      <c r="A3936" s="1">
        <v>45316</v>
      </c>
      <c r="B3936" t="s">
        <v>40</v>
      </c>
      <c r="C3936" t="s">
        <v>54</v>
      </c>
      <c r="D3936">
        <v>1488</v>
      </c>
      <c r="E3936">
        <v>402</v>
      </c>
      <c r="F3936">
        <v>38</v>
      </c>
      <c r="G3936">
        <v>8</v>
      </c>
      <c r="H3936">
        <v>1935</v>
      </c>
      <c r="I3936" s="1">
        <v>45292</v>
      </c>
      <c r="J3936">
        <v>46</v>
      </c>
      <c r="K3936" t="s">
        <v>26</v>
      </c>
    </row>
    <row r="3937" spans="1:11">
      <c r="A3937" s="1">
        <v>45316</v>
      </c>
      <c r="B3937" t="s">
        <v>40</v>
      </c>
      <c r="C3937" t="s">
        <v>22</v>
      </c>
      <c r="D3937">
        <v>698</v>
      </c>
      <c r="E3937">
        <v>76</v>
      </c>
      <c r="F3937">
        <v>7</v>
      </c>
      <c r="G3937">
        <v>4</v>
      </c>
      <c r="H3937">
        <v>785</v>
      </c>
      <c r="I3937" s="1">
        <v>45292</v>
      </c>
      <c r="J3937">
        <v>11</v>
      </c>
      <c r="K3937" t="s">
        <v>26</v>
      </c>
    </row>
    <row r="3938" spans="1:11">
      <c r="A3938" s="1">
        <v>45316</v>
      </c>
      <c r="B3938" t="s">
        <v>40</v>
      </c>
      <c r="C3938" t="s">
        <v>31</v>
      </c>
      <c r="D3938">
        <v>546</v>
      </c>
      <c r="E3938">
        <v>210</v>
      </c>
      <c r="F3938">
        <v>42</v>
      </c>
      <c r="G3938">
        <v>44</v>
      </c>
      <c r="H3938">
        <v>842</v>
      </c>
      <c r="I3938" s="1">
        <v>45292</v>
      </c>
      <c r="J3938">
        <v>86</v>
      </c>
      <c r="K3938" t="s">
        <v>26</v>
      </c>
    </row>
    <row r="3939" spans="1:11">
      <c r="A3939" s="1">
        <v>45316</v>
      </c>
      <c r="B3939" t="s">
        <v>40</v>
      </c>
      <c r="C3939" t="s">
        <v>63</v>
      </c>
      <c r="D3939">
        <v>2132</v>
      </c>
      <c r="E3939">
        <v>679</v>
      </c>
      <c r="F3939">
        <v>189</v>
      </c>
      <c r="G3939">
        <v>100</v>
      </c>
      <c r="H3939">
        <v>3100</v>
      </c>
      <c r="I3939" s="1">
        <v>45292</v>
      </c>
      <c r="J3939">
        <v>289</v>
      </c>
      <c r="K3939" t="s">
        <v>26</v>
      </c>
    </row>
    <row r="3940" spans="1:11">
      <c r="A3940" s="1">
        <v>45316</v>
      </c>
      <c r="B3940" t="s">
        <v>40</v>
      </c>
      <c r="C3940" t="s">
        <v>60</v>
      </c>
      <c r="D3940">
        <v>1580</v>
      </c>
      <c r="E3940">
        <v>449</v>
      </c>
      <c r="F3940">
        <v>134</v>
      </c>
      <c r="G3940">
        <v>102</v>
      </c>
      <c r="H3940">
        <v>2265</v>
      </c>
      <c r="I3940" s="1">
        <v>45292</v>
      </c>
      <c r="J3940">
        <v>236</v>
      </c>
      <c r="K3940" t="s">
        <v>26</v>
      </c>
    </row>
    <row r="3941" spans="1:11">
      <c r="A3941" s="1">
        <v>45316</v>
      </c>
      <c r="B3941" t="s">
        <v>40</v>
      </c>
      <c r="C3941" t="s">
        <v>61</v>
      </c>
      <c r="D3941">
        <v>2659</v>
      </c>
      <c r="E3941">
        <v>788</v>
      </c>
      <c r="F3941">
        <v>223</v>
      </c>
      <c r="G3941">
        <v>294</v>
      </c>
      <c r="H3941">
        <v>3965</v>
      </c>
      <c r="I3941" s="1">
        <v>45292</v>
      </c>
      <c r="J3941">
        <v>517</v>
      </c>
      <c r="K3941" t="s">
        <v>26</v>
      </c>
    </row>
    <row r="3942" spans="1:11">
      <c r="A3942" s="1">
        <v>45316</v>
      </c>
      <c r="B3942" t="s">
        <v>40</v>
      </c>
      <c r="C3942" t="s">
        <v>62</v>
      </c>
      <c r="D3942">
        <v>320</v>
      </c>
      <c r="E3942">
        <v>85</v>
      </c>
      <c r="F3942">
        <v>69</v>
      </c>
      <c r="G3942">
        <v>22</v>
      </c>
      <c r="H3942">
        <v>495</v>
      </c>
      <c r="I3942" s="1">
        <v>45292</v>
      </c>
      <c r="J3942">
        <v>91</v>
      </c>
      <c r="K3942" t="s">
        <v>26</v>
      </c>
    </row>
    <row r="3943" spans="1:11">
      <c r="A3943" s="1">
        <v>45316</v>
      </c>
      <c r="B3943" t="s">
        <v>40</v>
      </c>
      <c r="C3943" t="s">
        <v>69</v>
      </c>
      <c r="D3943">
        <v>3612</v>
      </c>
      <c r="E3943">
        <v>1655</v>
      </c>
      <c r="F3943">
        <v>893</v>
      </c>
      <c r="G3943">
        <v>841</v>
      </c>
      <c r="H3943">
        <v>7001</v>
      </c>
      <c r="I3943" s="1">
        <v>45292</v>
      </c>
      <c r="J3943">
        <v>1734</v>
      </c>
      <c r="K3943" t="s">
        <v>26</v>
      </c>
    </row>
    <row r="3944" spans="1:11">
      <c r="A3944" s="1">
        <v>45316</v>
      </c>
      <c r="B3944" t="s">
        <v>40</v>
      </c>
      <c r="C3944" t="s">
        <v>29</v>
      </c>
      <c r="D3944">
        <v>592</v>
      </c>
      <c r="E3944">
        <v>212</v>
      </c>
      <c r="F3944">
        <v>91</v>
      </c>
      <c r="G3944">
        <v>59</v>
      </c>
      <c r="H3944">
        <v>953</v>
      </c>
      <c r="I3944" s="1">
        <v>45292</v>
      </c>
      <c r="J3944">
        <v>150</v>
      </c>
      <c r="K3944" t="s">
        <v>26</v>
      </c>
    </row>
    <row r="3945" spans="1:11">
      <c r="A3945" s="1">
        <v>45316</v>
      </c>
      <c r="B3945" t="s">
        <v>40</v>
      </c>
      <c r="C3945" t="s">
        <v>70</v>
      </c>
      <c r="D3945">
        <v>602</v>
      </c>
      <c r="E3945">
        <v>169</v>
      </c>
      <c r="F3945">
        <v>89</v>
      </c>
      <c r="G3945">
        <v>19</v>
      </c>
      <c r="H3945">
        <v>880</v>
      </c>
      <c r="I3945" s="1">
        <v>45292</v>
      </c>
      <c r="J3945">
        <v>108</v>
      </c>
      <c r="K3945" t="s">
        <v>26</v>
      </c>
    </row>
    <row r="3946" spans="1:11">
      <c r="A3946" s="1">
        <v>45316</v>
      </c>
      <c r="B3946" t="s">
        <v>40</v>
      </c>
      <c r="C3946" t="s">
        <v>71</v>
      </c>
      <c r="D3946">
        <v>2579</v>
      </c>
      <c r="E3946">
        <v>625</v>
      </c>
      <c r="F3946">
        <v>281</v>
      </c>
      <c r="G3946">
        <v>332</v>
      </c>
      <c r="H3946">
        <v>3817</v>
      </c>
      <c r="I3946" s="1">
        <v>45292</v>
      </c>
      <c r="J3946">
        <v>613</v>
      </c>
      <c r="K3946" t="s">
        <v>26</v>
      </c>
    </row>
    <row r="3947" spans="1:11">
      <c r="A3947" s="1">
        <v>45316</v>
      </c>
      <c r="B3947" t="s">
        <v>40</v>
      </c>
      <c r="C3947" t="s">
        <v>36</v>
      </c>
      <c r="D3947">
        <v>2556</v>
      </c>
      <c r="E3947">
        <v>400</v>
      </c>
      <c r="F3947">
        <v>114</v>
      </c>
      <c r="G3947">
        <v>98</v>
      </c>
      <c r="H3947">
        <v>3168</v>
      </c>
      <c r="I3947" s="1">
        <v>45292</v>
      </c>
      <c r="J3947">
        <v>212</v>
      </c>
      <c r="K3947" t="s">
        <v>26</v>
      </c>
    </row>
    <row r="3948" spans="1:11">
      <c r="A3948" s="1">
        <v>45316</v>
      </c>
      <c r="B3948" t="s">
        <v>40</v>
      </c>
      <c r="C3948" t="s">
        <v>59</v>
      </c>
      <c r="D3948">
        <v>1716</v>
      </c>
      <c r="E3948">
        <v>836</v>
      </c>
      <c r="F3948">
        <v>81</v>
      </c>
      <c r="G3948">
        <v>7</v>
      </c>
      <c r="H3948">
        <v>2639</v>
      </c>
      <c r="I3948" s="1">
        <v>45292</v>
      </c>
      <c r="J3948">
        <v>88</v>
      </c>
      <c r="K3948" t="s">
        <v>26</v>
      </c>
    </row>
    <row r="3949" spans="1:11">
      <c r="A3949" s="1">
        <v>45316</v>
      </c>
      <c r="B3949" t="s">
        <v>40</v>
      </c>
      <c r="C3949" t="s">
        <v>67</v>
      </c>
      <c r="D3949">
        <v>2987</v>
      </c>
      <c r="E3949">
        <v>969</v>
      </c>
      <c r="F3949">
        <v>540</v>
      </c>
      <c r="G3949">
        <v>758</v>
      </c>
      <c r="H3949">
        <v>5254</v>
      </c>
      <c r="I3949" s="1">
        <v>45292</v>
      </c>
      <c r="J3949">
        <v>1298</v>
      </c>
      <c r="K3949" t="s">
        <v>26</v>
      </c>
    </row>
    <row r="3950" spans="1:11">
      <c r="A3950" s="1">
        <v>45316</v>
      </c>
      <c r="B3950" t="s">
        <v>40</v>
      </c>
      <c r="C3950" t="s">
        <v>49</v>
      </c>
      <c r="D3950">
        <v>474</v>
      </c>
      <c r="E3950">
        <v>127</v>
      </c>
      <c r="F3950">
        <v>53</v>
      </c>
      <c r="G3950">
        <v>43</v>
      </c>
      <c r="H3950">
        <v>697</v>
      </c>
      <c r="I3950" s="1">
        <v>45292</v>
      </c>
      <c r="J3950">
        <v>96</v>
      </c>
      <c r="K3950" t="s">
        <v>26</v>
      </c>
    </row>
    <row r="3951" spans="1:11">
      <c r="A3951" s="1">
        <v>45351</v>
      </c>
      <c r="B3951" t="s">
        <v>40</v>
      </c>
      <c r="C3951" t="s">
        <v>50</v>
      </c>
      <c r="D3951">
        <v>97</v>
      </c>
      <c r="E3951">
        <v>33</v>
      </c>
      <c r="F3951">
        <v>14</v>
      </c>
      <c r="G3951">
        <v>27</v>
      </c>
      <c r="H3951">
        <v>171</v>
      </c>
      <c r="I3951" s="1">
        <v>45323</v>
      </c>
      <c r="J3951">
        <v>41</v>
      </c>
      <c r="K3951" t="s">
        <v>26</v>
      </c>
    </row>
    <row r="3952" spans="1:11">
      <c r="A3952" s="1">
        <v>45351</v>
      </c>
      <c r="B3952" t="s">
        <v>40</v>
      </c>
      <c r="C3952" t="s">
        <v>48</v>
      </c>
      <c r="D3952">
        <v>5153</v>
      </c>
      <c r="E3952">
        <v>1707</v>
      </c>
      <c r="F3952">
        <v>568</v>
      </c>
      <c r="G3952">
        <v>378</v>
      </c>
      <c r="H3952">
        <v>7806</v>
      </c>
      <c r="I3952" s="1">
        <v>45323</v>
      </c>
      <c r="J3952">
        <v>946</v>
      </c>
      <c r="K3952" t="s">
        <v>26</v>
      </c>
    </row>
    <row r="3953" spans="1:11">
      <c r="A3953" s="1">
        <v>45351</v>
      </c>
      <c r="B3953" t="s">
        <v>40</v>
      </c>
      <c r="C3953" t="s">
        <v>65</v>
      </c>
      <c r="D3953">
        <v>821</v>
      </c>
      <c r="E3953">
        <v>240</v>
      </c>
      <c r="F3953">
        <v>134</v>
      </c>
      <c r="G3953">
        <v>213</v>
      </c>
      <c r="H3953">
        <v>1408</v>
      </c>
      <c r="I3953" s="1">
        <v>45323</v>
      </c>
      <c r="J3953">
        <v>347</v>
      </c>
      <c r="K3953" t="s">
        <v>26</v>
      </c>
    </row>
    <row r="3954" spans="1:11">
      <c r="A3954" s="1">
        <v>45351</v>
      </c>
      <c r="B3954" t="s">
        <v>40</v>
      </c>
      <c r="C3954" t="s">
        <v>30</v>
      </c>
      <c r="D3954">
        <v>453</v>
      </c>
      <c r="E3954">
        <v>119</v>
      </c>
      <c r="F3954">
        <v>37</v>
      </c>
      <c r="G3954">
        <v>8</v>
      </c>
      <c r="H3954">
        <v>617</v>
      </c>
      <c r="I3954" s="1">
        <v>45323</v>
      </c>
      <c r="J3954">
        <v>45</v>
      </c>
      <c r="K3954" t="s">
        <v>26</v>
      </c>
    </row>
    <row r="3955" spans="1:11">
      <c r="A3955" s="1">
        <v>45351</v>
      </c>
      <c r="B3955" t="s">
        <v>40</v>
      </c>
      <c r="C3955" t="s">
        <v>27</v>
      </c>
      <c r="D3955">
        <v>503</v>
      </c>
      <c r="E3955">
        <v>0</v>
      </c>
      <c r="F3955">
        <v>0</v>
      </c>
      <c r="G3955">
        <v>1</v>
      </c>
      <c r="H3955">
        <v>504</v>
      </c>
      <c r="I3955" s="1">
        <v>45323</v>
      </c>
      <c r="J3955">
        <v>1</v>
      </c>
      <c r="K3955" t="s">
        <v>26</v>
      </c>
    </row>
    <row r="3956" spans="1:11">
      <c r="A3956" s="1">
        <v>45351</v>
      </c>
      <c r="B3956" t="s">
        <v>40</v>
      </c>
      <c r="C3956" t="s">
        <v>66</v>
      </c>
      <c r="D3956">
        <v>5253</v>
      </c>
      <c r="E3956">
        <v>2077</v>
      </c>
      <c r="F3956">
        <v>755</v>
      </c>
      <c r="G3956">
        <v>1454</v>
      </c>
      <c r="H3956">
        <v>9539</v>
      </c>
      <c r="I3956" s="1">
        <v>45323</v>
      </c>
      <c r="J3956">
        <v>2209</v>
      </c>
      <c r="K3956" t="s">
        <v>26</v>
      </c>
    </row>
    <row r="3957" spans="1:11">
      <c r="A3957" s="1">
        <v>45351</v>
      </c>
      <c r="B3957" t="s">
        <v>40</v>
      </c>
      <c r="C3957" t="s">
        <v>56</v>
      </c>
      <c r="D3957">
        <v>605</v>
      </c>
      <c r="E3957">
        <v>132</v>
      </c>
      <c r="F3957">
        <v>32</v>
      </c>
      <c r="G3957">
        <v>15</v>
      </c>
      <c r="H3957">
        <v>784</v>
      </c>
      <c r="I3957" s="1">
        <v>45323</v>
      </c>
      <c r="J3957">
        <v>47</v>
      </c>
      <c r="K3957" t="s">
        <v>26</v>
      </c>
    </row>
    <row r="3958" spans="1:11">
      <c r="A3958" s="1">
        <v>45351</v>
      </c>
      <c r="B3958" t="s">
        <v>40</v>
      </c>
      <c r="C3958" t="s">
        <v>57</v>
      </c>
      <c r="D3958">
        <v>853</v>
      </c>
      <c r="E3958">
        <v>196</v>
      </c>
      <c r="F3958">
        <v>92</v>
      </c>
      <c r="G3958">
        <v>154</v>
      </c>
      <c r="H3958">
        <v>1295</v>
      </c>
      <c r="I3958" s="1">
        <v>45323</v>
      </c>
      <c r="J3958">
        <v>246</v>
      </c>
      <c r="K3958" t="s">
        <v>26</v>
      </c>
    </row>
    <row r="3959" spans="1:11">
      <c r="A3959" s="1">
        <v>45351</v>
      </c>
      <c r="B3959" t="s">
        <v>40</v>
      </c>
      <c r="C3959" t="s">
        <v>68</v>
      </c>
      <c r="D3959">
        <v>3761</v>
      </c>
      <c r="E3959">
        <v>906</v>
      </c>
      <c r="F3959">
        <v>466</v>
      </c>
      <c r="G3959">
        <v>818</v>
      </c>
      <c r="H3959">
        <v>5951</v>
      </c>
      <c r="I3959" s="1">
        <v>45323</v>
      </c>
      <c r="J3959">
        <v>1284</v>
      </c>
      <c r="K3959" t="s">
        <v>26</v>
      </c>
    </row>
    <row r="3960" spans="1:11">
      <c r="A3960" s="1">
        <v>45351</v>
      </c>
      <c r="B3960" t="s">
        <v>40</v>
      </c>
      <c r="C3960" t="s">
        <v>47</v>
      </c>
      <c r="D3960">
        <v>643</v>
      </c>
      <c r="E3960">
        <v>141</v>
      </c>
      <c r="F3960">
        <v>18</v>
      </c>
      <c r="G3960">
        <v>17</v>
      </c>
      <c r="H3960">
        <v>820</v>
      </c>
      <c r="I3960" s="1">
        <v>45323</v>
      </c>
      <c r="J3960">
        <v>35</v>
      </c>
      <c r="K3960" t="s">
        <v>26</v>
      </c>
    </row>
    <row r="3961" spans="1:11">
      <c r="A3961" s="1">
        <v>45351</v>
      </c>
      <c r="B3961" t="s">
        <v>40</v>
      </c>
      <c r="C3961" t="s">
        <v>25</v>
      </c>
      <c r="D3961">
        <v>579</v>
      </c>
      <c r="E3961">
        <v>209</v>
      </c>
      <c r="F3961">
        <v>55</v>
      </c>
      <c r="G3961">
        <v>17</v>
      </c>
      <c r="H3961">
        <v>860</v>
      </c>
      <c r="I3961" s="1">
        <v>45323</v>
      </c>
      <c r="J3961">
        <v>72</v>
      </c>
      <c r="K3961" t="s">
        <v>26</v>
      </c>
    </row>
    <row r="3962" spans="1:11">
      <c r="A3962" s="1">
        <v>45351</v>
      </c>
      <c r="B3962" t="s">
        <v>40</v>
      </c>
      <c r="C3962" t="s">
        <v>51</v>
      </c>
      <c r="D3962">
        <v>749</v>
      </c>
      <c r="E3962">
        <v>231</v>
      </c>
      <c r="F3962">
        <v>17</v>
      </c>
      <c r="G3962">
        <v>7</v>
      </c>
      <c r="H3962">
        <v>1003</v>
      </c>
      <c r="I3962" s="1">
        <v>45323</v>
      </c>
      <c r="J3962">
        <v>24</v>
      </c>
      <c r="K3962" t="s">
        <v>26</v>
      </c>
    </row>
    <row r="3963" spans="1:11">
      <c r="A3963" s="1">
        <v>45351</v>
      </c>
      <c r="B3963" t="s">
        <v>40</v>
      </c>
      <c r="C3963" t="s">
        <v>45</v>
      </c>
      <c r="D3963">
        <v>368</v>
      </c>
      <c r="E3963">
        <v>70</v>
      </c>
      <c r="F3963">
        <v>17</v>
      </c>
      <c r="G3963">
        <v>15</v>
      </c>
      <c r="H3963">
        <v>470</v>
      </c>
      <c r="I3963" s="1">
        <v>45323</v>
      </c>
      <c r="J3963">
        <v>32</v>
      </c>
      <c r="K3963" t="s">
        <v>26</v>
      </c>
    </row>
    <row r="3964" spans="1:11">
      <c r="A3964" s="1">
        <v>45351</v>
      </c>
      <c r="B3964" t="s">
        <v>40</v>
      </c>
      <c r="C3964" t="s">
        <v>31</v>
      </c>
      <c r="D3964">
        <v>524</v>
      </c>
      <c r="E3964">
        <v>206</v>
      </c>
      <c r="F3964">
        <v>44</v>
      </c>
      <c r="G3964">
        <v>39</v>
      </c>
      <c r="H3964">
        <v>812</v>
      </c>
      <c r="I3964" s="1">
        <v>45323</v>
      </c>
      <c r="J3964">
        <v>83</v>
      </c>
      <c r="K3964" t="s">
        <v>26</v>
      </c>
    </row>
    <row r="3965" spans="1:11">
      <c r="A3965" s="1">
        <v>45351</v>
      </c>
      <c r="B3965" t="s">
        <v>40</v>
      </c>
      <c r="C3965" t="s">
        <v>63</v>
      </c>
      <c r="D3965">
        <v>2186</v>
      </c>
      <c r="E3965">
        <v>753</v>
      </c>
      <c r="F3965">
        <v>204</v>
      </c>
      <c r="G3965">
        <v>117</v>
      </c>
      <c r="H3965">
        <v>3260</v>
      </c>
      <c r="I3965" s="1">
        <v>45323</v>
      </c>
      <c r="J3965">
        <v>321</v>
      </c>
      <c r="K3965" t="s">
        <v>26</v>
      </c>
    </row>
    <row r="3966" spans="1:11">
      <c r="A3966" s="1">
        <v>45351</v>
      </c>
      <c r="B3966" t="s">
        <v>40</v>
      </c>
      <c r="C3966" t="s">
        <v>60</v>
      </c>
      <c r="D3966">
        <v>1334</v>
      </c>
      <c r="E3966">
        <v>496</v>
      </c>
      <c r="F3966">
        <v>134</v>
      </c>
      <c r="G3966">
        <v>121</v>
      </c>
      <c r="H3966">
        <v>2086</v>
      </c>
      <c r="I3966" s="1">
        <v>45323</v>
      </c>
      <c r="J3966">
        <v>255</v>
      </c>
      <c r="K3966" t="s">
        <v>26</v>
      </c>
    </row>
    <row r="3967" spans="1:11">
      <c r="A3967" s="1">
        <v>45351</v>
      </c>
      <c r="B3967" t="s">
        <v>40</v>
      </c>
      <c r="C3967" t="s">
        <v>61</v>
      </c>
      <c r="D3967">
        <v>2700</v>
      </c>
      <c r="E3967">
        <v>788</v>
      </c>
      <c r="F3967">
        <v>229</v>
      </c>
      <c r="G3967">
        <v>314</v>
      </c>
      <c r="H3967">
        <v>4031</v>
      </c>
      <c r="I3967" s="1">
        <v>45323</v>
      </c>
      <c r="J3967">
        <v>543</v>
      </c>
      <c r="K3967" t="s">
        <v>26</v>
      </c>
    </row>
    <row r="3968" spans="1:11">
      <c r="A3968" s="1">
        <v>45351</v>
      </c>
      <c r="B3968" t="s">
        <v>40</v>
      </c>
      <c r="C3968" t="s">
        <v>62</v>
      </c>
      <c r="D3968">
        <v>358</v>
      </c>
      <c r="E3968">
        <v>85</v>
      </c>
      <c r="F3968">
        <v>57</v>
      </c>
      <c r="G3968">
        <v>19</v>
      </c>
      <c r="H3968">
        <v>519</v>
      </c>
      <c r="I3968" s="1">
        <v>45323</v>
      </c>
      <c r="J3968">
        <v>76</v>
      </c>
      <c r="K3968" t="s">
        <v>26</v>
      </c>
    </row>
    <row r="3969" spans="1:11">
      <c r="A3969" s="1">
        <v>45351</v>
      </c>
      <c r="B3969" t="s">
        <v>40</v>
      </c>
      <c r="C3969" t="s">
        <v>69</v>
      </c>
      <c r="D3969">
        <v>3719</v>
      </c>
      <c r="E3969">
        <v>1526</v>
      </c>
      <c r="F3969">
        <v>815</v>
      </c>
      <c r="G3969">
        <v>856</v>
      </c>
      <c r="H3969">
        <v>6916</v>
      </c>
      <c r="I3969" s="1">
        <v>45323</v>
      </c>
      <c r="J3969">
        <v>1671</v>
      </c>
      <c r="K3969" t="s">
        <v>26</v>
      </c>
    </row>
    <row r="3970" spans="1:11">
      <c r="A3970" s="1">
        <v>45351</v>
      </c>
      <c r="B3970" t="s">
        <v>40</v>
      </c>
      <c r="C3970" t="s">
        <v>29</v>
      </c>
      <c r="D3970">
        <v>498</v>
      </c>
      <c r="E3970">
        <v>208</v>
      </c>
      <c r="F3970">
        <v>81</v>
      </c>
      <c r="G3970">
        <v>41</v>
      </c>
      <c r="H3970">
        <v>828</v>
      </c>
      <c r="I3970" s="1">
        <v>45323</v>
      </c>
      <c r="J3970">
        <v>122</v>
      </c>
      <c r="K3970" t="s">
        <v>26</v>
      </c>
    </row>
    <row r="3971" spans="1:11">
      <c r="A3971" s="1">
        <v>45351</v>
      </c>
      <c r="B3971" t="s">
        <v>40</v>
      </c>
      <c r="C3971" t="s">
        <v>70</v>
      </c>
      <c r="D3971">
        <v>633</v>
      </c>
      <c r="E3971">
        <v>140</v>
      </c>
      <c r="F3971">
        <v>54</v>
      </c>
      <c r="G3971">
        <v>16</v>
      </c>
      <c r="H3971">
        <v>843</v>
      </c>
      <c r="I3971" s="1">
        <v>45323</v>
      </c>
      <c r="J3971">
        <v>70</v>
      </c>
      <c r="K3971" t="s">
        <v>26</v>
      </c>
    </row>
    <row r="3972" spans="1:11">
      <c r="A3972" s="1">
        <v>45351</v>
      </c>
      <c r="B3972" t="s">
        <v>40</v>
      </c>
      <c r="C3972" t="s">
        <v>71</v>
      </c>
      <c r="D3972">
        <v>2427</v>
      </c>
      <c r="E3972">
        <v>642</v>
      </c>
      <c r="F3972">
        <v>269</v>
      </c>
      <c r="G3972">
        <v>314</v>
      </c>
      <c r="H3972">
        <v>3652</v>
      </c>
      <c r="I3972" s="1">
        <v>45323</v>
      </c>
      <c r="J3972">
        <v>583</v>
      </c>
      <c r="K3972" t="s">
        <v>26</v>
      </c>
    </row>
    <row r="3973" spans="1:11">
      <c r="A3973" s="1">
        <v>45351</v>
      </c>
      <c r="B3973" t="s">
        <v>40</v>
      </c>
      <c r="C3973" t="s">
        <v>36</v>
      </c>
      <c r="D3973">
        <v>2468</v>
      </c>
      <c r="E3973">
        <v>424</v>
      </c>
      <c r="F3973">
        <v>124</v>
      </c>
      <c r="G3973">
        <v>111</v>
      </c>
      <c r="H3973">
        <v>3126</v>
      </c>
      <c r="I3973" s="1">
        <v>45323</v>
      </c>
      <c r="J3973">
        <v>235</v>
      </c>
      <c r="K3973" t="s">
        <v>26</v>
      </c>
    </row>
    <row r="3974" spans="1:11">
      <c r="A3974" s="1">
        <v>45351</v>
      </c>
      <c r="B3974" t="s">
        <v>40</v>
      </c>
      <c r="C3974" t="s">
        <v>67</v>
      </c>
      <c r="D3974">
        <v>2973</v>
      </c>
      <c r="E3974">
        <v>870</v>
      </c>
      <c r="F3974">
        <v>540</v>
      </c>
      <c r="G3974">
        <v>759</v>
      </c>
      <c r="H3974">
        <v>5142</v>
      </c>
      <c r="I3974" s="1">
        <v>45323</v>
      </c>
      <c r="J3974">
        <v>1299</v>
      </c>
      <c r="K3974" t="s">
        <v>26</v>
      </c>
    </row>
    <row r="3975" spans="1:11">
      <c r="A3975" s="1">
        <v>45351</v>
      </c>
      <c r="B3975" t="s">
        <v>40</v>
      </c>
      <c r="C3975" t="s">
        <v>49</v>
      </c>
      <c r="D3975">
        <v>509</v>
      </c>
      <c r="E3975">
        <v>162</v>
      </c>
      <c r="F3975">
        <v>51</v>
      </c>
      <c r="G3975">
        <v>41</v>
      </c>
      <c r="H3975">
        <v>763</v>
      </c>
      <c r="I3975" s="1">
        <v>45323</v>
      </c>
      <c r="J3975">
        <v>92</v>
      </c>
      <c r="K3975" t="s">
        <v>26</v>
      </c>
    </row>
    <row r="3976" spans="1:11">
      <c r="A3976" s="1">
        <v>45379</v>
      </c>
      <c r="B3976" t="s">
        <v>40</v>
      </c>
      <c r="C3976" t="s">
        <v>50</v>
      </c>
      <c r="D3976">
        <v>93</v>
      </c>
      <c r="E3976">
        <v>25</v>
      </c>
      <c r="F3976">
        <v>12</v>
      </c>
      <c r="G3976">
        <v>28</v>
      </c>
      <c r="H3976">
        <v>158</v>
      </c>
      <c r="I3976" s="1">
        <v>45352</v>
      </c>
      <c r="J3976">
        <v>40</v>
      </c>
      <c r="K3976" t="s">
        <v>26</v>
      </c>
    </row>
    <row r="3977" spans="1:11">
      <c r="A3977" s="1">
        <v>45379</v>
      </c>
      <c r="B3977" t="s">
        <v>40</v>
      </c>
      <c r="C3977" t="s">
        <v>48</v>
      </c>
      <c r="D3977">
        <v>5032</v>
      </c>
      <c r="E3977">
        <v>1752</v>
      </c>
      <c r="F3977">
        <v>604</v>
      </c>
      <c r="G3977">
        <v>398</v>
      </c>
      <c r="H3977">
        <v>7786</v>
      </c>
      <c r="I3977" s="1">
        <v>45352</v>
      </c>
      <c r="J3977">
        <v>1002</v>
      </c>
      <c r="K3977" t="s">
        <v>26</v>
      </c>
    </row>
    <row r="3978" spans="1:11">
      <c r="A3978" s="1">
        <v>45379</v>
      </c>
      <c r="B3978" t="s">
        <v>40</v>
      </c>
      <c r="C3978" t="s">
        <v>65</v>
      </c>
      <c r="D3978">
        <v>851</v>
      </c>
      <c r="E3978">
        <v>234</v>
      </c>
      <c r="F3978">
        <v>137</v>
      </c>
      <c r="G3978">
        <v>207</v>
      </c>
      <c r="H3978">
        <v>1429</v>
      </c>
      <c r="I3978" s="1">
        <v>45352</v>
      </c>
      <c r="J3978">
        <v>344</v>
      </c>
      <c r="K3978" t="s">
        <v>26</v>
      </c>
    </row>
    <row r="3979" spans="1:11">
      <c r="A3979" s="1">
        <v>45379</v>
      </c>
      <c r="B3979" t="s">
        <v>40</v>
      </c>
      <c r="C3979" t="s">
        <v>30</v>
      </c>
      <c r="D3979">
        <v>520</v>
      </c>
      <c r="E3979">
        <v>105</v>
      </c>
      <c r="F3979">
        <v>35</v>
      </c>
      <c r="G3979">
        <v>10</v>
      </c>
      <c r="H3979">
        <v>670</v>
      </c>
      <c r="I3979" s="1">
        <v>45352</v>
      </c>
      <c r="J3979">
        <v>45</v>
      </c>
      <c r="K3979" t="s">
        <v>26</v>
      </c>
    </row>
    <row r="3980" spans="1:11">
      <c r="A3980" s="1">
        <v>45379</v>
      </c>
      <c r="B3980" t="s">
        <v>40</v>
      </c>
      <c r="C3980" t="s">
        <v>66</v>
      </c>
      <c r="D3980">
        <v>4991</v>
      </c>
      <c r="E3980">
        <v>2214</v>
      </c>
      <c r="F3980">
        <v>789</v>
      </c>
      <c r="G3980">
        <v>1444</v>
      </c>
      <c r="H3980">
        <v>9438</v>
      </c>
      <c r="I3980" s="1">
        <v>45352</v>
      </c>
      <c r="J3980">
        <v>2233</v>
      </c>
      <c r="K3980" t="s">
        <v>26</v>
      </c>
    </row>
    <row r="3981" spans="1:11">
      <c r="A3981" s="1">
        <v>45379</v>
      </c>
      <c r="B3981" t="s">
        <v>40</v>
      </c>
      <c r="C3981" t="s">
        <v>56</v>
      </c>
      <c r="D3981">
        <v>585</v>
      </c>
      <c r="E3981">
        <v>104</v>
      </c>
      <c r="F3981">
        <v>32</v>
      </c>
      <c r="G3981">
        <v>15</v>
      </c>
      <c r="H3981">
        <v>736</v>
      </c>
      <c r="I3981" s="1">
        <v>45352</v>
      </c>
      <c r="J3981">
        <v>47</v>
      </c>
      <c r="K3981" t="s">
        <v>26</v>
      </c>
    </row>
    <row r="3982" spans="1:11">
      <c r="A3982" s="1">
        <v>45379</v>
      </c>
      <c r="B3982" t="s">
        <v>40</v>
      </c>
      <c r="C3982" t="s">
        <v>57</v>
      </c>
      <c r="D3982">
        <v>983</v>
      </c>
      <c r="E3982">
        <v>185</v>
      </c>
      <c r="F3982">
        <v>82</v>
      </c>
      <c r="G3982">
        <v>141</v>
      </c>
      <c r="H3982">
        <v>1392</v>
      </c>
      <c r="I3982" s="1">
        <v>45352</v>
      </c>
      <c r="J3982">
        <v>223</v>
      </c>
      <c r="K3982" t="s">
        <v>26</v>
      </c>
    </row>
    <row r="3983" spans="1:11">
      <c r="A3983" s="1">
        <v>45379</v>
      </c>
      <c r="B3983" t="s">
        <v>40</v>
      </c>
      <c r="C3983" t="s">
        <v>68</v>
      </c>
      <c r="D3983">
        <v>3906</v>
      </c>
      <c r="E3983">
        <v>913</v>
      </c>
      <c r="F3983">
        <v>465</v>
      </c>
      <c r="G3983">
        <v>813</v>
      </c>
      <c r="H3983">
        <v>6097</v>
      </c>
      <c r="I3983" s="1">
        <v>45352</v>
      </c>
      <c r="J3983">
        <v>1278</v>
      </c>
      <c r="K3983" t="s">
        <v>26</v>
      </c>
    </row>
    <row r="3984" spans="1:11">
      <c r="A3984" s="1">
        <v>45379</v>
      </c>
      <c r="B3984" t="s">
        <v>40</v>
      </c>
      <c r="C3984" t="s">
        <v>47</v>
      </c>
      <c r="D3984">
        <v>718</v>
      </c>
      <c r="E3984">
        <v>117</v>
      </c>
      <c r="F3984">
        <v>10</v>
      </c>
      <c r="G3984">
        <v>6</v>
      </c>
      <c r="H3984">
        <v>851</v>
      </c>
      <c r="I3984" s="1">
        <v>45352</v>
      </c>
      <c r="J3984">
        <v>16</v>
      </c>
      <c r="K3984" t="s">
        <v>26</v>
      </c>
    </row>
    <row r="3985" spans="1:11">
      <c r="A3985" s="1">
        <v>45379</v>
      </c>
      <c r="B3985" t="s">
        <v>40</v>
      </c>
      <c r="C3985" t="s">
        <v>25</v>
      </c>
      <c r="D3985">
        <v>568</v>
      </c>
      <c r="E3985">
        <v>190</v>
      </c>
      <c r="F3985">
        <v>60</v>
      </c>
      <c r="G3985">
        <v>21</v>
      </c>
      <c r="H3985">
        <v>839</v>
      </c>
      <c r="I3985" s="1">
        <v>45352</v>
      </c>
      <c r="J3985">
        <v>81</v>
      </c>
      <c r="K3985" t="s">
        <v>26</v>
      </c>
    </row>
    <row r="3986" spans="1:11">
      <c r="A3986" s="1">
        <v>45379</v>
      </c>
      <c r="B3986" t="s">
        <v>40</v>
      </c>
      <c r="C3986" t="s">
        <v>51</v>
      </c>
      <c r="D3986">
        <v>699</v>
      </c>
      <c r="E3986">
        <v>205</v>
      </c>
      <c r="F3986">
        <v>19</v>
      </c>
      <c r="G3986">
        <v>8</v>
      </c>
      <c r="H3986">
        <v>930</v>
      </c>
      <c r="I3986" s="1">
        <v>45352</v>
      </c>
      <c r="J3986">
        <v>27</v>
      </c>
      <c r="K3986" t="s">
        <v>26</v>
      </c>
    </row>
    <row r="3987" spans="1:11">
      <c r="A3987" s="1">
        <v>45379</v>
      </c>
      <c r="B3987" t="s">
        <v>40</v>
      </c>
      <c r="C3987" t="s">
        <v>45</v>
      </c>
      <c r="D3987">
        <v>290</v>
      </c>
      <c r="E3987">
        <v>78</v>
      </c>
      <c r="F3987">
        <v>19</v>
      </c>
      <c r="G3987">
        <v>18</v>
      </c>
      <c r="H3987">
        <v>405</v>
      </c>
      <c r="I3987" s="1">
        <v>45352</v>
      </c>
      <c r="J3987">
        <v>37</v>
      </c>
      <c r="K3987" t="s">
        <v>26</v>
      </c>
    </row>
    <row r="3988" spans="1:11">
      <c r="A3988" s="1">
        <v>45379</v>
      </c>
      <c r="B3988" t="s">
        <v>40</v>
      </c>
      <c r="C3988" t="s">
        <v>31</v>
      </c>
      <c r="D3988">
        <v>521</v>
      </c>
      <c r="E3988">
        <v>163</v>
      </c>
      <c r="F3988">
        <v>55</v>
      </c>
      <c r="G3988">
        <v>36</v>
      </c>
      <c r="H3988">
        <v>775</v>
      </c>
      <c r="I3988" s="1">
        <v>45352</v>
      </c>
      <c r="J3988">
        <v>91</v>
      </c>
      <c r="K3988" t="s">
        <v>26</v>
      </c>
    </row>
    <row r="3989" spans="1:11">
      <c r="A3989" s="1">
        <v>45379</v>
      </c>
      <c r="B3989" t="s">
        <v>40</v>
      </c>
      <c r="C3989" t="s">
        <v>63</v>
      </c>
      <c r="D3989">
        <v>2009</v>
      </c>
      <c r="E3989">
        <v>898</v>
      </c>
      <c r="F3989">
        <v>207</v>
      </c>
      <c r="G3989">
        <v>113</v>
      </c>
      <c r="H3989">
        <v>3227</v>
      </c>
      <c r="I3989" s="1">
        <v>45352</v>
      </c>
      <c r="J3989">
        <v>320</v>
      </c>
      <c r="K3989" t="s">
        <v>26</v>
      </c>
    </row>
    <row r="3990" spans="1:11">
      <c r="A3990" s="1">
        <v>45379</v>
      </c>
      <c r="B3990" t="s">
        <v>40</v>
      </c>
      <c r="C3990" t="s">
        <v>60</v>
      </c>
      <c r="D3990">
        <v>1333</v>
      </c>
      <c r="E3990">
        <v>527</v>
      </c>
      <c r="F3990">
        <v>128</v>
      </c>
      <c r="G3990">
        <v>124</v>
      </c>
      <c r="H3990">
        <v>2113</v>
      </c>
      <c r="I3990" s="1">
        <v>45352</v>
      </c>
      <c r="J3990">
        <v>252</v>
      </c>
      <c r="K3990" t="s">
        <v>26</v>
      </c>
    </row>
    <row r="3991" spans="1:11">
      <c r="A3991" s="1">
        <v>45379</v>
      </c>
      <c r="B3991" t="s">
        <v>40</v>
      </c>
      <c r="C3991" t="s">
        <v>61</v>
      </c>
      <c r="D3991">
        <v>2663</v>
      </c>
      <c r="E3991">
        <v>808</v>
      </c>
      <c r="F3991">
        <v>273</v>
      </c>
      <c r="G3991">
        <v>314</v>
      </c>
      <c r="H3991">
        <v>4058</v>
      </c>
      <c r="I3991" s="1">
        <v>45352</v>
      </c>
      <c r="J3991">
        <v>587</v>
      </c>
      <c r="K3991" t="s">
        <v>26</v>
      </c>
    </row>
    <row r="3992" spans="1:11">
      <c r="A3992" s="1">
        <v>45379</v>
      </c>
      <c r="B3992" t="s">
        <v>40</v>
      </c>
      <c r="C3992" t="s">
        <v>62</v>
      </c>
      <c r="D3992">
        <v>313</v>
      </c>
      <c r="E3992">
        <v>110</v>
      </c>
      <c r="F3992">
        <v>44</v>
      </c>
      <c r="G3992">
        <v>19</v>
      </c>
      <c r="H3992">
        <v>486</v>
      </c>
      <c r="I3992" s="1">
        <v>45352</v>
      </c>
      <c r="J3992">
        <v>63</v>
      </c>
      <c r="K3992" t="s">
        <v>26</v>
      </c>
    </row>
    <row r="3993" spans="1:11">
      <c r="A3993" s="1">
        <v>45379</v>
      </c>
      <c r="B3993" t="s">
        <v>40</v>
      </c>
      <c r="C3993" t="s">
        <v>69</v>
      </c>
      <c r="D3993">
        <v>3772</v>
      </c>
      <c r="E3993">
        <v>1539</v>
      </c>
      <c r="F3993">
        <v>781</v>
      </c>
      <c r="G3993">
        <v>828</v>
      </c>
      <c r="H3993">
        <v>6920</v>
      </c>
      <c r="I3993" s="1">
        <v>45352</v>
      </c>
      <c r="J3993">
        <v>1609</v>
      </c>
      <c r="K3993" t="s">
        <v>26</v>
      </c>
    </row>
    <row r="3994" spans="1:11">
      <c r="A3994" s="1">
        <v>45379</v>
      </c>
      <c r="B3994" t="s">
        <v>40</v>
      </c>
      <c r="C3994" t="s">
        <v>29</v>
      </c>
      <c r="D3994">
        <v>506</v>
      </c>
      <c r="E3994">
        <v>208</v>
      </c>
      <c r="F3994">
        <v>83</v>
      </c>
      <c r="G3994">
        <v>46</v>
      </c>
      <c r="H3994">
        <v>843</v>
      </c>
      <c r="I3994" s="1">
        <v>45352</v>
      </c>
      <c r="J3994">
        <v>129</v>
      </c>
      <c r="K3994" t="s">
        <v>26</v>
      </c>
    </row>
    <row r="3995" spans="1:11">
      <c r="A3995" s="1">
        <v>45379</v>
      </c>
      <c r="B3995" t="s">
        <v>40</v>
      </c>
      <c r="C3995" t="s">
        <v>70</v>
      </c>
      <c r="D3995">
        <v>683</v>
      </c>
      <c r="E3995">
        <v>143</v>
      </c>
      <c r="F3995">
        <v>45</v>
      </c>
      <c r="G3995">
        <v>20</v>
      </c>
      <c r="H3995">
        <v>890</v>
      </c>
      <c r="I3995" s="1">
        <v>45352</v>
      </c>
      <c r="J3995">
        <v>65</v>
      </c>
      <c r="K3995" t="s">
        <v>26</v>
      </c>
    </row>
    <row r="3996" spans="1:11">
      <c r="A3996" s="1">
        <v>45379</v>
      </c>
      <c r="B3996" t="s">
        <v>40</v>
      </c>
      <c r="C3996" t="s">
        <v>71</v>
      </c>
      <c r="D3996">
        <v>2447</v>
      </c>
      <c r="E3996">
        <v>671</v>
      </c>
      <c r="F3996">
        <v>248</v>
      </c>
      <c r="G3996">
        <v>322</v>
      </c>
      <c r="H3996">
        <v>3689</v>
      </c>
      <c r="I3996" s="1">
        <v>45352</v>
      </c>
      <c r="J3996">
        <v>570</v>
      </c>
      <c r="K3996" t="s">
        <v>26</v>
      </c>
    </row>
    <row r="3997" spans="1:11">
      <c r="A3997" s="1">
        <v>45379</v>
      </c>
      <c r="B3997" t="s">
        <v>40</v>
      </c>
      <c r="C3997" t="s">
        <v>36</v>
      </c>
      <c r="D3997">
        <v>2536</v>
      </c>
      <c r="E3997">
        <v>473</v>
      </c>
      <c r="F3997">
        <v>121</v>
      </c>
      <c r="G3997">
        <v>149</v>
      </c>
      <c r="H3997">
        <v>3279</v>
      </c>
      <c r="I3997" s="1">
        <v>45352</v>
      </c>
      <c r="J3997">
        <v>270</v>
      </c>
      <c r="K3997" t="s">
        <v>26</v>
      </c>
    </row>
    <row r="3998" spans="1:11">
      <c r="A3998" s="1">
        <v>45379</v>
      </c>
      <c r="B3998" t="s">
        <v>40</v>
      </c>
      <c r="C3998" t="s">
        <v>67</v>
      </c>
      <c r="D3998">
        <v>2747</v>
      </c>
      <c r="E3998">
        <v>851</v>
      </c>
      <c r="F3998">
        <v>572</v>
      </c>
      <c r="G3998">
        <v>739</v>
      </c>
      <c r="H3998">
        <v>4908</v>
      </c>
      <c r="I3998" s="1">
        <v>45352</v>
      </c>
      <c r="J3998">
        <v>1311</v>
      </c>
      <c r="K3998" t="s">
        <v>26</v>
      </c>
    </row>
    <row r="3999" spans="1:11">
      <c r="A3999" s="1">
        <v>45379</v>
      </c>
      <c r="B3999" t="s">
        <v>40</v>
      </c>
      <c r="C3999" t="s">
        <v>49</v>
      </c>
      <c r="D3999">
        <v>499</v>
      </c>
      <c r="E3999">
        <v>185</v>
      </c>
      <c r="F3999">
        <v>44</v>
      </c>
      <c r="G3999">
        <v>46</v>
      </c>
      <c r="H3999">
        <v>774</v>
      </c>
      <c r="I3999" s="1">
        <v>45352</v>
      </c>
      <c r="J3999">
        <v>90</v>
      </c>
      <c r="K3999" t="s">
        <v>26</v>
      </c>
    </row>
    <row r="4000" spans="1:11">
      <c r="A4000" s="1">
        <v>45407</v>
      </c>
      <c r="B4000" t="s">
        <v>40</v>
      </c>
      <c r="C4000" t="s">
        <v>50</v>
      </c>
      <c r="D4000">
        <v>96</v>
      </c>
      <c r="E4000">
        <v>22</v>
      </c>
      <c r="F4000">
        <v>20</v>
      </c>
      <c r="G4000">
        <v>29</v>
      </c>
      <c r="H4000">
        <v>166</v>
      </c>
      <c r="I4000" s="1">
        <v>45383</v>
      </c>
      <c r="J4000">
        <v>49</v>
      </c>
      <c r="K4000" t="s">
        <v>26</v>
      </c>
    </row>
    <row r="4001" spans="1:11">
      <c r="A4001" s="1">
        <v>45407</v>
      </c>
      <c r="B4001" t="s">
        <v>40</v>
      </c>
      <c r="C4001" t="s">
        <v>48</v>
      </c>
      <c r="D4001">
        <v>5319</v>
      </c>
      <c r="E4001">
        <v>1814</v>
      </c>
      <c r="F4001">
        <v>659</v>
      </c>
      <c r="G4001">
        <v>468</v>
      </c>
      <c r="H4001">
        <v>8259</v>
      </c>
      <c r="I4001" s="1">
        <v>45383</v>
      </c>
      <c r="J4001">
        <v>1127</v>
      </c>
      <c r="K4001" t="s">
        <v>26</v>
      </c>
    </row>
    <row r="4002" spans="1:11">
      <c r="A4002" s="1">
        <v>45407</v>
      </c>
      <c r="B4002" t="s">
        <v>40</v>
      </c>
      <c r="C4002" t="s">
        <v>65</v>
      </c>
      <c r="D4002">
        <v>894</v>
      </c>
      <c r="E4002">
        <v>220</v>
      </c>
      <c r="F4002">
        <v>132</v>
      </c>
      <c r="G4002">
        <v>196</v>
      </c>
      <c r="H4002">
        <v>1442</v>
      </c>
      <c r="I4002" s="1">
        <v>45383</v>
      </c>
      <c r="J4002">
        <v>328</v>
      </c>
      <c r="K4002" t="s">
        <v>26</v>
      </c>
    </row>
    <row r="4003" spans="1:11">
      <c r="A4003" s="1">
        <v>45407</v>
      </c>
      <c r="B4003" t="s">
        <v>40</v>
      </c>
      <c r="C4003" t="s">
        <v>30</v>
      </c>
      <c r="D4003">
        <v>478</v>
      </c>
      <c r="E4003">
        <v>118</v>
      </c>
      <c r="F4003">
        <v>28</v>
      </c>
      <c r="G4003">
        <v>6</v>
      </c>
      <c r="H4003">
        <v>630</v>
      </c>
      <c r="I4003" s="1">
        <v>45383</v>
      </c>
      <c r="J4003">
        <v>34</v>
      </c>
      <c r="K4003" t="s">
        <v>26</v>
      </c>
    </row>
    <row r="4004" spans="1:11">
      <c r="A4004" s="1">
        <v>45407</v>
      </c>
      <c r="B4004" t="s">
        <v>40</v>
      </c>
      <c r="C4004" t="s">
        <v>66</v>
      </c>
      <c r="D4004">
        <v>4971</v>
      </c>
      <c r="E4004">
        <v>2295</v>
      </c>
      <c r="F4004">
        <v>723</v>
      </c>
      <c r="G4004">
        <v>1439</v>
      </c>
      <c r="H4004">
        <v>9428</v>
      </c>
      <c r="I4004" s="1">
        <v>45383</v>
      </c>
      <c r="J4004">
        <v>2162</v>
      </c>
      <c r="K4004" t="s">
        <v>26</v>
      </c>
    </row>
    <row r="4005" spans="1:11">
      <c r="A4005" s="1">
        <v>45407</v>
      </c>
      <c r="B4005" t="s">
        <v>40</v>
      </c>
      <c r="C4005" t="s">
        <v>56</v>
      </c>
      <c r="D4005">
        <v>594</v>
      </c>
      <c r="E4005">
        <v>116</v>
      </c>
      <c r="F4005">
        <v>32</v>
      </c>
      <c r="G4005">
        <v>19</v>
      </c>
      <c r="H4005">
        <v>761</v>
      </c>
      <c r="I4005" s="1">
        <v>45383</v>
      </c>
      <c r="J4005">
        <v>51</v>
      </c>
      <c r="K4005" t="s">
        <v>26</v>
      </c>
    </row>
    <row r="4006" spans="1:11">
      <c r="A4006" s="1">
        <v>45407</v>
      </c>
      <c r="B4006" t="s">
        <v>40</v>
      </c>
      <c r="C4006" t="s">
        <v>57</v>
      </c>
      <c r="D4006">
        <v>1144</v>
      </c>
      <c r="E4006">
        <v>216</v>
      </c>
      <c r="F4006">
        <v>83</v>
      </c>
      <c r="G4006">
        <v>115</v>
      </c>
      <c r="H4006">
        <v>1558</v>
      </c>
      <c r="I4006" s="1">
        <v>45383</v>
      </c>
      <c r="J4006">
        <v>198</v>
      </c>
      <c r="K4006" t="s">
        <v>26</v>
      </c>
    </row>
    <row r="4007" spans="1:11">
      <c r="A4007" s="1">
        <v>45407</v>
      </c>
      <c r="B4007" t="s">
        <v>40</v>
      </c>
      <c r="C4007" t="s">
        <v>68</v>
      </c>
      <c r="D4007">
        <v>3969</v>
      </c>
      <c r="E4007">
        <v>895</v>
      </c>
      <c r="F4007">
        <v>428</v>
      </c>
      <c r="G4007">
        <v>848</v>
      </c>
      <c r="H4007">
        <v>6140</v>
      </c>
      <c r="I4007" s="1">
        <v>45383</v>
      </c>
      <c r="J4007">
        <v>1276</v>
      </c>
      <c r="K4007" t="s">
        <v>26</v>
      </c>
    </row>
    <row r="4008" spans="1:11">
      <c r="A4008" s="1">
        <v>45407</v>
      </c>
      <c r="B4008" t="s">
        <v>40</v>
      </c>
      <c r="C4008" t="s">
        <v>47</v>
      </c>
      <c r="D4008">
        <v>611</v>
      </c>
      <c r="E4008">
        <v>136</v>
      </c>
      <c r="F4008">
        <v>10</v>
      </c>
      <c r="G4008">
        <v>9</v>
      </c>
      <c r="H4008">
        <v>765</v>
      </c>
      <c r="I4008" s="1">
        <v>45383</v>
      </c>
      <c r="J4008">
        <v>19</v>
      </c>
      <c r="K4008" t="s">
        <v>26</v>
      </c>
    </row>
    <row r="4009" spans="1:11">
      <c r="A4009" s="1">
        <v>45407</v>
      </c>
      <c r="B4009" t="s">
        <v>40</v>
      </c>
      <c r="C4009" t="s">
        <v>25</v>
      </c>
      <c r="D4009">
        <v>485</v>
      </c>
      <c r="E4009">
        <v>175</v>
      </c>
      <c r="F4009">
        <v>54</v>
      </c>
      <c r="G4009">
        <v>18</v>
      </c>
      <c r="H4009">
        <v>733</v>
      </c>
      <c r="I4009" s="1">
        <v>45383</v>
      </c>
      <c r="J4009">
        <v>72</v>
      </c>
      <c r="K4009" t="s">
        <v>26</v>
      </c>
    </row>
    <row r="4010" spans="1:11">
      <c r="A4010" s="1">
        <v>45407</v>
      </c>
      <c r="B4010" t="s">
        <v>40</v>
      </c>
      <c r="C4010" t="s">
        <v>51</v>
      </c>
      <c r="D4010">
        <v>617</v>
      </c>
      <c r="E4010">
        <v>210</v>
      </c>
      <c r="F4010">
        <v>11</v>
      </c>
      <c r="G4010">
        <v>5</v>
      </c>
      <c r="H4010">
        <v>843</v>
      </c>
      <c r="I4010" s="1">
        <v>45383</v>
      </c>
      <c r="J4010">
        <v>16</v>
      </c>
      <c r="K4010" t="s">
        <v>26</v>
      </c>
    </row>
    <row r="4011" spans="1:11">
      <c r="A4011" s="1">
        <v>45407</v>
      </c>
      <c r="B4011" t="s">
        <v>40</v>
      </c>
      <c r="C4011" t="s">
        <v>45</v>
      </c>
      <c r="D4011">
        <v>276</v>
      </c>
      <c r="E4011">
        <v>89</v>
      </c>
      <c r="F4011">
        <v>19</v>
      </c>
      <c r="G4011">
        <v>18</v>
      </c>
      <c r="H4011">
        <v>402</v>
      </c>
      <c r="I4011" s="1">
        <v>45383</v>
      </c>
      <c r="J4011">
        <v>37</v>
      </c>
      <c r="K4011" t="s">
        <v>26</v>
      </c>
    </row>
    <row r="4012" spans="1:11">
      <c r="A4012" s="1">
        <v>45407</v>
      </c>
      <c r="B4012" t="s">
        <v>40</v>
      </c>
      <c r="C4012" t="s">
        <v>54</v>
      </c>
      <c r="D4012">
        <v>1428</v>
      </c>
      <c r="E4012">
        <v>287</v>
      </c>
      <c r="F4012">
        <v>46</v>
      </c>
      <c r="G4012">
        <v>6</v>
      </c>
      <c r="H4012">
        <v>1766</v>
      </c>
      <c r="I4012" s="1">
        <v>45383</v>
      </c>
      <c r="J4012">
        <v>52</v>
      </c>
      <c r="K4012" t="s">
        <v>26</v>
      </c>
    </row>
    <row r="4013" spans="1:11">
      <c r="A4013" s="1">
        <v>45407</v>
      </c>
      <c r="B4013" t="s">
        <v>40</v>
      </c>
      <c r="C4013" t="s">
        <v>46</v>
      </c>
      <c r="D4013">
        <v>355</v>
      </c>
      <c r="E4013">
        <v>143</v>
      </c>
      <c r="F4013">
        <v>32</v>
      </c>
      <c r="G4013">
        <v>1</v>
      </c>
      <c r="H4013">
        <v>532</v>
      </c>
      <c r="I4013" s="1">
        <v>45383</v>
      </c>
      <c r="J4013">
        <v>33</v>
      </c>
      <c r="K4013" t="s">
        <v>26</v>
      </c>
    </row>
    <row r="4014" spans="1:11">
      <c r="A4014" s="1">
        <v>45407</v>
      </c>
      <c r="B4014" t="s">
        <v>40</v>
      </c>
      <c r="C4014" t="s">
        <v>31</v>
      </c>
      <c r="D4014">
        <v>506</v>
      </c>
      <c r="E4014">
        <v>168</v>
      </c>
      <c r="F4014">
        <v>62</v>
      </c>
      <c r="G4014">
        <v>40</v>
      </c>
      <c r="H4014">
        <v>776</v>
      </c>
      <c r="I4014" s="1">
        <v>45383</v>
      </c>
      <c r="J4014">
        <v>102</v>
      </c>
      <c r="K4014" t="s">
        <v>26</v>
      </c>
    </row>
    <row r="4015" spans="1:11">
      <c r="A4015" s="1">
        <v>45407</v>
      </c>
      <c r="B4015" t="s">
        <v>40</v>
      </c>
      <c r="C4015" t="s">
        <v>63</v>
      </c>
      <c r="D4015">
        <v>2026</v>
      </c>
      <c r="E4015">
        <v>950</v>
      </c>
      <c r="F4015">
        <v>178</v>
      </c>
      <c r="G4015">
        <v>115</v>
      </c>
      <c r="H4015">
        <v>3269</v>
      </c>
      <c r="I4015" s="1">
        <v>45383</v>
      </c>
      <c r="J4015">
        <v>293</v>
      </c>
      <c r="K4015" t="s">
        <v>26</v>
      </c>
    </row>
    <row r="4016" spans="1:11">
      <c r="A4016" s="1">
        <v>45407</v>
      </c>
      <c r="B4016" t="s">
        <v>40</v>
      </c>
      <c r="C4016" t="s">
        <v>60</v>
      </c>
      <c r="D4016">
        <v>1350</v>
      </c>
      <c r="E4016">
        <v>498</v>
      </c>
      <c r="F4016">
        <v>129</v>
      </c>
      <c r="G4016">
        <v>125</v>
      </c>
      <c r="H4016">
        <v>2102</v>
      </c>
      <c r="I4016" s="1">
        <v>45383</v>
      </c>
      <c r="J4016">
        <v>254</v>
      </c>
      <c r="K4016" t="s">
        <v>26</v>
      </c>
    </row>
    <row r="4017" spans="1:11">
      <c r="A4017" s="1">
        <v>45407</v>
      </c>
      <c r="B4017" t="s">
        <v>40</v>
      </c>
      <c r="C4017" t="s">
        <v>61</v>
      </c>
      <c r="D4017">
        <v>2679</v>
      </c>
      <c r="E4017">
        <v>845</v>
      </c>
      <c r="F4017">
        <v>321</v>
      </c>
      <c r="G4017">
        <v>330</v>
      </c>
      <c r="H4017">
        <v>4174</v>
      </c>
      <c r="I4017" s="1">
        <v>45383</v>
      </c>
      <c r="J4017">
        <v>651</v>
      </c>
      <c r="K4017" t="s">
        <v>26</v>
      </c>
    </row>
    <row r="4018" spans="1:11">
      <c r="A4018" s="1">
        <v>45407</v>
      </c>
      <c r="B4018" t="s">
        <v>40</v>
      </c>
      <c r="C4018" t="s">
        <v>62</v>
      </c>
      <c r="D4018">
        <v>281</v>
      </c>
      <c r="E4018">
        <v>115</v>
      </c>
      <c r="F4018">
        <v>44</v>
      </c>
      <c r="G4018">
        <v>27</v>
      </c>
      <c r="H4018">
        <v>467</v>
      </c>
      <c r="I4018" s="1">
        <v>45383</v>
      </c>
      <c r="J4018">
        <v>71</v>
      </c>
      <c r="K4018" t="s">
        <v>26</v>
      </c>
    </row>
    <row r="4019" spans="1:11">
      <c r="A4019" s="1">
        <v>45407</v>
      </c>
      <c r="B4019" t="s">
        <v>40</v>
      </c>
      <c r="C4019" t="s">
        <v>69</v>
      </c>
      <c r="D4019">
        <v>3591</v>
      </c>
      <c r="E4019">
        <v>1569</v>
      </c>
      <c r="F4019">
        <v>744</v>
      </c>
      <c r="G4019">
        <v>785</v>
      </c>
      <c r="H4019">
        <v>6689</v>
      </c>
      <c r="I4019" s="1">
        <v>45383</v>
      </c>
      <c r="J4019">
        <v>1529</v>
      </c>
      <c r="K4019" t="s">
        <v>26</v>
      </c>
    </row>
    <row r="4020" spans="1:11">
      <c r="A4020" s="1">
        <v>45407</v>
      </c>
      <c r="B4020" t="s">
        <v>40</v>
      </c>
      <c r="C4020" t="s">
        <v>29</v>
      </c>
      <c r="D4020">
        <v>492</v>
      </c>
      <c r="E4020">
        <v>220</v>
      </c>
      <c r="F4020">
        <v>79</v>
      </c>
      <c r="G4020">
        <v>43</v>
      </c>
      <c r="H4020">
        <v>833</v>
      </c>
      <c r="I4020" s="1">
        <v>45383</v>
      </c>
      <c r="J4020">
        <v>122</v>
      </c>
      <c r="K4020" t="s">
        <v>26</v>
      </c>
    </row>
    <row r="4021" spans="1:11">
      <c r="A4021" s="1">
        <v>45407</v>
      </c>
      <c r="B4021" t="s">
        <v>40</v>
      </c>
      <c r="C4021" t="s">
        <v>70</v>
      </c>
      <c r="D4021">
        <v>698</v>
      </c>
      <c r="E4021">
        <v>152</v>
      </c>
      <c r="F4021">
        <v>36</v>
      </c>
      <c r="G4021">
        <v>18</v>
      </c>
      <c r="H4021">
        <v>903</v>
      </c>
      <c r="I4021" s="1">
        <v>45383</v>
      </c>
      <c r="J4021">
        <v>54</v>
      </c>
      <c r="K4021" t="s">
        <v>26</v>
      </c>
    </row>
    <row r="4022" spans="1:11">
      <c r="A4022" s="1">
        <v>45407</v>
      </c>
      <c r="B4022" t="s">
        <v>40</v>
      </c>
      <c r="C4022" t="s">
        <v>71</v>
      </c>
      <c r="D4022">
        <v>2501</v>
      </c>
      <c r="E4022">
        <v>734</v>
      </c>
      <c r="F4022">
        <v>247</v>
      </c>
      <c r="G4022">
        <v>329</v>
      </c>
      <c r="H4022">
        <v>3811</v>
      </c>
      <c r="I4022" s="1">
        <v>45383</v>
      </c>
      <c r="J4022">
        <v>576</v>
      </c>
      <c r="K4022" t="s">
        <v>26</v>
      </c>
    </row>
    <row r="4023" spans="1:11">
      <c r="A4023" s="1">
        <v>45407</v>
      </c>
      <c r="B4023" t="s">
        <v>40</v>
      </c>
      <c r="C4023" t="s">
        <v>36</v>
      </c>
      <c r="D4023">
        <v>2465</v>
      </c>
      <c r="E4023">
        <v>520</v>
      </c>
      <c r="F4023">
        <v>134</v>
      </c>
      <c r="G4023">
        <v>144</v>
      </c>
      <c r="H4023">
        <v>3263</v>
      </c>
      <c r="I4023" s="1">
        <v>45383</v>
      </c>
      <c r="J4023">
        <v>278</v>
      </c>
      <c r="K4023" t="s">
        <v>26</v>
      </c>
    </row>
    <row r="4024" spans="1:11">
      <c r="A4024" s="1">
        <v>45407</v>
      </c>
      <c r="B4024" t="s">
        <v>40</v>
      </c>
      <c r="C4024" t="s">
        <v>67</v>
      </c>
      <c r="D4024">
        <v>2730</v>
      </c>
      <c r="E4024">
        <v>860</v>
      </c>
      <c r="F4024">
        <v>579</v>
      </c>
      <c r="G4024">
        <v>774</v>
      </c>
      <c r="H4024">
        <v>4944</v>
      </c>
      <c r="I4024" s="1">
        <v>45383</v>
      </c>
      <c r="J4024">
        <v>1353</v>
      </c>
      <c r="K4024" t="s">
        <v>26</v>
      </c>
    </row>
    <row r="4025" spans="1:11">
      <c r="A4025" s="1">
        <v>45407</v>
      </c>
      <c r="B4025" t="s">
        <v>40</v>
      </c>
      <c r="C4025" t="s">
        <v>49</v>
      </c>
      <c r="D4025">
        <v>449</v>
      </c>
      <c r="E4025">
        <v>201</v>
      </c>
      <c r="F4025">
        <v>41</v>
      </c>
      <c r="G4025">
        <v>39</v>
      </c>
      <c r="H4025">
        <v>730</v>
      </c>
      <c r="I4025" s="1">
        <v>45383</v>
      </c>
      <c r="J4025">
        <v>80</v>
      </c>
      <c r="K4025" t="s">
        <v>26</v>
      </c>
    </row>
    <row r="4026" spans="1:11">
      <c r="A4026" s="1">
        <v>45442</v>
      </c>
      <c r="B4026" t="s">
        <v>40</v>
      </c>
      <c r="C4026" t="s">
        <v>50</v>
      </c>
      <c r="D4026">
        <v>104</v>
      </c>
      <c r="E4026">
        <v>20</v>
      </c>
      <c r="F4026">
        <v>28</v>
      </c>
      <c r="G4026">
        <v>28</v>
      </c>
      <c r="H4026">
        <v>180</v>
      </c>
      <c r="I4026" s="1">
        <v>45413</v>
      </c>
      <c r="J4026">
        <v>56</v>
      </c>
      <c r="K4026" t="s">
        <v>26</v>
      </c>
    </row>
    <row r="4027" spans="1:11">
      <c r="A4027" s="1">
        <v>45442</v>
      </c>
      <c r="B4027" t="s">
        <v>40</v>
      </c>
      <c r="C4027" t="s">
        <v>48</v>
      </c>
      <c r="D4027">
        <v>5657</v>
      </c>
      <c r="E4027">
        <v>1994</v>
      </c>
      <c r="F4027">
        <v>735</v>
      </c>
      <c r="G4027">
        <v>521</v>
      </c>
      <c r="H4027">
        <v>8907</v>
      </c>
      <c r="I4027" s="1">
        <v>45413</v>
      </c>
      <c r="J4027">
        <v>1256</v>
      </c>
      <c r="K4027" t="s">
        <v>26</v>
      </c>
    </row>
    <row r="4028" spans="1:11">
      <c r="A4028" s="1">
        <v>45442</v>
      </c>
      <c r="B4028" t="s">
        <v>40</v>
      </c>
      <c r="C4028" t="s">
        <v>41</v>
      </c>
      <c r="D4028">
        <v>243</v>
      </c>
      <c r="E4028">
        <v>4</v>
      </c>
      <c r="F4028">
        <v>2</v>
      </c>
      <c r="G4028">
        <v>4</v>
      </c>
      <c r="H4028">
        <v>253</v>
      </c>
      <c r="I4028" s="1">
        <v>45413</v>
      </c>
      <c r="J4028">
        <v>6</v>
      </c>
      <c r="K4028" t="s">
        <v>26</v>
      </c>
    </row>
    <row r="4029" spans="1:11">
      <c r="A4029" s="1">
        <v>45442</v>
      </c>
      <c r="B4029" t="s">
        <v>40</v>
      </c>
      <c r="C4029" t="s">
        <v>33</v>
      </c>
      <c r="D4029">
        <v>133</v>
      </c>
      <c r="E4029">
        <v>48</v>
      </c>
      <c r="F4029">
        <v>11</v>
      </c>
      <c r="G4029">
        <v>4</v>
      </c>
      <c r="H4029">
        <v>195</v>
      </c>
      <c r="I4029" s="1">
        <v>45413</v>
      </c>
      <c r="J4029">
        <v>15</v>
      </c>
      <c r="K4029" t="s">
        <v>26</v>
      </c>
    </row>
    <row r="4030" spans="1:11">
      <c r="A4030" s="1">
        <v>45442</v>
      </c>
      <c r="B4030" t="s">
        <v>40</v>
      </c>
      <c r="C4030" t="s">
        <v>65</v>
      </c>
      <c r="D4030">
        <v>970</v>
      </c>
      <c r="E4030">
        <v>256</v>
      </c>
      <c r="F4030">
        <v>123</v>
      </c>
      <c r="G4030">
        <v>181</v>
      </c>
      <c r="H4030">
        <v>1531</v>
      </c>
      <c r="I4030" s="1">
        <v>45413</v>
      </c>
      <c r="J4030">
        <v>304</v>
      </c>
      <c r="K4030" t="s">
        <v>26</v>
      </c>
    </row>
    <row r="4031" spans="1:11">
      <c r="A4031" s="1">
        <v>45442</v>
      </c>
      <c r="B4031" t="s">
        <v>40</v>
      </c>
      <c r="C4031" t="s">
        <v>30</v>
      </c>
      <c r="D4031">
        <v>467</v>
      </c>
      <c r="E4031">
        <v>98</v>
      </c>
      <c r="F4031">
        <v>16</v>
      </c>
      <c r="G4031">
        <v>3</v>
      </c>
      <c r="H4031">
        <v>584</v>
      </c>
      <c r="I4031" s="1">
        <v>45413</v>
      </c>
      <c r="J4031">
        <v>19</v>
      </c>
      <c r="K4031" t="s">
        <v>26</v>
      </c>
    </row>
    <row r="4032" spans="1:11">
      <c r="A4032" s="1">
        <v>45442</v>
      </c>
      <c r="B4032" t="s">
        <v>40</v>
      </c>
      <c r="C4032" t="s">
        <v>66</v>
      </c>
      <c r="D4032">
        <v>4965</v>
      </c>
      <c r="E4032">
        <v>2428</v>
      </c>
      <c r="F4032">
        <v>764</v>
      </c>
      <c r="G4032">
        <v>1472</v>
      </c>
      <c r="H4032">
        <v>9630</v>
      </c>
      <c r="I4032" s="1">
        <v>45413</v>
      </c>
      <c r="J4032">
        <v>2236</v>
      </c>
      <c r="K4032" t="s">
        <v>26</v>
      </c>
    </row>
    <row r="4033" spans="1:11">
      <c r="A4033" s="1">
        <v>45442</v>
      </c>
      <c r="B4033" t="s">
        <v>40</v>
      </c>
      <c r="C4033" t="s">
        <v>56</v>
      </c>
      <c r="D4033">
        <v>576</v>
      </c>
      <c r="E4033">
        <v>122</v>
      </c>
      <c r="F4033">
        <v>25</v>
      </c>
      <c r="G4033">
        <v>23</v>
      </c>
      <c r="H4033">
        <v>746</v>
      </c>
      <c r="I4033" s="1">
        <v>45413</v>
      </c>
      <c r="J4033">
        <v>48</v>
      </c>
      <c r="K4033" t="s">
        <v>26</v>
      </c>
    </row>
    <row r="4034" spans="1:11">
      <c r="A4034" s="1">
        <v>45442</v>
      </c>
      <c r="B4034" t="s">
        <v>40</v>
      </c>
      <c r="C4034" t="s">
        <v>57</v>
      </c>
      <c r="D4034">
        <v>1163</v>
      </c>
      <c r="E4034">
        <v>227</v>
      </c>
      <c r="F4034">
        <v>79</v>
      </c>
      <c r="G4034">
        <v>112</v>
      </c>
      <c r="H4034">
        <v>1580</v>
      </c>
      <c r="I4034" s="1">
        <v>45413</v>
      </c>
      <c r="J4034">
        <v>191</v>
      </c>
      <c r="K4034" t="s">
        <v>26</v>
      </c>
    </row>
    <row r="4035" spans="1:11">
      <c r="A4035" s="1">
        <v>45442</v>
      </c>
      <c r="B4035" t="s">
        <v>40</v>
      </c>
      <c r="C4035" t="s">
        <v>68</v>
      </c>
      <c r="D4035">
        <v>4099</v>
      </c>
      <c r="E4035">
        <v>850</v>
      </c>
      <c r="F4035">
        <v>461</v>
      </c>
      <c r="G4035">
        <v>859</v>
      </c>
      <c r="H4035">
        <v>6269</v>
      </c>
      <c r="I4035" s="1">
        <v>45413</v>
      </c>
      <c r="J4035">
        <v>1320</v>
      </c>
      <c r="K4035" t="s">
        <v>26</v>
      </c>
    </row>
    <row r="4036" spans="1:11">
      <c r="A4036" s="1">
        <v>45442</v>
      </c>
      <c r="B4036" t="s">
        <v>40</v>
      </c>
      <c r="C4036" t="s">
        <v>47</v>
      </c>
      <c r="D4036">
        <v>599</v>
      </c>
      <c r="E4036">
        <v>137</v>
      </c>
      <c r="F4036">
        <v>14</v>
      </c>
      <c r="G4036">
        <v>15</v>
      </c>
      <c r="H4036">
        <v>765</v>
      </c>
      <c r="I4036" s="1">
        <v>45413</v>
      </c>
      <c r="J4036">
        <v>29</v>
      </c>
      <c r="K4036" t="s">
        <v>26</v>
      </c>
    </row>
    <row r="4037" spans="1:11">
      <c r="A4037" s="1">
        <v>45442</v>
      </c>
      <c r="B4037" t="s">
        <v>40</v>
      </c>
      <c r="C4037" t="s">
        <v>25</v>
      </c>
      <c r="D4037">
        <v>445</v>
      </c>
      <c r="E4037">
        <v>150</v>
      </c>
      <c r="F4037">
        <v>42</v>
      </c>
      <c r="G4037">
        <v>19</v>
      </c>
      <c r="H4037">
        <v>656</v>
      </c>
      <c r="I4037" s="1">
        <v>45413</v>
      </c>
      <c r="J4037">
        <v>61</v>
      </c>
      <c r="K4037" t="s">
        <v>26</v>
      </c>
    </row>
    <row r="4038" spans="1:11">
      <c r="A4038" s="1">
        <v>45442</v>
      </c>
      <c r="B4038" t="s">
        <v>40</v>
      </c>
      <c r="C4038" t="s">
        <v>45</v>
      </c>
      <c r="D4038">
        <v>244</v>
      </c>
      <c r="E4038">
        <v>125</v>
      </c>
      <c r="F4038">
        <v>16</v>
      </c>
      <c r="G4038">
        <v>17</v>
      </c>
      <c r="H4038">
        <v>403</v>
      </c>
      <c r="I4038" s="1">
        <v>45413</v>
      </c>
      <c r="J4038">
        <v>33</v>
      </c>
      <c r="K4038" t="s">
        <v>26</v>
      </c>
    </row>
    <row r="4039" spans="1:11">
      <c r="A4039" s="1">
        <v>45442</v>
      </c>
      <c r="B4039" t="s">
        <v>40</v>
      </c>
      <c r="C4039" t="s">
        <v>54</v>
      </c>
      <c r="D4039">
        <v>1472</v>
      </c>
      <c r="E4039">
        <v>305</v>
      </c>
      <c r="F4039">
        <v>32</v>
      </c>
      <c r="G4039">
        <v>4</v>
      </c>
      <c r="H4039">
        <v>1813</v>
      </c>
      <c r="I4039" s="1">
        <v>45413</v>
      </c>
      <c r="J4039">
        <v>36</v>
      </c>
      <c r="K4039" t="s">
        <v>26</v>
      </c>
    </row>
    <row r="4040" spans="1:11">
      <c r="A4040" s="1">
        <v>45442</v>
      </c>
      <c r="B4040" t="s">
        <v>40</v>
      </c>
      <c r="C4040" t="s">
        <v>31</v>
      </c>
      <c r="D4040">
        <v>515</v>
      </c>
      <c r="E4040">
        <v>196</v>
      </c>
      <c r="F4040">
        <v>67</v>
      </c>
      <c r="G4040">
        <v>30</v>
      </c>
      <c r="H4040">
        <v>808</v>
      </c>
      <c r="I4040" s="1">
        <v>45413</v>
      </c>
      <c r="J4040">
        <v>97</v>
      </c>
      <c r="K4040" t="s">
        <v>26</v>
      </c>
    </row>
    <row r="4041" spans="1:11">
      <c r="A4041" s="1">
        <v>45442</v>
      </c>
      <c r="B4041" t="s">
        <v>40</v>
      </c>
      <c r="C4041" t="s">
        <v>63</v>
      </c>
      <c r="D4041">
        <v>2024</v>
      </c>
      <c r="E4041">
        <v>831</v>
      </c>
      <c r="F4041">
        <v>184</v>
      </c>
      <c r="G4041">
        <v>112</v>
      </c>
      <c r="H4041">
        <v>3151</v>
      </c>
      <c r="I4041" s="1">
        <v>45413</v>
      </c>
      <c r="J4041">
        <v>296</v>
      </c>
      <c r="K4041" t="s">
        <v>26</v>
      </c>
    </row>
    <row r="4042" spans="1:11">
      <c r="A4042" s="1">
        <v>45442</v>
      </c>
      <c r="B4042" t="s">
        <v>40</v>
      </c>
      <c r="C4042" t="s">
        <v>60</v>
      </c>
      <c r="D4042">
        <v>1283</v>
      </c>
      <c r="E4042">
        <v>430</v>
      </c>
      <c r="F4042">
        <v>153</v>
      </c>
      <c r="G4042">
        <v>130</v>
      </c>
      <c r="H4042">
        <v>1996</v>
      </c>
      <c r="I4042" s="1">
        <v>45413</v>
      </c>
      <c r="J4042">
        <v>283</v>
      </c>
      <c r="K4042" t="s">
        <v>26</v>
      </c>
    </row>
    <row r="4043" spans="1:11">
      <c r="A4043" s="1">
        <v>45442</v>
      </c>
      <c r="B4043" t="s">
        <v>40</v>
      </c>
      <c r="C4043" t="s">
        <v>61</v>
      </c>
      <c r="D4043">
        <v>2629</v>
      </c>
      <c r="E4043">
        <v>843</v>
      </c>
      <c r="F4043">
        <v>354</v>
      </c>
      <c r="G4043">
        <v>319</v>
      </c>
      <c r="H4043">
        <v>4144</v>
      </c>
      <c r="I4043" s="1">
        <v>45413</v>
      </c>
      <c r="J4043">
        <v>673</v>
      </c>
      <c r="K4043" t="s">
        <v>26</v>
      </c>
    </row>
    <row r="4044" spans="1:11">
      <c r="A4044" s="1">
        <v>45442</v>
      </c>
      <c r="B4044" t="s">
        <v>40</v>
      </c>
      <c r="C4044" t="s">
        <v>62</v>
      </c>
      <c r="D4044">
        <v>272</v>
      </c>
      <c r="E4044">
        <v>113</v>
      </c>
      <c r="F4044">
        <v>45</v>
      </c>
      <c r="G4044">
        <v>25</v>
      </c>
      <c r="H4044">
        <v>455</v>
      </c>
      <c r="I4044" s="1">
        <v>45413</v>
      </c>
      <c r="J4044">
        <v>70</v>
      </c>
      <c r="K4044" t="s">
        <v>26</v>
      </c>
    </row>
    <row r="4045" spans="1:11">
      <c r="A4045" s="1">
        <v>45442</v>
      </c>
      <c r="B4045" t="s">
        <v>40</v>
      </c>
      <c r="C4045" t="s">
        <v>69</v>
      </c>
      <c r="D4045">
        <v>3764</v>
      </c>
      <c r="E4045">
        <v>1649</v>
      </c>
      <c r="F4045">
        <v>701</v>
      </c>
      <c r="G4045">
        <v>760</v>
      </c>
      <c r="H4045">
        <v>6875</v>
      </c>
      <c r="I4045" s="1">
        <v>45413</v>
      </c>
      <c r="J4045">
        <v>1461</v>
      </c>
      <c r="K4045" t="s">
        <v>26</v>
      </c>
    </row>
    <row r="4046" spans="1:11">
      <c r="A4046" s="1">
        <v>45442</v>
      </c>
      <c r="B4046" t="s">
        <v>40</v>
      </c>
      <c r="C4046" t="s">
        <v>29</v>
      </c>
      <c r="D4046">
        <v>500</v>
      </c>
      <c r="E4046">
        <v>216</v>
      </c>
      <c r="F4046">
        <v>87</v>
      </c>
      <c r="G4046">
        <v>48</v>
      </c>
      <c r="H4046">
        <v>851</v>
      </c>
      <c r="I4046" s="1">
        <v>45413</v>
      </c>
      <c r="J4046">
        <v>135</v>
      </c>
      <c r="K4046" t="s">
        <v>26</v>
      </c>
    </row>
    <row r="4047" spans="1:11">
      <c r="A4047" s="1">
        <v>45442</v>
      </c>
      <c r="B4047" t="s">
        <v>40</v>
      </c>
      <c r="C4047" t="s">
        <v>70</v>
      </c>
      <c r="D4047">
        <v>707</v>
      </c>
      <c r="E4047">
        <v>127</v>
      </c>
      <c r="F4047">
        <v>37</v>
      </c>
      <c r="G4047">
        <v>13</v>
      </c>
      <c r="H4047">
        <v>884</v>
      </c>
      <c r="I4047" s="1">
        <v>45413</v>
      </c>
      <c r="J4047">
        <v>50</v>
      </c>
      <c r="K4047" t="s">
        <v>26</v>
      </c>
    </row>
    <row r="4048" spans="1:11">
      <c r="A4048" s="1">
        <v>45442</v>
      </c>
      <c r="B4048" t="s">
        <v>40</v>
      </c>
      <c r="C4048" t="s">
        <v>71</v>
      </c>
      <c r="D4048">
        <v>2469</v>
      </c>
      <c r="E4048">
        <v>632</v>
      </c>
      <c r="F4048">
        <v>244</v>
      </c>
      <c r="G4048">
        <v>315</v>
      </c>
      <c r="H4048">
        <v>3660</v>
      </c>
      <c r="I4048" s="1">
        <v>45413</v>
      </c>
      <c r="J4048">
        <v>559</v>
      </c>
      <c r="K4048" t="s">
        <v>26</v>
      </c>
    </row>
    <row r="4049" spans="1:11">
      <c r="A4049" s="1">
        <v>45442</v>
      </c>
      <c r="B4049" t="s">
        <v>40</v>
      </c>
      <c r="C4049" t="s">
        <v>36</v>
      </c>
      <c r="D4049">
        <v>2456</v>
      </c>
      <c r="E4049">
        <v>590</v>
      </c>
      <c r="F4049">
        <v>129</v>
      </c>
      <c r="G4049">
        <v>139</v>
      </c>
      <c r="H4049">
        <v>3314</v>
      </c>
      <c r="I4049" s="1">
        <v>45413</v>
      </c>
      <c r="J4049">
        <v>268</v>
      </c>
      <c r="K4049" t="s">
        <v>26</v>
      </c>
    </row>
    <row r="4050" spans="1:11">
      <c r="A4050" s="1">
        <v>45442</v>
      </c>
      <c r="B4050" t="s">
        <v>40</v>
      </c>
      <c r="C4050" t="s">
        <v>67</v>
      </c>
      <c r="D4050">
        <v>2593</v>
      </c>
      <c r="E4050">
        <v>849</v>
      </c>
      <c r="F4050">
        <v>547</v>
      </c>
      <c r="G4050">
        <v>831</v>
      </c>
      <c r="H4050">
        <v>4821</v>
      </c>
      <c r="I4050" s="1">
        <v>45413</v>
      </c>
      <c r="J4050">
        <v>1378</v>
      </c>
      <c r="K4050" t="s">
        <v>26</v>
      </c>
    </row>
    <row r="4051" spans="1:11">
      <c r="A4051" s="1">
        <v>45442</v>
      </c>
      <c r="B4051" t="s">
        <v>40</v>
      </c>
      <c r="C4051" t="s">
        <v>49</v>
      </c>
      <c r="D4051">
        <v>477</v>
      </c>
      <c r="E4051">
        <v>172</v>
      </c>
      <c r="F4051">
        <v>37</v>
      </c>
      <c r="G4051">
        <v>38</v>
      </c>
      <c r="H4051">
        <v>723</v>
      </c>
      <c r="I4051" s="1">
        <v>45413</v>
      </c>
      <c r="J4051">
        <v>75</v>
      </c>
      <c r="K4051" t="s">
        <v>26</v>
      </c>
    </row>
    <row r="4052" spans="1:11">
      <c r="A4052" s="1">
        <v>45470</v>
      </c>
      <c r="B4052" t="s">
        <v>40</v>
      </c>
      <c r="C4052" t="s">
        <v>50</v>
      </c>
      <c r="D4052">
        <v>130</v>
      </c>
      <c r="E4052">
        <v>19</v>
      </c>
      <c r="F4052">
        <v>31</v>
      </c>
      <c r="G4052">
        <v>29</v>
      </c>
      <c r="H4052">
        <v>209</v>
      </c>
      <c r="I4052" s="1">
        <v>45444</v>
      </c>
      <c r="J4052">
        <v>60</v>
      </c>
      <c r="K4052" t="s">
        <v>26</v>
      </c>
    </row>
    <row r="4053" spans="1:11">
      <c r="A4053" s="1">
        <v>45470</v>
      </c>
      <c r="B4053" t="s">
        <v>40</v>
      </c>
      <c r="C4053" t="s">
        <v>48</v>
      </c>
      <c r="D4053">
        <v>5579</v>
      </c>
      <c r="E4053">
        <v>2045</v>
      </c>
      <c r="F4053">
        <v>770</v>
      </c>
      <c r="G4053">
        <v>512</v>
      </c>
      <c r="H4053">
        <v>8906</v>
      </c>
      <c r="I4053" s="1">
        <v>45444</v>
      </c>
      <c r="J4053">
        <v>1282</v>
      </c>
      <c r="K4053" t="s">
        <v>26</v>
      </c>
    </row>
    <row r="4054" spans="1:11">
      <c r="A4054" s="1">
        <v>45470</v>
      </c>
      <c r="B4054" t="s">
        <v>40</v>
      </c>
      <c r="C4054" t="s">
        <v>41</v>
      </c>
      <c r="D4054">
        <v>224</v>
      </c>
      <c r="E4054">
        <v>6</v>
      </c>
      <c r="F4054">
        <v>0</v>
      </c>
      <c r="G4054">
        <v>4</v>
      </c>
      <c r="H4054">
        <v>234</v>
      </c>
      <c r="I4054" s="1">
        <v>45444</v>
      </c>
      <c r="J4054">
        <v>4</v>
      </c>
      <c r="K4054" t="s">
        <v>26</v>
      </c>
    </row>
    <row r="4055" spans="1:11">
      <c r="A4055" s="1">
        <v>45470</v>
      </c>
      <c r="B4055" t="s">
        <v>40</v>
      </c>
      <c r="C4055" t="s">
        <v>33</v>
      </c>
      <c r="D4055">
        <v>135</v>
      </c>
      <c r="E4055">
        <v>50</v>
      </c>
      <c r="F4055">
        <v>11</v>
      </c>
      <c r="G4055">
        <v>3</v>
      </c>
      <c r="H4055">
        <v>199</v>
      </c>
      <c r="I4055" s="1">
        <v>45444</v>
      </c>
      <c r="J4055">
        <v>14</v>
      </c>
      <c r="K4055" t="s">
        <v>26</v>
      </c>
    </row>
    <row r="4056" spans="1:11">
      <c r="A4056" s="1">
        <v>45470</v>
      </c>
      <c r="B4056" t="s">
        <v>40</v>
      </c>
      <c r="C4056" t="s">
        <v>65</v>
      </c>
      <c r="D4056">
        <v>954</v>
      </c>
      <c r="E4056">
        <v>300</v>
      </c>
      <c r="F4056">
        <v>113</v>
      </c>
      <c r="G4056">
        <v>184</v>
      </c>
      <c r="H4056">
        <v>1552</v>
      </c>
      <c r="I4056" s="1">
        <v>45444</v>
      </c>
      <c r="J4056">
        <v>297</v>
      </c>
      <c r="K4056" t="s">
        <v>26</v>
      </c>
    </row>
    <row r="4057" spans="1:11">
      <c r="A4057" s="1">
        <v>45470</v>
      </c>
      <c r="B4057" t="s">
        <v>40</v>
      </c>
      <c r="C4057" t="s">
        <v>66</v>
      </c>
      <c r="D4057">
        <v>5007</v>
      </c>
      <c r="E4057">
        <v>2485</v>
      </c>
      <c r="F4057">
        <v>749</v>
      </c>
      <c r="G4057">
        <v>1478</v>
      </c>
      <c r="H4057">
        <v>9720</v>
      </c>
      <c r="I4057" s="1">
        <v>45444</v>
      </c>
      <c r="J4057">
        <v>2227</v>
      </c>
      <c r="K4057" t="s">
        <v>26</v>
      </c>
    </row>
    <row r="4058" spans="1:11">
      <c r="A4058" s="1">
        <v>45470</v>
      </c>
      <c r="B4058" t="s">
        <v>40</v>
      </c>
      <c r="C4058" t="s">
        <v>56</v>
      </c>
      <c r="D4058">
        <v>593</v>
      </c>
      <c r="E4058">
        <v>108</v>
      </c>
      <c r="F4058">
        <v>27</v>
      </c>
      <c r="G4058">
        <v>23</v>
      </c>
      <c r="H4058">
        <v>751</v>
      </c>
      <c r="I4058" s="1">
        <v>45444</v>
      </c>
      <c r="J4058">
        <v>50</v>
      </c>
      <c r="K4058" t="s">
        <v>26</v>
      </c>
    </row>
    <row r="4059" spans="1:11">
      <c r="A4059" s="1">
        <v>45470</v>
      </c>
      <c r="B4059" t="s">
        <v>40</v>
      </c>
      <c r="C4059" t="s">
        <v>57</v>
      </c>
      <c r="D4059">
        <v>1473</v>
      </c>
      <c r="E4059">
        <v>209</v>
      </c>
      <c r="F4059">
        <v>81</v>
      </c>
      <c r="G4059">
        <v>120</v>
      </c>
      <c r="H4059">
        <v>1884</v>
      </c>
      <c r="I4059" s="1">
        <v>45444</v>
      </c>
      <c r="J4059">
        <v>201</v>
      </c>
      <c r="K4059" t="s">
        <v>26</v>
      </c>
    </row>
    <row r="4060" spans="1:11">
      <c r="A4060" s="1">
        <v>45470</v>
      </c>
      <c r="B4060" t="s">
        <v>40</v>
      </c>
      <c r="C4060" t="s">
        <v>68</v>
      </c>
      <c r="D4060">
        <v>4501</v>
      </c>
      <c r="E4060">
        <v>851</v>
      </c>
      <c r="F4060">
        <v>454</v>
      </c>
      <c r="G4060">
        <v>862</v>
      </c>
      <c r="H4060">
        <v>6668</v>
      </c>
      <c r="I4060" s="1">
        <v>45444</v>
      </c>
      <c r="J4060">
        <v>1316</v>
      </c>
      <c r="K4060" t="s">
        <v>26</v>
      </c>
    </row>
    <row r="4061" spans="1:11">
      <c r="A4061" s="1">
        <v>45470</v>
      </c>
      <c r="B4061" t="s">
        <v>40</v>
      </c>
      <c r="C4061" t="s">
        <v>47</v>
      </c>
      <c r="D4061">
        <v>600</v>
      </c>
      <c r="E4061">
        <v>110</v>
      </c>
      <c r="F4061">
        <v>42</v>
      </c>
      <c r="G4061">
        <v>12</v>
      </c>
      <c r="H4061">
        <v>765</v>
      </c>
      <c r="I4061" s="1">
        <v>45444</v>
      </c>
      <c r="J4061">
        <v>54</v>
      </c>
      <c r="K4061" t="s">
        <v>26</v>
      </c>
    </row>
    <row r="4062" spans="1:11">
      <c r="A4062" s="1">
        <v>45470</v>
      </c>
      <c r="B4062" t="s">
        <v>40</v>
      </c>
      <c r="C4062" t="s">
        <v>25</v>
      </c>
      <c r="D4062">
        <v>491</v>
      </c>
      <c r="E4062">
        <v>136</v>
      </c>
      <c r="F4062">
        <v>49</v>
      </c>
      <c r="G4062">
        <v>16</v>
      </c>
      <c r="H4062">
        <v>693</v>
      </c>
      <c r="I4062" s="1">
        <v>45444</v>
      </c>
      <c r="J4062">
        <v>65</v>
      </c>
      <c r="K4062" t="s">
        <v>26</v>
      </c>
    </row>
    <row r="4063" spans="1:11">
      <c r="A4063" s="1">
        <v>45470</v>
      </c>
      <c r="B4063" t="s">
        <v>40</v>
      </c>
      <c r="C4063" t="s">
        <v>45</v>
      </c>
      <c r="D4063">
        <v>188</v>
      </c>
      <c r="E4063">
        <v>110</v>
      </c>
      <c r="F4063">
        <v>21</v>
      </c>
      <c r="G4063">
        <v>13</v>
      </c>
      <c r="H4063">
        <v>331</v>
      </c>
      <c r="I4063" s="1">
        <v>45444</v>
      </c>
      <c r="J4063">
        <v>34</v>
      </c>
      <c r="K4063" t="s">
        <v>26</v>
      </c>
    </row>
    <row r="4064" spans="1:11">
      <c r="A4064" s="1">
        <v>45470</v>
      </c>
      <c r="B4064" t="s">
        <v>40</v>
      </c>
      <c r="C4064" t="s">
        <v>43</v>
      </c>
      <c r="D4064">
        <v>914</v>
      </c>
      <c r="E4064">
        <v>217</v>
      </c>
      <c r="F4064">
        <v>37</v>
      </c>
      <c r="G4064">
        <v>1</v>
      </c>
      <c r="H4064">
        <v>1169</v>
      </c>
      <c r="I4064" s="1">
        <v>45444</v>
      </c>
      <c r="J4064">
        <v>38</v>
      </c>
      <c r="K4064" t="s">
        <v>26</v>
      </c>
    </row>
    <row r="4065" spans="1:11">
      <c r="A4065" s="1">
        <v>45470</v>
      </c>
      <c r="B4065" t="s">
        <v>40</v>
      </c>
      <c r="C4065" t="s">
        <v>54</v>
      </c>
      <c r="D4065">
        <v>1439</v>
      </c>
      <c r="E4065">
        <v>299</v>
      </c>
      <c r="F4065">
        <v>25</v>
      </c>
      <c r="G4065">
        <v>1</v>
      </c>
      <c r="H4065">
        <v>1765</v>
      </c>
      <c r="I4065" s="1">
        <v>45444</v>
      </c>
      <c r="J4065">
        <v>26</v>
      </c>
      <c r="K4065" t="s">
        <v>26</v>
      </c>
    </row>
    <row r="4066" spans="1:11">
      <c r="A4066" s="1">
        <v>45470</v>
      </c>
      <c r="B4066" t="s">
        <v>40</v>
      </c>
      <c r="C4066" t="s">
        <v>31</v>
      </c>
      <c r="D4066">
        <v>521</v>
      </c>
      <c r="E4066">
        <v>171</v>
      </c>
      <c r="F4066">
        <v>64</v>
      </c>
      <c r="G4066">
        <v>37</v>
      </c>
      <c r="H4066">
        <v>793</v>
      </c>
      <c r="I4066" s="1">
        <v>45444</v>
      </c>
      <c r="J4066">
        <v>101</v>
      </c>
      <c r="K4066" t="s">
        <v>26</v>
      </c>
    </row>
    <row r="4067" spans="1:11">
      <c r="A4067" s="1">
        <v>45470</v>
      </c>
      <c r="B4067" t="s">
        <v>40</v>
      </c>
      <c r="C4067" t="s">
        <v>63</v>
      </c>
      <c r="D4067">
        <v>1791</v>
      </c>
      <c r="E4067">
        <v>831</v>
      </c>
      <c r="F4067">
        <v>199</v>
      </c>
      <c r="G4067">
        <v>103</v>
      </c>
      <c r="H4067">
        <v>2924</v>
      </c>
      <c r="I4067" s="1">
        <v>45444</v>
      </c>
      <c r="J4067">
        <v>302</v>
      </c>
      <c r="K4067" t="s">
        <v>26</v>
      </c>
    </row>
    <row r="4068" spans="1:11">
      <c r="A4068" s="1">
        <v>45470</v>
      </c>
      <c r="B4068" t="s">
        <v>40</v>
      </c>
      <c r="C4068" t="s">
        <v>60</v>
      </c>
      <c r="D4068">
        <v>1533</v>
      </c>
      <c r="E4068">
        <v>583</v>
      </c>
      <c r="F4068">
        <v>166</v>
      </c>
      <c r="G4068">
        <v>124</v>
      </c>
      <c r="H4068">
        <v>2407</v>
      </c>
      <c r="I4068" s="1">
        <v>45444</v>
      </c>
      <c r="J4068">
        <v>290</v>
      </c>
      <c r="K4068" t="s">
        <v>26</v>
      </c>
    </row>
    <row r="4069" spans="1:11">
      <c r="A4069" s="1">
        <v>45470</v>
      </c>
      <c r="B4069" t="s">
        <v>40</v>
      </c>
      <c r="C4069" t="s">
        <v>61</v>
      </c>
      <c r="D4069">
        <v>2671</v>
      </c>
      <c r="E4069">
        <v>846</v>
      </c>
      <c r="F4069">
        <v>343</v>
      </c>
      <c r="G4069">
        <v>337</v>
      </c>
      <c r="H4069">
        <v>4196</v>
      </c>
      <c r="I4069" s="1">
        <v>45444</v>
      </c>
      <c r="J4069">
        <v>680</v>
      </c>
      <c r="K4069" t="s">
        <v>26</v>
      </c>
    </row>
    <row r="4070" spans="1:11">
      <c r="A4070" s="1">
        <v>45470</v>
      </c>
      <c r="B4070" t="s">
        <v>40</v>
      </c>
      <c r="C4070" t="s">
        <v>62</v>
      </c>
      <c r="D4070">
        <v>274</v>
      </c>
      <c r="E4070">
        <v>102</v>
      </c>
      <c r="F4070">
        <v>29</v>
      </c>
      <c r="G4070">
        <v>31</v>
      </c>
      <c r="H4070">
        <v>437</v>
      </c>
      <c r="I4070" s="1">
        <v>45444</v>
      </c>
      <c r="J4070">
        <v>60</v>
      </c>
      <c r="K4070" t="s">
        <v>26</v>
      </c>
    </row>
    <row r="4071" spans="1:11">
      <c r="A4071" s="1">
        <v>45470</v>
      </c>
      <c r="B4071" t="s">
        <v>40</v>
      </c>
      <c r="C4071" t="s">
        <v>69</v>
      </c>
      <c r="D4071">
        <v>3704</v>
      </c>
      <c r="E4071">
        <v>1601</v>
      </c>
      <c r="F4071">
        <v>617</v>
      </c>
      <c r="G4071">
        <v>805</v>
      </c>
      <c r="H4071">
        <v>6727</v>
      </c>
      <c r="I4071" s="1">
        <v>45444</v>
      </c>
      <c r="J4071">
        <v>1422</v>
      </c>
      <c r="K4071" t="s">
        <v>26</v>
      </c>
    </row>
    <row r="4072" spans="1:11">
      <c r="A4072" s="1">
        <v>45470</v>
      </c>
      <c r="B4072" t="s">
        <v>40</v>
      </c>
      <c r="C4072" t="s">
        <v>29</v>
      </c>
      <c r="D4072">
        <v>476</v>
      </c>
      <c r="E4072">
        <v>198</v>
      </c>
      <c r="F4072">
        <v>113</v>
      </c>
      <c r="G4072">
        <v>68</v>
      </c>
      <c r="H4072">
        <v>855</v>
      </c>
      <c r="I4072" s="1">
        <v>45444</v>
      </c>
      <c r="J4072">
        <v>181</v>
      </c>
      <c r="K4072" t="s">
        <v>26</v>
      </c>
    </row>
    <row r="4073" spans="1:11">
      <c r="A4073" s="1">
        <v>45470</v>
      </c>
      <c r="B4073" t="s">
        <v>40</v>
      </c>
      <c r="C4073" t="s">
        <v>70</v>
      </c>
      <c r="D4073">
        <v>692</v>
      </c>
      <c r="E4073">
        <v>127</v>
      </c>
      <c r="F4073">
        <v>33</v>
      </c>
      <c r="G4073">
        <v>13</v>
      </c>
      <c r="H4073">
        <v>865</v>
      </c>
      <c r="I4073" s="1">
        <v>45444</v>
      </c>
      <c r="J4073">
        <v>46</v>
      </c>
      <c r="K4073" t="s">
        <v>26</v>
      </c>
    </row>
    <row r="4074" spans="1:11">
      <c r="A4074" s="1">
        <v>45470</v>
      </c>
      <c r="B4074" t="s">
        <v>40</v>
      </c>
      <c r="C4074" t="s">
        <v>71</v>
      </c>
      <c r="D4074">
        <v>2710</v>
      </c>
      <c r="E4074">
        <v>605</v>
      </c>
      <c r="F4074">
        <v>248</v>
      </c>
      <c r="G4074">
        <v>298</v>
      </c>
      <c r="H4074">
        <v>3861</v>
      </c>
      <c r="I4074" s="1">
        <v>45444</v>
      </c>
      <c r="J4074">
        <v>546</v>
      </c>
      <c r="K4074" t="s">
        <v>26</v>
      </c>
    </row>
    <row r="4075" spans="1:11">
      <c r="A4075" s="1">
        <v>45470</v>
      </c>
      <c r="B4075" t="s">
        <v>40</v>
      </c>
      <c r="C4075" t="s">
        <v>36</v>
      </c>
      <c r="D4075">
        <v>2693</v>
      </c>
      <c r="E4075">
        <v>620</v>
      </c>
      <c r="F4075">
        <v>165</v>
      </c>
      <c r="G4075">
        <v>152</v>
      </c>
      <c r="H4075">
        <v>3629</v>
      </c>
      <c r="I4075" s="1">
        <v>45444</v>
      </c>
      <c r="J4075">
        <v>317</v>
      </c>
      <c r="K4075" t="s">
        <v>26</v>
      </c>
    </row>
    <row r="4076" spans="1:11">
      <c r="A4076" s="1">
        <v>45470</v>
      </c>
      <c r="B4076" t="s">
        <v>40</v>
      </c>
      <c r="C4076" t="s">
        <v>59</v>
      </c>
      <c r="D4076">
        <v>1819</v>
      </c>
      <c r="E4076">
        <v>865</v>
      </c>
      <c r="F4076">
        <v>280</v>
      </c>
      <c r="G4076">
        <v>4</v>
      </c>
      <c r="H4076">
        <v>2968</v>
      </c>
      <c r="I4076" s="1">
        <v>45444</v>
      </c>
      <c r="J4076">
        <v>284</v>
      </c>
      <c r="K4076" t="s">
        <v>26</v>
      </c>
    </row>
    <row r="4077" spans="1:11">
      <c r="A4077" s="1">
        <v>45470</v>
      </c>
      <c r="B4077" t="s">
        <v>40</v>
      </c>
      <c r="C4077" t="s">
        <v>67</v>
      </c>
      <c r="D4077">
        <v>2656</v>
      </c>
      <c r="E4077">
        <v>809</v>
      </c>
      <c r="F4077">
        <v>550</v>
      </c>
      <c r="G4077">
        <v>840</v>
      </c>
      <c r="H4077">
        <v>4855</v>
      </c>
      <c r="I4077" s="1">
        <v>45444</v>
      </c>
      <c r="J4077">
        <v>1390</v>
      </c>
      <c r="K4077" t="s">
        <v>26</v>
      </c>
    </row>
    <row r="4078" spans="1:11">
      <c r="A4078" s="1">
        <v>45470</v>
      </c>
      <c r="B4078" t="s">
        <v>40</v>
      </c>
      <c r="C4078" t="s">
        <v>49</v>
      </c>
      <c r="D4078">
        <v>493</v>
      </c>
      <c r="E4078">
        <v>142</v>
      </c>
      <c r="F4078">
        <v>40</v>
      </c>
      <c r="G4078">
        <v>34</v>
      </c>
      <c r="H4078">
        <v>709</v>
      </c>
      <c r="I4078" s="1">
        <v>45444</v>
      </c>
      <c r="J4078">
        <v>74</v>
      </c>
      <c r="K4078" t="s">
        <v>26</v>
      </c>
    </row>
    <row r="4079" spans="1:11">
      <c r="A4079" s="1">
        <v>45498</v>
      </c>
      <c r="B4079" t="s">
        <v>40</v>
      </c>
      <c r="C4079" t="s">
        <v>50</v>
      </c>
      <c r="D4079">
        <v>145</v>
      </c>
      <c r="E4079">
        <v>27</v>
      </c>
      <c r="F4079">
        <v>30</v>
      </c>
      <c r="G4079">
        <v>30</v>
      </c>
      <c r="H4079">
        <v>232</v>
      </c>
      <c r="I4079" s="1">
        <v>45474</v>
      </c>
      <c r="J4079">
        <v>60</v>
      </c>
      <c r="K4079" t="s">
        <v>26</v>
      </c>
    </row>
    <row r="4080" spans="1:11">
      <c r="A4080" s="1">
        <v>45498</v>
      </c>
      <c r="B4080" t="s">
        <v>40</v>
      </c>
      <c r="C4080" t="s">
        <v>48</v>
      </c>
      <c r="D4080">
        <v>5591</v>
      </c>
      <c r="E4080">
        <v>1929</v>
      </c>
      <c r="F4080">
        <v>756</v>
      </c>
      <c r="G4080">
        <v>514</v>
      </c>
      <c r="H4080">
        <v>8791</v>
      </c>
      <c r="I4080" s="1">
        <v>45474</v>
      </c>
      <c r="J4080">
        <v>1270</v>
      </c>
      <c r="K4080" t="s">
        <v>26</v>
      </c>
    </row>
    <row r="4081" spans="1:11">
      <c r="A4081" s="1">
        <v>45498</v>
      </c>
      <c r="B4081" t="s">
        <v>40</v>
      </c>
      <c r="C4081" t="s">
        <v>33</v>
      </c>
      <c r="D4081">
        <v>154</v>
      </c>
      <c r="E4081">
        <v>52</v>
      </c>
      <c r="F4081">
        <v>13</v>
      </c>
      <c r="G4081">
        <v>4</v>
      </c>
      <c r="H4081">
        <v>222</v>
      </c>
      <c r="I4081" s="1">
        <v>45474</v>
      </c>
      <c r="J4081">
        <v>17</v>
      </c>
      <c r="K4081" t="s">
        <v>26</v>
      </c>
    </row>
    <row r="4082" spans="1:11">
      <c r="A4082" s="1">
        <v>45498</v>
      </c>
      <c r="B4082" t="s">
        <v>40</v>
      </c>
      <c r="C4082" t="s">
        <v>65</v>
      </c>
      <c r="D4082">
        <v>938</v>
      </c>
      <c r="E4082">
        <v>315</v>
      </c>
      <c r="F4082">
        <v>104</v>
      </c>
      <c r="G4082">
        <v>183</v>
      </c>
      <c r="H4082">
        <v>1541</v>
      </c>
      <c r="I4082" s="1">
        <v>45474</v>
      </c>
      <c r="J4082">
        <v>287</v>
      </c>
      <c r="K4082" t="s">
        <v>26</v>
      </c>
    </row>
    <row r="4083" spans="1:11">
      <c r="A4083" s="1">
        <v>45498</v>
      </c>
      <c r="B4083" t="s">
        <v>40</v>
      </c>
      <c r="C4083" t="s">
        <v>30</v>
      </c>
      <c r="D4083">
        <v>458</v>
      </c>
      <c r="E4083">
        <v>72</v>
      </c>
      <c r="F4083">
        <v>14</v>
      </c>
      <c r="G4083">
        <v>4</v>
      </c>
      <c r="H4083">
        <v>547</v>
      </c>
      <c r="I4083" s="1">
        <v>45474</v>
      </c>
      <c r="J4083">
        <v>18</v>
      </c>
      <c r="K4083" t="s">
        <v>26</v>
      </c>
    </row>
    <row r="4084" spans="1:11">
      <c r="A4084" s="1">
        <v>45498</v>
      </c>
      <c r="B4084" t="s">
        <v>40</v>
      </c>
      <c r="C4084" t="s">
        <v>66</v>
      </c>
      <c r="D4084">
        <v>5127</v>
      </c>
      <c r="E4084">
        <v>2465</v>
      </c>
      <c r="F4084">
        <v>795</v>
      </c>
      <c r="G4084">
        <v>1473</v>
      </c>
      <c r="H4084">
        <v>9859</v>
      </c>
      <c r="I4084" s="1">
        <v>45474</v>
      </c>
      <c r="J4084">
        <v>2268</v>
      </c>
      <c r="K4084" t="s">
        <v>26</v>
      </c>
    </row>
    <row r="4085" spans="1:11">
      <c r="A4085" s="1">
        <v>45498</v>
      </c>
      <c r="B4085" t="s">
        <v>40</v>
      </c>
      <c r="C4085" t="s">
        <v>56</v>
      </c>
      <c r="D4085">
        <v>639</v>
      </c>
      <c r="E4085">
        <v>93</v>
      </c>
      <c r="F4085">
        <v>26</v>
      </c>
      <c r="G4085">
        <v>16</v>
      </c>
      <c r="H4085">
        <v>774</v>
      </c>
      <c r="I4085" s="1">
        <v>45474</v>
      </c>
      <c r="J4085">
        <v>42</v>
      </c>
      <c r="K4085" t="s">
        <v>26</v>
      </c>
    </row>
    <row r="4086" spans="1:11">
      <c r="A4086" s="1">
        <v>45498</v>
      </c>
      <c r="B4086" t="s">
        <v>40</v>
      </c>
      <c r="C4086" t="s">
        <v>57</v>
      </c>
      <c r="D4086">
        <v>1214</v>
      </c>
      <c r="E4086">
        <v>167</v>
      </c>
      <c r="F4086">
        <v>77</v>
      </c>
      <c r="G4086">
        <v>113</v>
      </c>
      <c r="H4086">
        <v>1571</v>
      </c>
      <c r="I4086" s="1">
        <v>45474</v>
      </c>
      <c r="J4086">
        <v>190</v>
      </c>
      <c r="K4086" t="s">
        <v>26</v>
      </c>
    </row>
    <row r="4087" spans="1:11">
      <c r="A4087" s="1">
        <v>45498</v>
      </c>
      <c r="B4087" t="s">
        <v>40</v>
      </c>
      <c r="C4087" t="s">
        <v>28</v>
      </c>
      <c r="D4087">
        <v>294</v>
      </c>
      <c r="E4087">
        <v>77</v>
      </c>
      <c r="F4087">
        <v>37</v>
      </c>
      <c r="G4087">
        <v>4</v>
      </c>
      <c r="H4087">
        <v>413</v>
      </c>
      <c r="I4087" s="1">
        <v>45474</v>
      </c>
      <c r="J4087">
        <v>41</v>
      </c>
      <c r="K4087" t="s">
        <v>26</v>
      </c>
    </row>
    <row r="4088" spans="1:11">
      <c r="A4088" s="1">
        <v>45498</v>
      </c>
      <c r="B4088" t="s">
        <v>40</v>
      </c>
      <c r="C4088" t="s">
        <v>68</v>
      </c>
      <c r="D4088">
        <v>4748</v>
      </c>
      <c r="E4088">
        <v>834</v>
      </c>
      <c r="F4088">
        <v>455</v>
      </c>
      <c r="G4088">
        <v>823</v>
      </c>
      <c r="H4088">
        <v>6860</v>
      </c>
      <c r="I4088" s="1">
        <v>45474</v>
      </c>
      <c r="J4088">
        <v>1278</v>
      </c>
      <c r="K4088" t="s">
        <v>26</v>
      </c>
    </row>
    <row r="4089" spans="1:11">
      <c r="A4089" s="1">
        <v>45498</v>
      </c>
      <c r="B4089" t="s">
        <v>40</v>
      </c>
      <c r="C4089" t="s">
        <v>47</v>
      </c>
      <c r="D4089">
        <v>560</v>
      </c>
      <c r="E4089">
        <v>98</v>
      </c>
      <c r="F4089">
        <v>17</v>
      </c>
      <c r="G4089">
        <v>10</v>
      </c>
      <c r="H4089">
        <v>686</v>
      </c>
      <c r="I4089" s="1">
        <v>45474</v>
      </c>
      <c r="J4089">
        <v>27</v>
      </c>
      <c r="K4089" t="s">
        <v>26</v>
      </c>
    </row>
    <row r="4090" spans="1:11">
      <c r="A4090" s="1">
        <v>45498</v>
      </c>
      <c r="B4090" t="s">
        <v>40</v>
      </c>
      <c r="C4090" t="s">
        <v>25</v>
      </c>
      <c r="D4090">
        <v>464</v>
      </c>
      <c r="E4090">
        <v>131</v>
      </c>
      <c r="F4090">
        <v>31</v>
      </c>
      <c r="G4090">
        <v>11</v>
      </c>
      <c r="H4090">
        <v>636</v>
      </c>
      <c r="I4090" s="1">
        <v>45474</v>
      </c>
      <c r="J4090">
        <v>42</v>
      </c>
      <c r="K4090" t="s">
        <v>26</v>
      </c>
    </row>
    <row r="4091" spans="1:11">
      <c r="A4091" s="1">
        <v>45498</v>
      </c>
      <c r="B4091" t="s">
        <v>40</v>
      </c>
      <c r="C4091" t="s">
        <v>45</v>
      </c>
      <c r="D4091">
        <v>186</v>
      </c>
      <c r="E4091">
        <v>82</v>
      </c>
      <c r="F4091">
        <v>30</v>
      </c>
      <c r="G4091">
        <v>14</v>
      </c>
      <c r="H4091">
        <v>311</v>
      </c>
      <c r="I4091" s="1">
        <v>45474</v>
      </c>
      <c r="J4091">
        <v>44</v>
      </c>
      <c r="K4091" t="s">
        <v>26</v>
      </c>
    </row>
    <row r="4092" spans="1:11">
      <c r="A4092" s="1">
        <v>45498</v>
      </c>
      <c r="B4092" t="s">
        <v>40</v>
      </c>
      <c r="C4092" t="s">
        <v>39</v>
      </c>
      <c r="D4092">
        <v>148</v>
      </c>
      <c r="E4092">
        <v>53</v>
      </c>
      <c r="F4092">
        <v>7</v>
      </c>
      <c r="G4092">
        <v>1</v>
      </c>
      <c r="H4092">
        <v>209</v>
      </c>
      <c r="I4092" s="1">
        <v>45474</v>
      </c>
      <c r="J4092">
        <v>8</v>
      </c>
      <c r="K4092" t="s">
        <v>26</v>
      </c>
    </row>
    <row r="4093" spans="1:11">
      <c r="A4093" s="1">
        <v>45498</v>
      </c>
      <c r="B4093" t="s">
        <v>40</v>
      </c>
      <c r="C4093" t="s">
        <v>31</v>
      </c>
      <c r="D4093">
        <v>522</v>
      </c>
      <c r="E4093">
        <v>147</v>
      </c>
      <c r="F4093">
        <v>76</v>
      </c>
      <c r="G4093">
        <v>40</v>
      </c>
      <c r="H4093">
        <v>784</v>
      </c>
      <c r="I4093" s="1">
        <v>45474</v>
      </c>
      <c r="J4093">
        <v>116</v>
      </c>
      <c r="K4093" t="s">
        <v>26</v>
      </c>
    </row>
    <row r="4094" spans="1:11">
      <c r="A4094" s="1">
        <v>45498</v>
      </c>
      <c r="B4094" t="s">
        <v>40</v>
      </c>
      <c r="C4094" t="s">
        <v>63</v>
      </c>
      <c r="D4094">
        <v>1825</v>
      </c>
      <c r="E4094">
        <v>777</v>
      </c>
      <c r="F4094">
        <v>194</v>
      </c>
      <c r="G4094">
        <v>104</v>
      </c>
      <c r="H4094">
        <v>2900</v>
      </c>
      <c r="I4094" s="1">
        <v>45474</v>
      </c>
      <c r="J4094">
        <v>298</v>
      </c>
      <c r="K4094" t="s">
        <v>26</v>
      </c>
    </row>
    <row r="4095" spans="1:11">
      <c r="A4095" s="1">
        <v>45498</v>
      </c>
      <c r="B4095" t="s">
        <v>40</v>
      </c>
      <c r="C4095" t="s">
        <v>60</v>
      </c>
      <c r="D4095">
        <v>1543</v>
      </c>
      <c r="E4095">
        <v>500</v>
      </c>
      <c r="F4095">
        <v>185</v>
      </c>
      <c r="G4095">
        <v>120</v>
      </c>
      <c r="H4095">
        <v>2349</v>
      </c>
      <c r="I4095" s="1">
        <v>45474</v>
      </c>
      <c r="J4095">
        <v>305</v>
      </c>
      <c r="K4095" t="s">
        <v>26</v>
      </c>
    </row>
    <row r="4096" spans="1:11">
      <c r="A4096" s="1">
        <v>45498</v>
      </c>
      <c r="B4096" t="s">
        <v>40</v>
      </c>
      <c r="C4096" t="s">
        <v>61</v>
      </c>
      <c r="D4096">
        <v>2604</v>
      </c>
      <c r="E4096">
        <v>755</v>
      </c>
      <c r="F4096">
        <v>377</v>
      </c>
      <c r="G4096">
        <v>328</v>
      </c>
      <c r="H4096">
        <v>4065</v>
      </c>
      <c r="I4096" s="1">
        <v>45474</v>
      </c>
      <c r="J4096">
        <v>705</v>
      </c>
      <c r="K4096" t="s">
        <v>26</v>
      </c>
    </row>
    <row r="4097" spans="1:11">
      <c r="A4097" s="1">
        <v>45498</v>
      </c>
      <c r="B4097" t="s">
        <v>40</v>
      </c>
      <c r="C4097" t="s">
        <v>62</v>
      </c>
      <c r="D4097">
        <v>275</v>
      </c>
      <c r="E4097">
        <v>103</v>
      </c>
      <c r="F4097">
        <v>29</v>
      </c>
      <c r="G4097">
        <v>9</v>
      </c>
      <c r="H4097">
        <v>414</v>
      </c>
      <c r="I4097" s="1">
        <v>45474</v>
      </c>
      <c r="J4097">
        <v>38</v>
      </c>
      <c r="K4097" t="s">
        <v>26</v>
      </c>
    </row>
    <row r="4098" spans="1:11">
      <c r="A4098" s="1">
        <v>45498</v>
      </c>
      <c r="B4098" t="s">
        <v>40</v>
      </c>
      <c r="C4098" t="s">
        <v>69</v>
      </c>
      <c r="D4098">
        <v>3708</v>
      </c>
      <c r="E4098">
        <v>1417</v>
      </c>
      <c r="F4098">
        <v>517</v>
      </c>
      <c r="G4098">
        <v>758</v>
      </c>
      <c r="H4098">
        <v>6401</v>
      </c>
      <c r="I4098" s="1">
        <v>45474</v>
      </c>
      <c r="J4098">
        <v>1275</v>
      </c>
      <c r="K4098" t="s">
        <v>26</v>
      </c>
    </row>
    <row r="4099" spans="1:11">
      <c r="A4099" s="1">
        <v>45498</v>
      </c>
      <c r="B4099" t="s">
        <v>40</v>
      </c>
      <c r="C4099" t="s">
        <v>29</v>
      </c>
      <c r="D4099">
        <v>550</v>
      </c>
      <c r="E4099">
        <v>188</v>
      </c>
      <c r="F4099">
        <v>119</v>
      </c>
      <c r="G4099">
        <v>65</v>
      </c>
      <c r="H4099">
        <v>921</v>
      </c>
      <c r="I4099" s="1">
        <v>45474</v>
      </c>
      <c r="J4099">
        <v>184</v>
      </c>
      <c r="K4099" t="s">
        <v>26</v>
      </c>
    </row>
    <row r="4100" spans="1:11">
      <c r="A4100" s="1">
        <v>45498</v>
      </c>
      <c r="B4100" t="s">
        <v>40</v>
      </c>
      <c r="C4100" t="s">
        <v>70</v>
      </c>
      <c r="D4100">
        <v>770</v>
      </c>
      <c r="E4100">
        <v>151</v>
      </c>
      <c r="F4100">
        <v>33</v>
      </c>
      <c r="G4100">
        <v>14</v>
      </c>
      <c r="H4100">
        <v>968</v>
      </c>
      <c r="I4100" s="1">
        <v>45474</v>
      </c>
      <c r="J4100">
        <v>47</v>
      </c>
      <c r="K4100" t="s">
        <v>26</v>
      </c>
    </row>
    <row r="4101" spans="1:11">
      <c r="A4101" s="1">
        <v>45498</v>
      </c>
      <c r="B4101" t="s">
        <v>40</v>
      </c>
      <c r="C4101" t="s">
        <v>71</v>
      </c>
      <c r="D4101">
        <v>2873</v>
      </c>
      <c r="E4101">
        <v>584</v>
      </c>
      <c r="F4101">
        <v>286</v>
      </c>
      <c r="G4101">
        <v>277</v>
      </c>
      <c r="H4101">
        <v>4020</v>
      </c>
      <c r="I4101" s="1">
        <v>45474</v>
      </c>
      <c r="J4101">
        <v>563</v>
      </c>
      <c r="K4101" t="s">
        <v>26</v>
      </c>
    </row>
    <row r="4102" spans="1:11">
      <c r="A4102" s="1">
        <v>45498</v>
      </c>
      <c r="B4102" t="s">
        <v>40</v>
      </c>
      <c r="C4102" t="s">
        <v>36</v>
      </c>
      <c r="D4102">
        <v>2875</v>
      </c>
      <c r="E4102">
        <v>628</v>
      </c>
      <c r="F4102">
        <v>192</v>
      </c>
      <c r="G4102">
        <v>140</v>
      </c>
      <c r="H4102">
        <v>3834</v>
      </c>
      <c r="I4102" s="1">
        <v>45474</v>
      </c>
      <c r="J4102">
        <v>332</v>
      </c>
      <c r="K4102" t="s">
        <v>26</v>
      </c>
    </row>
    <row r="4103" spans="1:11">
      <c r="A4103" s="1">
        <v>45498</v>
      </c>
      <c r="B4103" t="s">
        <v>40</v>
      </c>
      <c r="C4103" t="s">
        <v>59</v>
      </c>
      <c r="D4103">
        <v>1640</v>
      </c>
      <c r="E4103">
        <v>839</v>
      </c>
      <c r="F4103">
        <v>297</v>
      </c>
      <c r="G4103">
        <v>7</v>
      </c>
      <c r="H4103">
        <v>2783</v>
      </c>
      <c r="I4103" s="1">
        <v>45474</v>
      </c>
      <c r="J4103">
        <v>304</v>
      </c>
      <c r="K4103" t="s">
        <v>26</v>
      </c>
    </row>
    <row r="4104" spans="1:11">
      <c r="A4104" s="1">
        <v>45498</v>
      </c>
      <c r="B4104" t="s">
        <v>40</v>
      </c>
      <c r="C4104" t="s">
        <v>67</v>
      </c>
      <c r="D4104">
        <v>2886</v>
      </c>
      <c r="E4104">
        <v>794</v>
      </c>
      <c r="F4104">
        <v>529</v>
      </c>
      <c r="G4104">
        <v>881</v>
      </c>
      <c r="H4104">
        <v>5090</v>
      </c>
      <c r="I4104" s="1">
        <v>45474</v>
      </c>
      <c r="J4104">
        <v>1410</v>
      </c>
      <c r="K4104" t="s">
        <v>26</v>
      </c>
    </row>
    <row r="4105" spans="1:11">
      <c r="A4105" s="1">
        <v>45498</v>
      </c>
      <c r="B4105" t="s">
        <v>40</v>
      </c>
      <c r="C4105" t="s">
        <v>49</v>
      </c>
      <c r="D4105">
        <v>412</v>
      </c>
      <c r="E4105">
        <v>127</v>
      </c>
      <c r="F4105">
        <v>50</v>
      </c>
      <c r="G4105">
        <v>30</v>
      </c>
      <c r="H4105">
        <v>619</v>
      </c>
      <c r="I4105" s="1">
        <v>45474</v>
      </c>
      <c r="J4105">
        <v>80</v>
      </c>
      <c r="K4105" t="s">
        <v>26</v>
      </c>
    </row>
    <row r="4106" spans="1:11">
      <c r="A4106" s="1">
        <v>45533</v>
      </c>
      <c r="B4106" t="s">
        <v>40</v>
      </c>
      <c r="C4106" t="s">
        <v>50</v>
      </c>
      <c r="D4106">
        <v>155</v>
      </c>
      <c r="E4106">
        <v>33</v>
      </c>
      <c r="F4106">
        <v>27</v>
      </c>
      <c r="G4106">
        <v>37</v>
      </c>
      <c r="H4106">
        <v>251</v>
      </c>
      <c r="I4106" s="1">
        <v>45505</v>
      </c>
      <c r="J4106">
        <v>64</v>
      </c>
      <c r="K4106" t="s">
        <v>26</v>
      </c>
    </row>
    <row r="4107" spans="1:11">
      <c r="A4107" s="1">
        <v>45533</v>
      </c>
      <c r="B4107" t="s">
        <v>40</v>
      </c>
      <c r="C4107" t="s">
        <v>48</v>
      </c>
      <c r="D4107">
        <v>5393</v>
      </c>
      <c r="E4107">
        <v>2186</v>
      </c>
      <c r="F4107">
        <v>745</v>
      </c>
      <c r="G4107">
        <v>586</v>
      </c>
      <c r="H4107">
        <v>8910</v>
      </c>
      <c r="I4107" s="1">
        <v>45505</v>
      </c>
      <c r="J4107">
        <v>1331</v>
      </c>
      <c r="K4107" t="s">
        <v>26</v>
      </c>
    </row>
    <row r="4108" spans="1:11">
      <c r="A4108" s="1">
        <v>45533</v>
      </c>
      <c r="B4108" t="s">
        <v>40</v>
      </c>
      <c r="C4108" t="s">
        <v>33</v>
      </c>
      <c r="D4108">
        <v>133</v>
      </c>
      <c r="E4108">
        <v>51</v>
      </c>
      <c r="F4108">
        <v>16</v>
      </c>
      <c r="G4108">
        <v>3</v>
      </c>
      <c r="H4108">
        <v>203</v>
      </c>
      <c r="I4108" s="1">
        <v>45505</v>
      </c>
      <c r="J4108">
        <v>19</v>
      </c>
      <c r="K4108" t="s">
        <v>26</v>
      </c>
    </row>
    <row r="4109" spans="1:11">
      <c r="A4109" s="1">
        <v>45533</v>
      </c>
      <c r="B4109" t="s">
        <v>40</v>
      </c>
      <c r="C4109" t="s">
        <v>65</v>
      </c>
      <c r="D4109">
        <v>841</v>
      </c>
      <c r="E4109">
        <v>349</v>
      </c>
      <c r="F4109">
        <v>98</v>
      </c>
      <c r="G4109">
        <v>153</v>
      </c>
      <c r="H4109">
        <v>1441</v>
      </c>
      <c r="I4109" s="1">
        <v>45505</v>
      </c>
      <c r="J4109">
        <v>251</v>
      </c>
      <c r="K4109" t="s">
        <v>26</v>
      </c>
    </row>
    <row r="4110" spans="1:11">
      <c r="A4110" s="1">
        <v>45533</v>
      </c>
      <c r="B4110" t="s">
        <v>40</v>
      </c>
      <c r="C4110" t="s">
        <v>30</v>
      </c>
      <c r="D4110">
        <v>465</v>
      </c>
      <c r="E4110">
        <v>79</v>
      </c>
      <c r="F4110">
        <v>19</v>
      </c>
      <c r="G4110">
        <v>3</v>
      </c>
      <c r="H4110">
        <v>566</v>
      </c>
      <c r="I4110" s="1">
        <v>45505</v>
      </c>
      <c r="J4110">
        <v>22</v>
      </c>
      <c r="K4110" t="s">
        <v>26</v>
      </c>
    </row>
    <row r="4111" spans="1:11">
      <c r="A4111" s="1">
        <v>45533</v>
      </c>
      <c r="B4111" t="s">
        <v>40</v>
      </c>
      <c r="C4111" t="s">
        <v>66</v>
      </c>
      <c r="D4111">
        <v>5188</v>
      </c>
      <c r="E4111">
        <v>2473</v>
      </c>
      <c r="F4111">
        <v>830</v>
      </c>
      <c r="G4111">
        <v>1495</v>
      </c>
      <c r="H4111">
        <v>9986</v>
      </c>
      <c r="I4111" s="1">
        <v>45505</v>
      </c>
      <c r="J4111">
        <v>2325</v>
      </c>
      <c r="K4111" t="s">
        <v>26</v>
      </c>
    </row>
    <row r="4112" spans="1:11">
      <c r="A4112" s="1">
        <v>45533</v>
      </c>
      <c r="B4112" t="s">
        <v>40</v>
      </c>
      <c r="C4112" t="s">
        <v>56</v>
      </c>
      <c r="D4112">
        <v>626</v>
      </c>
      <c r="E4112">
        <v>119</v>
      </c>
      <c r="F4112">
        <v>27</v>
      </c>
      <c r="G4112">
        <v>14</v>
      </c>
      <c r="H4112">
        <v>786</v>
      </c>
      <c r="I4112" s="1">
        <v>45505</v>
      </c>
      <c r="J4112">
        <v>41</v>
      </c>
      <c r="K4112" t="s">
        <v>26</v>
      </c>
    </row>
    <row r="4113" spans="1:11">
      <c r="A4113" s="1">
        <v>45533</v>
      </c>
      <c r="B4113" t="s">
        <v>40</v>
      </c>
      <c r="C4113" t="s">
        <v>57</v>
      </c>
      <c r="D4113">
        <v>947</v>
      </c>
      <c r="E4113">
        <v>146</v>
      </c>
      <c r="F4113">
        <v>70</v>
      </c>
      <c r="G4113">
        <v>100</v>
      </c>
      <c r="H4113">
        <v>1262</v>
      </c>
      <c r="I4113" s="1">
        <v>45505</v>
      </c>
      <c r="J4113">
        <v>170</v>
      </c>
      <c r="K4113" t="s">
        <v>26</v>
      </c>
    </row>
    <row r="4114" spans="1:11">
      <c r="A4114" s="1">
        <v>45533</v>
      </c>
      <c r="B4114" t="s">
        <v>40</v>
      </c>
      <c r="C4114" t="s">
        <v>28</v>
      </c>
      <c r="D4114">
        <v>289</v>
      </c>
      <c r="E4114">
        <v>84</v>
      </c>
      <c r="F4114">
        <v>40</v>
      </c>
      <c r="G4114">
        <v>4</v>
      </c>
      <c r="H4114">
        <v>417</v>
      </c>
      <c r="I4114" s="1">
        <v>45505</v>
      </c>
      <c r="J4114">
        <v>44</v>
      </c>
      <c r="K4114" t="s">
        <v>26</v>
      </c>
    </row>
    <row r="4115" spans="1:11">
      <c r="A4115" s="1">
        <v>45533</v>
      </c>
      <c r="B4115" t="s">
        <v>40</v>
      </c>
      <c r="C4115" t="s">
        <v>68</v>
      </c>
      <c r="D4115">
        <v>4732</v>
      </c>
      <c r="E4115">
        <v>994</v>
      </c>
      <c r="F4115">
        <v>427</v>
      </c>
      <c r="G4115">
        <v>786</v>
      </c>
      <c r="H4115">
        <v>6939</v>
      </c>
      <c r="I4115" s="1">
        <v>45505</v>
      </c>
      <c r="J4115">
        <v>1213</v>
      </c>
      <c r="K4115" t="s">
        <v>26</v>
      </c>
    </row>
    <row r="4116" spans="1:11">
      <c r="A4116" s="1">
        <v>45533</v>
      </c>
      <c r="B4116" t="s">
        <v>40</v>
      </c>
      <c r="C4116" t="s">
        <v>25</v>
      </c>
      <c r="D4116">
        <v>453</v>
      </c>
      <c r="E4116">
        <v>111</v>
      </c>
      <c r="F4116">
        <v>33</v>
      </c>
      <c r="G4116">
        <v>9</v>
      </c>
      <c r="H4116">
        <v>606</v>
      </c>
      <c r="I4116" s="1">
        <v>45505</v>
      </c>
      <c r="J4116">
        <v>42</v>
      </c>
      <c r="K4116" t="s">
        <v>26</v>
      </c>
    </row>
    <row r="4117" spans="1:11">
      <c r="A4117" s="1">
        <v>45533</v>
      </c>
      <c r="B4117" t="s">
        <v>40</v>
      </c>
      <c r="C4117" t="s">
        <v>45</v>
      </c>
      <c r="D4117">
        <v>179</v>
      </c>
      <c r="E4117">
        <v>68</v>
      </c>
      <c r="F4117">
        <v>20</v>
      </c>
      <c r="G4117">
        <v>12</v>
      </c>
      <c r="H4117">
        <v>279</v>
      </c>
      <c r="I4117" s="1">
        <v>45505</v>
      </c>
      <c r="J4117">
        <v>32</v>
      </c>
      <c r="K4117" t="s">
        <v>26</v>
      </c>
    </row>
    <row r="4118" spans="1:11">
      <c r="A4118" s="1">
        <v>45533</v>
      </c>
      <c r="B4118" t="s">
        <v>40</v>
      </c>
      <c r="C4118" t="s">
        <v>54</v>
      </c>
      <c r="D4118">
        <v>1512</v>
      </c>
      <c r="E4118">
        <v>300</v>
      </c>
      <c r="F4118">
        <v>31</v>
      </c>
      <c r="G4118">
        <v>3</v>
      </c>
      <c r="H4118">
        <v>1845</v>
      </c>
      <c r="I4118" s="1">
        <v>45505</v>
      </c>
      <c r="J4118">
        <v>34</v>
      </c>
      <c r="K4118" t="s">
        <v>26</v>
      </c>
    </row>
    <row r="4119" spans="1:11">
      <c r="A4119" s="1">
        <v>45533</v>
      </c>
      <c r="B4119" t="s">
        <v>40</v>
      </c>
      <c r="C4119" t="s">
        <v>31</v>
      </c>
      <c r="D4119">
        <v>443</v>
      </c>
      <c r="E4119">
        <v>164</v>
      </c>
      <c r="F4119">
        <v>73</v>
      </c>
      <c r="G4119">
        <v>46</v>
      </c>
      <c r="H4119">
        <v>725</v>
      </c>
      <c r="I4119" s="1">
        <v>45505</v>
      </c>
      <c r="J4119">
        <v>119</v>
      </c>
      <c r="K4119" t="s">
        <v>26</v>
      </c>
    </row>
    <row r="4120" spans="1:11">
      <c r="A4120" s="1">
        <v>45533</v>
      </c>
      <c r="B4120" t="s">
        <v>40</v>
      </c>
      <c r="C4120" t="s">
        <v>63</v>
      </c>
      <c r="D4120">
        <v>1678</v>
      </c>
      <c r="E4120">
        <v>900</v>
      </c>
      <c r="F4120">
        <v>186</v>
      </c>
      <c r="G4120">
        <v>101</v>
      </c>
      <c r="H4120">
        <v>2865</v>
      </c>
      <c r="I4120" s="1">
        <v>45505</v>
      </c>
      <c r="J4120">
        <v>287</v>
      </c>
      <c r="K4120" t="s">
        <v>26</v>
      </c>
    </row>
    <row r="4121" spans="1:11">
      <c r="A4121" s="1">
        <v>45533</v>
      </c>
      <c r="B4121" t="s">
        <v>40</v>
      </c>
      <c r="C4121" t="s">
        <v>60</v>
      </c>
      <c r="D4121">
        <v>1613</v>
      </c>
      <c r="E4121">
        <v>523</v>
      </c>
      <c r="F4121">
        <v>223</v>
      </c>
      <c r="G4121">
        <v>126</v>
      </c>
      <c r="H4121">
        <v>2485</v>
      </c>
      <c r="I4121" s="1">
        <v>45505</v>
      </c>
      <c r="J4121">
        <v>349</v>
      </c>
      <c r="K4121" t="s">
        <v>26</v>
      </c>
    </row>
    <row r="4122" spans="1:11">
      <c r="A4122" s="1">
        <v>45533</v>
      </c>
      <c r="B4122" t="s">
        <v>40</v>
      </c>
      <c r="C4122" t="s">
        <v>61</v>
      </c>
      <c r="D4122">
        <v>2487</v>
      </c>
      <c r="E4122">
        <v>692</v>
      </c>
      <c r="F4122">
        <v>400</v>
      </c>
      <c r="G4122">
        <v>341</v>
      </c>
      <c r="H4122">
        <v>3919</v>
      </c>
      <c r="I4122" s="1">
        <v>45505</v>
      </c>
      <c r="J4122">
        <v>741</v>
      </c>
      <c r="K4122" t="s">
        <v>26</v>
      </c>
    </row>
    <row r="4123" spans="1:11">
      <c r="A4123" s="1">
        <v>45533</v>
      </c>
      <c r="B4123" t="s">
        <v>40</v>
      </c>
      <c r="C4123" t="s">
        <v>62</v>
      </c>
      <c r="D4123">
        <v>249</v>
      </c>
      <c r="E4123">
        <v>87</v>
      </c>
      <c r="F4123">
        <v>27</v>
      </c>
      <c r="G4123">
        <v>4</v>
      </c>
      <c r="H4123">
        <v>367</v>
      </c>
      <c r="I4123" s="1">
        <v>45505</v>
      </c>
      <c r="J4123">
        <v>31</v>
      </c>
      <c r="K4123" t="s">
        <v>26</v>
      </c>
    </row>
    <row r="4124" spans="1:11">
      <c r="A4124" s="1">
        <v>45533</v>
      </c>
      <c r="B4124" t="s">
        <v>40</v>
      </c>
      <c r="C4124" t="s">
        <v>69</v>
      </c>
      <c r="D4124">
        <v>3611</v>
      </c>
      <c r="E4124">
        <v>1467</v>
      </c>
      <c r="F4124">
        <v>502</v>
      </c>
      <c r="G4124">
        <v>753</v>
      </c>
      <c r="H4124">
        <v>6333</v>
      </c>
      <c r="I4124" s="1">
        <v>45505</v>
      </c>
      <c r="J4124">
        <v>1255</v>
      </c>
      <c r="K4124" t="s">
        <v>26</v>
      </c>
    </row>
    <row r="4125" spans="1:11">
      <c r="A4125" s="1">
        <v>45533</v>
      </c>
      <c r="B4125" t="s">
        <v>40</v>
      </c>
      <c r="C4125" t="s">
        <v>29</v>
      </c>
      <c r="D4125">
        <v>469</v>
      </c>
      <c r="E4125">
        <v>204</v>
      </c>
      <c r="F4125">
        <v>124</v>
      </c>
      <c r="G4125">
        <v>70</v>
      </c>
      <c r="H4125">
        <v>867</v>
      </c>
      <c r="I4125" s="1">
        <v>45505</v>
      </c>
      <c r="J4125">
        <v>194</v>
      </c>
      <c r="K4125" t="s">
        <v>26</v>
      </c>
    </row>
    <row r="4126" spans="1:11">
      <c r="A4126" s="1">
        <v>45533</v>
      </c>
      <c r="B4126" t="s">
        <v>40</v>
      </c>
      <c r="C4126" t="s">
        <v>70</v>
      </c>
      <c r="D4126">
        <v>709</v>
      </c>
      <c r="E4126">
        <v>148</v>
      </c>
      <c r="F4126">
        <v>33</v>
      </c>
      <c r="G4126">
        <v>18</v>
      </c>
      <c r="H4126">
        <v>909</v>
      </c>
      <c r="I4126" s="1">
        <v>45505</v>
      </c>
      <c r="J4126">
        <v>51</v>
      </c>
      <c r="K4126" t="s">
        <v>26</v>
      </c>
    </row>
    <row r="4127" spans="1:11">
      <c r="A4127" s="1">
        <v>45533</v>
      </c>
      <c r="B4127" t="s">
        <v>40</v>
      </c>
      <c r="C4127" t="s">
        <v>71</v>
      </c>
      <c r="D4127">
        <v>2807</v>
      </c>
      <c r="E4127">
        <v>550</v>
      </c>
      <c r="F4127">
        <v>247</v>
      </c>
      <c r="G4127">
        <v>277</v>
      </c>
      <c r="H4127">
        <v>3882</v>
      </c>
      <c r="I4127" s="1">
        <v>45505</v>
      </c>
      <c r="J4127">
        <v>524</v>
      </c>
      <c r="K4127" t="s">
        <v>26</v>
      </c>
    </row>
    <row r="4128" spans="1:11">
      <c r="A4128" s="1">
        <v>45533</v>
      </c>
      <c r="B4128" t="s">
        <v>40</v>
      </c>
      <c r="C4128" t="s">
        <v>36</v>
      </c>
      <c r="D4128">
        <v>2680</v>
      </c>
      <c r="E4128">
        <v>613</v>
      </c>
      <c r="F4128">
        <v>207</v>
      </c>
      <c r="G4128">
        <v>137</v>
      </c>
      <c r="H4128">
        <v>3637</v>
      </c>
      <c r="I4128" s="1">
        <v>45505</v>
      </c>
      <c r="J4128">
        <v>344</v>
      </c>
      <c r="K4128" t="s">
        <v>26</v>
      </c>
    </row>
    <row r="4129" spans="1:11">
      <c r="A4129" s="1">
        <v>45533</v>
      </c>
      <c r="B4129" t="s">
        <v>40</v>
      </c>
      <c r="C4129" t="s">
        <v>59</v>
      </c>
      <c r="D4129">
        <v>1485</v>
      </c>
      <c r="E4129">
        <v>839</v>
      </c>
      <c r="F4129">
        <v>291</v>
      </c>
      <c r="G4129">
        <v>27</v>
      </c>
      <c r="H4129">
        <v>2641</v>
      </c>
      <c r="I4129" s="1">
        <v>45505</v>
      </c>
      <c r="J4129">
        <v>318</v>
      </c>
      <c r="K4129" t="s">
        <v>26</v>
      </c>
    </row>
    <row r="4130" spans="1:11">
      <c r="A4130" s="1">
        <v>45533</v>
      </c>
      <c r="B4130" t="s">
        <v>40</v>
      </c>
      <c r="C4130" t="s">
        <v>67</v>
      </c>
      <c r="D4130">
        <v>2804</v>
      </c>
      <c r="E4130">
        <v>852</v>
      </c>
      <c r="F4130">
        <v>468</v>
      </c>
      <c r="G4130">
        <v>837</v>
      </c>
      <c r="H4130">
        <v>4961</v>
      </c>
      <c r="I4130" s="1">
        <v>45505</v>
      </c>
      <c r="J4130">
        <v>1305</v>
      </c>
      <c r="K4130" t="s">
        <v>26</v>
      </c>
    </row>
    <row r="4131" spans="1:11">
      <c r="A4131" s="1">
        <v>45533</v>
      </c>
      <c r="B4131" t="s">
        <v>40</v>
      </c>
      <c r="C4131" t="s">
        <v>49</v>
      </c>
      <c r="D4131">
        <v>449</v>
      </c>
      <c r="E4131">
        <v>130</v>
      </c>
      <c r="F4131">
        <v>70</v>
      </c>
      <c r="G4131">
        <v>30</v>
      </c>
      <c r="H4131">
        <v>679</v>
      </c>
      <c r="I4131" s="1">
        <v>45505</v>
      </c>
      <c r="J4131">
        <v>100</v>
      </c>
      <c r="K4131" t="s">
        <v>26</v>
      </c>
    </row>
    <row r="4132" spans="1:11">
      <c r="A4132" s="1">
        <v>45561</v>
      </c>
      <c r="B4132" t="s">
        <v>40</v>
      </c>
      <c r="C4132" t="s">
        <v>50</v>
      </c>
      <c r="D4132">
        <v>158</v>
      </c>
      <c r="E4132">
        <v>24</v>
      </c>
      <c r="F4132">
        <v>24</v>
      </c>
      <c r="G4132">
        <v>35</v>
      </c>
      <c r="H4132">
        <v>240</v>
      </c>
      <c r="I4132" s="1">
        <v>45536</v>
      </c>
      <c r="J4132">
        <v>59</v>
      </c>
      <c r="K4132" t="s">
        <v>26</v>
      </c>
    </row>
    <row r="4133" spans="1:11">
      <c r="A4133" s="1">
        <v>45561</v>
      </c>
      <c r="B4133" t="s">
        <v>40</v>
      </c>
      <c r="C4133" t="s">
        <v>48</v>
      </c>
      <c r="D4133">
        <v>5392</v>
      </c>
      <c r="E4133">
        <v>2293</v>
      </c>
      <c r="F4133">
        <v>792</v>
      </c>
      <c r="G4133">
        <v>622</v>
      </c>
      <c r="H4133">
        <v>9099</v>
      </c>
      <c r="I4133" s="1">
        <v>45536</v>
      </c>
      <c r="J4133">
        <v>1414</v>
      </c>
      <c r="K4133" t="s">
        <v>26</v>
      </c>
    </row>
    <row r="4134" spans="1:11">
      <c r="A4134" s="1">
        <v>45561</v>
      </c>
      <c r="B4134" t="s">
        <v>40</v>
      </c>
      <c r="C4134" t="s">
        <v>33</v>
      </c>
      <c r="D4134">
        <v>127</v>
      </c>
      <c r="E4134">
        <v>50</v>
      </c>
      <c r="F4134">
        <v>18</v>
      </c>
      <c r="G4134">
        <v>4</v>
      </c>
      <c r="H4134">
        <v>199</v>
      </c>
      <c r="I4134" s="1">
        <v>45536</v>
      </c>
      <c r="J4134">
        <v>22</v>
      </c>
      <c r="K4134" t="s">
        <v>26</v>
      </c>
    </row>
    <row r="4135" spans="1:11">
      <c r="A4135" s="1">
        <v>45561</v>
      </c>
      <c r="B4135" t="s">
        <v>40</v>
      </c>
      <c r="C4135" t="s">
        <v>65</v>
      </c>
      <c r="D4135">
        <v>793</v>
      </c>
      <c r="E4135">
        <v>376</v>
      </c>
      <c r="F4135">
        <v>98</v>
      </c>
      <c r="G4135">
        <v>142</v>
      </c>
      <c r="H4135">
        <v>1409</v>
      </c>
      <c r="I4135" s="1">
        <v>45536</v>
      </c>
      <c r="J4135">
        <v>240</v>
      </c>
      <c r="K4135" t="s">
        <v>26</v>
      </c>
    </row>
    <row r="4136" spans="1:11">
      <c r="A4136" s="1">
        <v>45561</v>
      </c>
      <c r="B4136" t="s">
        <v>40</v>
      </c>
      <c r="C4136" t="s">
        <v>30</v>
      </c>
      <c r="D4136">
        <v>477</v>
      </c>
      <c r="E4136">
        <v>70</v>
      </c>
      <c r="F4136">
        <v>14</v>
      </c>
      <c r="G4136">
        <v>4</v>
      </c>
      <c r="H4136">
        <v>564</v>
      </c>
      <c r="I4136" s="1">
        <v>45536</v>
      </c>
      <c r="J4136">
        <v>18</v>
      </c>
      <c r="K4136" t="s">
        <v>26</v>
      </c>
    </row>
    <row r="4137" spans="1:11">
      <c r="A4137" s="1">
        <v>45561</v>
      </c>
      <c r="B4137" t="s">
        <v>40</v>
      </c>
      <c r="C4137" t="s">
        <v>66</v>
      </c>
      <c r="D4137">
        <v>5206</v>
      </c>
      <c r="E4137">
        <v>2387</v>
      </c>
      <c r="F4137">
        <v>859</v>
      </c>
      <c r="G4137">
        <v>1498</v>
      </c>
      <c r="H4137">
        <v>9950</v>
      </c>
      <c r="I4137" s="1">
        <v>45536</v>
      </c>
      <c r="J4137">
        <v>2357</v>
      </c>
      <c r="K4137" t="s">
        <v>26</v>
      </c>
    </row>
    <row r="4138" spans="1:11">
      <c r="A4138" s="1">
        <v>45561</v>
      </c>
      <c r="B4138" t="s">
        <v>40</v>
      </c>
      <c r="C4138" t="s">
        <v>56</v>
      </c>
      <c r="D4138">
        <v>670</v>
      </c>
      <c r="E4138">
        <v>114</v>
      </c>
      <c r="F4138">
        <v>10</v>
      </c>
      <c r="G4138">
        <v>3</v>
      </c>
      <c r="H4138">
        <v>796</v>
      </c>
      <c r="I4138" s="1">
        <v>45536</v>
      </c>
      <c r="J4138">
        <v>13</v>
      </c>
      <c r="K4138" t="s">
        <v>26</v>
      </c>
    </row>
    <row r="4139" spans="1:11">
      <c r="A4139" s="1">
        <v>45561</v>
      </c>
      <c r="B4139" t="s">
        <v>40</v>
      </c>
      <c r="C4139" t="s">
        <v>57</v>
      </c>
      <c r="D4139">
        <v>881</v>
      </c>
      <c r="E4139">
        <v>145</v>
      </c>
      <c r="F4139">
        <v>64</v>
      </c>
      <c r="G4139">
        <v>85</v>
      </c>
      <c r="H4139">
        <v>1175</v>
      </c>
      <c r="I4139" s="1">
        <v>45536</v>
      </c>
      <c r="J4139">
        <v>149</v>
      </c>
      <c r="K4139" t="s">
        <v>26</v>
      </c>
    </row>
    <row r="4140" spans="1:11">
      <c r="A4140" s="1">
        <v>45561</v>
      </c>
      <c r="B4140" t="s">
        <v>40</v>
      </c>
      <c r="C4140" t="s">
        <v>28</v>
      </c>
      <c r="D4140">
        <v>312</v>
      </c>
      <c r="E4140">
        <v>87</v>
      </c>
      <c r="F4140">
        <v>46</v>
      </c>
      <c r="G4140">
        <v>15</v>
      </c>
      <c r="H4140">
        <v>460</v>
      </c>
      <c r="I4140" s="1">
        <v>45536</v>
      </c>
      <c r="J4140">
        <v>61</v>
      </c>
      <c r="K4140" t="s">
        <v>26</v>
      </c>
    </row>
    <row r="4141" spans="1:11">
      <c r="A4141" s="1">
        <v>45561</v>
      </c>
      <c r="B4141" t="s">
        <v>40</v>
      </c>
      <c r="C4141" t="s">
        <v>68</v>
      </c>
      <c r="D4141">
        <v>4808</v>
      </c>
      <c r="E4141">
        <v>1080</v>
      </c>
      <c r="F4141">
        <v>415</v>
      </c>
      <c r="G4141">
        <v>816</v>
      </c>
      <c r="H4141">
        <v>7120</v>
      </c>
      <c r="I4141" s="1">
        <v>45536</v>
      </c>
      <c r="J4141">
        <v>1231</v>
      </c>
      <c r="K4141" t="s">
        <v>26</v>
      </c>
    </row>
    <row r="4142" spans="1:11">
      <c r="A4142" s="1">
        <v>45561</v>
      </c>
      <c r="B4142" t="s">
        <v>40</v>
      </c>
      <c r="C4142" t="s">
        <v>47</v>
      </c>
      <c r="D4142">
        <v>542</v>
      </c>
      <c r="E4142">
        <v>110</v>
      </c>
      <c r="F4142">
        <v>19</v>
      </c>
      <c r="G4142">
        <v>6</v>
      </c>
      <c r="H4142">
        <v>677</v>
      </c>
      <c r="I4142" s="1">
        <v>45536</v>
      </c>
      <c r="J4142">
        <v>25</v>
      </c>
      <c r="K4142" t="s">
        <v>26</v>
      </c>
    </row>
    <row r="4143" spans="1:11">
      <c r="A4143" s="1">
        <v>45561</v>
      </c>
      <c r="B4143" t="s">
        <v>40</v>
      </c>
      <c r="C4143" t="s">
        <v>25</v>
      </c>
      <c r="D4143">
        <v>448</v>
      </c>
      <c r="E4143">
        <v>95</v>
      </c>
      <c r="F4143">
        <v>22</v>
      </c>
      <c r="G4143">
        <v>9</v>
      </c>
      <c r="H4143">
        <v>574</v>
      </c>
      <c r="I4143" s="1">
        <v>45536</v>
      </c>
      <c r="J4143">
        <v>31</v>
      </c>
      <c r="K4143" t="s">
        <v>26</v>
      </c>
    </row>
    <row r="4144" spans="1:11">
      <c r="A4144" s="1">
        <v>45561</v>
      </c>
      <c r="B4144" t="s">
        <v>40</v>
      </c>
      <c r="C4144" t="s">
        <v>45</v>
      </c>
      <c r="D4144">
        <v>135</v>
      </c>
      <c r="E4144">
        <v>48</v>
      </c>
      <c r="F4144">
        <v>21</v>
      </c>
      <c r="G4144">
        <v>14</v>
      </c>
      <c r="H4144">
        <v>218</v>
      </c>
      <c r="I4144" s="1">
        <v>45536</v>
      </c>
      <c r="J4144">
        <v>35</v>
      </c>
      <c r="K4144" t="s">
        <v>26</v>
      </c>
    </row>
    <row r="4145" spans="1:11">
      <c r="A4145" s="1">
        <v>45561</v>
      </c>
      <c r="B4145" t="s">
        <v>40</v>
      </c>
      <c r="C4145" t="s">
        <v>54</v>
      </c>
      <c r="D4145">
        <v>1545</v>
      </c>
      <c r="E4145">
        <v>326</v>
      </c>
      <c r="F4145">
        <v>37</v>
      </c>
      <c r="G4145">
        <v>4</v>
      </c>
      <c r="H4145">
        <v>1912</v>
      </c>
      <c r="I4145" s="1">
        <v>45536</v>
      </c>
      <c r="J4145">
        <v>41</v>
      </c>
      <c r="K4145" t="s">
        <v>26</v>
      </c>
    </row>
    <row r="4146" spans="1:11">
      <c r="A4146" s="1">
        <v>45561</v>
      </c>
      <c r="B4146" t="s">
        <v>40</v>
      </c>
      <c r="C4146" t="s">
        <v>31</v>
      </c>
      <c r="D4146">
        <v>407</v>
      </c>
      <c r="E4146">
        <v>153</v>
      </c>
      <c r="F4146">
        <v>55</v>
      </c>
      <c r="G4146">
        <v>41</v>
      </c>
      <c r="H4146">
        <v>656</v>
      </c>
      <c r="I4146" s="1">
        <v>45536</v>
      </c>
      <c r="J4146">
        <v>96</v>
      </c>
      <c r="K4146" t="s">
        <v>26</v>
      </c>
    </row>
    <row r="4147" spans="1:11">
      <c r="A4147" s="1">
        <v>45561</v>
      </c>
      <c r="B4147" t="s">
        <v>40</v>
      </c>
      <c r="C4147" t="s">
        <v>63</v>
      </c>
      <c r="D4147">
        <v>1748</v>
      </c>
      <c r="E4147">
        <v>945</v>
      </c>
      <c r="F4147">
        <v>211</v>
      </c>
      <c r="G4147">
        <v>107</v>
      </c>
      <c r="H4147">
        <v>3011</v>
      </c>
      <c r="I4147" s="1">
        <v>45536</v>
      </c>
      <c r="J4147">
        <v>318</v>
      </c>
      <c r="K4147" t="s">
        <v>26</v>
      </c>
    </row>
    <row r="4148" spans="1:11">
      <c r="A4148" s="1">
        <v>45561</v>
      </c>
      <c r="B4148" t="s">
        <v>40</v>
      </c>
      <c r="C4148" t="s">
        <v>60</v>
      </c>
      <c r="D4148">
        <v>1541</v>
      </c>
      <c r="E4148">
        <v>510</v>
      </c>
      <c r="F4148">
        <v>245</v>
      </c>
      <c r="G4148">
        <v>127</v>
      </c>
      <c r="H4148">
        <v>2423</v>
      </c>
      <c r="I4148" s="1">
        <v>45536</v>
      </c>
      <c r="J4148">
        <v>372</v>
      </c>
      <c r="K4148" t="s">
        <v>26</v>
      </c>
    </row>
    <row r="4149" spans="1:11">
      <c r="A4149" s="1">
        <v>45561</v>
      </c>
      <c r="B4149" t="s">
        <v>40</v>
      </c>
      <c r="C4149" t="s">
        <v>61</v>
      </c>
      <c r="D4149">
        <v>2324</v>
      </c>
      <c r="E4149">
        <v>747</v>
      </c>
      <c r="F4149">
        <v>364</v>
      </c>
      <c r="G4149">
        <v>375</v>
      </c>
      <c r="H4149">
        <v>3809</v>
      </c>
      <c r="I4149" s="1">
        <v>45536</v>
      </c>
      <c r="J4149">
        <v>739</v>
      </c>
      <c r="K4149" t="s">
        <v>26</v>
      </c>
    </row>
    <row r="4150" spans="1:11">
      <c r="A4150" s="1">
        <v>45561</v>
      </c>
      <c r="B4150" t="s">
        <v>40</v>
      </c>
      <c r="C4150" t="s">
        <v>69</v>
      </c>
      <c r="D4150">
        <v>3451</v>
      </c>
      <c r="E4150">
        <v>1351</v>
      </c>
      <c r="F4150">
        <v>475</v>
      </c>
      <c r="G4150">
        <v>675</v>
      </c>
      <c r="H4150">
        <v>5952</v>
      </c>
      <c r="I4150" s="1">
        <v>45536</v>
      </c>
      <c r="J4150">
        <v>1150</v>
      </c>
      <c r="K4150" t="s">
        <v>26</v>
      </c>
    </row>
    <row r="4151" spans="1:11">
      <c r="A4151" s="1">
        <v>45561</v>
      </c>
      <c r="B4151" t="s">
        <v>40</v>
      </c>
      <c r="C4151" t="s">
        <v>29</v>
      </c>
      <c r="D4151">
        <v>478</v>
      </c>
      <c r="E4151">
        <v>169</v>
      </c>
      <c r="F4151">
        <v>99</v>
      </c>
      <c r="G4151">
        <v>71</v>
      </c>
      <c r="H4151">
        <v>817</v>
      </c>
      <c r="I4151" s="1">
        <v>45536</v>
      </c>
      <c r="J4151">
        <v>170</v>
      </c>
      <c r="K4151" t="s">
        <v>26</v>
      </c>
    </row>
    <row r="4152" spans="1:11">
      <c r="A4152" s="1">
        <v>45561</v>
      </c>
      <c r="B4152" t="s">
        <v>40</v>
      </c>
      <c r="C4152" t="s">
        <v>70</v>
      </c>
      <c r="D4152">
        <v>690</v>
      </c>
      <c r="E4152">
        <v>144</v>
      </c>
      <c r="F4152">
        <v>28</v>
      </c>
      <c r="G4152">
        <v>17</v>
      </c>
      <c r="H4152">
        <v>880</v>
      </c>
      <c r="I4152" s="1">
        <v>45536</v>
      </c>
      <c r="J4152">
        <v>45</v>
      </c>
      <c r="K4152" t="s">
        <v>26</v>
      </c>
    </row>
    <row r="4153" spans="1:11">
      <c r="A4153" s="1">
        <v>45561</v>
      </c>
      <c r="B4153" t="s">
        <v>40</v>
      </c>
      <c r="C4153" t="s">
        <v>71</v>
      </c>
      <c r="D4153">
        <v>2791</v>
      </c>
      <c r="E4153">
        <v>554</v>
      </c>
      <c r="F4153">
        <v>242</v>
      </c>
      <c r="G4153">
        <v>281</v>
      </c>
      <c r="H4153">
        <v>3868</v>
      </c>
      <c r="I4153" s="1">
        <v>45536</v>
      </c>
      <c r="J4153">
        <v>523</v>
      </c>
      <c r="K4153" t="s">
        <v>26</v>
      </c>
    </row>
    <row r="4154" spans="1:11">
      <c r="A4154" s="1">
        <v>45561</v>
      </c>
      <c r="B4154" t="s">
        <v>40</v>
      </c>
      <c r="C4154" t="s">
        <v>36</v>
      </c>
      <c r="D4154">
        <v>2767</v>
      </c>
      <c r="E4154">
        <v>681</v>
      </c>
      <c r="F4154">
        <v>224</v>
      </c>
      <c r="G4154">
        <v>146</v>
      </c>
      <c r="H4154">
        <v>3818</v>
      </c>
      <c r="I4154" s="1">
        <v>45536</v>
      </c>
      <c r="J4154">
        <v>370</v>
      </c>
      <c r="K4154" t="s">
        <v>26</v>
      </c>
    </row>
    <row r="4155" spans="1:11">
      <c r="A4155" s="1">
        <v>45561</v>
      </c>
      <c r="B4155" t="s">
        <v>40</v>
      </c>
      <c r="C4155" t="s">
        <v>59</v>
      </c>
      <c r="D4155">
        <v>1449</v>
      </c>
      <c r="E4155">
        <v>819</v>
      </c>
      <c r="F4155">
        <v>296</v>
      </c>
      <c r="G4155">
        <v>47</v>
      </c>
      <c r="H4155">
        <v>2611</v>
      </c>
      <c r="I4155" s="1">
        <v>45536</v>
      </c>
      <c r="J4155">
        <v>343</v>
      </c>
      <c r="K4155" t="s">
        <v>26</v>
      </c>
    </row>
    <row r="4156" spans="1:11">
      <c r="A4156" s="1">
        <v>45561</v>
      </c>
      <c r="B4156" t="s">
        <v>40</v>
      </c>
      <c r="C4156" t="s">
        <v>67</v>
      </c>
      <c r="D4156">
        <v>2771</v>
      </c>
      <c r="E4156">
        <v>866</v>
      </c>
      <c r="F4156">
        <v>432</v>
      </c>
      <c r="G4156">
        <v>867</v>
      </c>
      <c r="H4156">
        <v>4936</v>
      </c>
      <c r="I4156" s="1">
        <v>45536</v>
      </c>
      <c r="J4156">
        <v>1299</v>
      </c>
      <c r="K4156" t="s">
        <v>26</v>
      </c>
    </row>
    <row r="4157" spans="1:11">
      <c r="A4157" s="1">
        <v>45561</v>
      </c>
      <c r="B4157" t="s">
        <v>40</v>
      </c>
      <c r="C4157" t="s">
        <v>49</v>
      </c>
      <c r="D4157">
        <v>517</v>
      </c>
      <c r="E4157">
        <v>121</v>
      </c>
      <c r="F4157">
        <v>59</v>
      </c>
      <c r="G4157">
        <v>19</v>
      </c>
      <c r="H4157">
        <v>715</v>
      </c>
      <c r="I4157" s="1">
        <v>45536</v>
      </c>
      <c r="J4157">
        <v>78</v>
      </c>
      <c r="K4157" t="s">
        <v>26</v>
      </c>
    </row>
    <row r="4158" spans="1:11">
      <c r="A4158" s="1">
        <v>45596</v>
      </c>
      <c r="B4158" t="s">
        <v>40</v>
      </c>
      <c r="C4158" t="s">
        <v>50</v>
      </c>
      <c r="D4158">
        <v>172</v>
      </c>
      <c r="E4158">
        <v>27</v>
      </c>
      <c r="F4158">
        <v>13</v>
      </c>
      <c r="G4158">
        <v>32</v>
      </c>
      <c r="H4158">
        <v>244</v>
      </c>
      <c r="I4158" s="1">
        <v>45566</v>
      </c>
      <c r="J4158">
        <v>45</v>
      </c>
      <c r="K4158" t="s">
        <v>26</v>
      </c>
    </row>
    <row r="4159" spans="1:11">
      <c r="A4159" s="1">
        <v>45596</v>
      </c>
      <c r="B4159" t="s">
        <v>40</v>
      </c>
      <c r="C4159" t="s">
        <v>48</v>
      </c>
      <c r="D4159">
        <v>5458</v>
      </c>
      <c r="E4159">
        <v>2438</v>
      </c>
      <c r="F4159">
        <v>788</v>
      </c>
      <c r="G4159">
        <v>622</v>
      </c>
      <c r="H4159">
        <v>9306</v>
      </c>
      <c r="I4159" s="1">
        <v>45566</v>
      </c>
      <c r="J4159">
        <v>1410</v>
      </c>
      <c r="K4159" t="s">
        <v>26</v>
      </c>
    </row>
    <row r="4160" spans="1:11">
      <c r="A4160" s="1">
        <v>45596</v>
      </c>
      <c r="B4160" t="s">
        <v>40</v>
      </c>
      <c r="C4160" t="s">
        <v>33</v>
      </c>
      <c r="D4160">
        <v>155</v>
      </c>
      <c r="E4160">
        <v>48</v>
      </c>
      <c r="F4160">
        <v>17</v>
      </c>
      <c r="G4160">
        <v>4</v>
      </c>
      <c r="H4160">
        <v>223</v>
      </c>
      <c r="I4160" s="1">
        <v>45566</v>
      </c>
      <c r="J4160">
        <v>21</v>
      </c>
      <c r="K4160" t="s">
        <v>26</v>
      </c>
    </row>
    <row r="4161" spans="1:11">
      <c r="A4161" s="1">
        <v>45596</v>
      </c>
      <c r="B4161" t="s">
        <v>40</v>
      </c>
      <c r="C4161" t="s">
        <v>65</v>
      </c>
      <c r="D4161">
        <v>904</v>
      </c>
      <c r="E4161">
        <v>388</v>
      </c>
      <c r="F4161">
        <v>117</v>
      </c>
      <c r="G4161">
        <v>128</v>
      </c>
      <c r="H4161">
        <v>1537</v>
      </c>
      <c r="I4161" s="1">
        <v>45566</v>
      </c>
      <c r="J4161">
        <v>245</v>
      </c>
      <c r="K4161" t="s">
        <v>26</v>
      </c>
    </row>
    <row r="4162" spans="1:11">
      <c r="A4162" s="1">
        <v>45596</v>
      </c>
      <c r="B4162" t="s">
        <v>40</v>
      </c>
      <c r="C4162" t="s">
        <v>30</v>
      </c>
      <c r="D4162">
        <v>506</v>
      </c>
      <c r="E4162">
        <v>74</v>
      </c>
      <c r="F4162">
        <v>10</v>
      </c>
      <c r="G4162">
        <v>3</v>
      </c>
      <c r="H4162">
        <v>592</v>
      </c>
      <c r="I4162" s="1">
        <v>45566</v>
      </c>
      <c r="J4162">
        <v>13</v>
      </c>
      <c r="K4162" t="s">
        <v>26</v>
      </c>
    </row>
    <row r="4163" spans="1:11">
      <c r="A4163" s="1">
        <v>45596</v>
      </c>
      <c r="B4163" t="s">
        <v>40</v>
      </c>
      <c r="C4163" t="s">
        <v>66</v>
      </c>
      <c r="D4163">
        <v>5319</v>
      </c>
      <c r="E4163">
        <v>2237</v>
      </c>
      <c r="F4163">
        <v>948</v>
      </c>
      <c r="G4163">
        <v>1439</v>
      </c>
      <c r="H4163">
        <v>9943</v>
      </c>
      <c r="I4163" s="1">
        <v>45566</v>
      </c>
      <c r="J4163">
        <v>2387</v>
      </c>
      <c r="K4163" t="s">
        <v>26</v>
      </c>
    </row>
    <row r="4164" spans="1:11">
      <c r="A4164" s="1">
        <v>45596</v>
      </c>
      <c r="B4164" t="s">
        <v>40</v>
      </c>
      <c r="C4164" t="s">
        <v>56</v>
      </c>
      <c r="D4164">
        <v>657</v>
      </c>
      <c r="E4164">
        <v>127</v>
      </c>
      <c r="F4164">
        <v>1</v>
      </c>
      <c r="G4164">
        <v>1</v>
      </c>
      <c r="H4164">
        <v>786</v>
      </c>
      <c r="I4164" s="1">
        <v>45566</v>
      </c>
      <c r="J4164">
        <v>2</v>
      </c>
      <c r="K4164" t="s">
        <v>26</v>
      </c>
    </row>
    <row r="4165" spans="1:11">
      <c r="A4165" s="1">
        <v>45596</v>
      </c>
      <c r="B4165" t="s">
        <v>40</v>
      </c>
      <c r="C4165" t="s">
        <v>57</v>
      </c>
      <c r="D4165">
        <v>996</v>
      </c>
      <c r="E4165">
        <v>161</v>
      </c>
      <c r="F4165">
        <v>57</v>
      </c>
      <c r="G4165">
        <v>58</v>
      </c>
      <c r="H4165">
        <v>1271</v>
      </c>
      <c r="I4165" s="1">
        <v>45566</v>
      </c>
      <c r="J4165">
        <v>115</v>
      </c>
      <c r="K4165" t="s">
        <v>26</v>
      </c>
    </row>
    <row r="4166" spans="1:11">
      <c r="A4166" s="1">
        <v>45596</v>
      </c>
      <c r="B4166" t="s">
        <v>40</v>
      </c>
      <c r="C4166" t="s">
        <v>28</v>
      </c>
      <c r="D4166">
        <v>291</v>
      </c>
      <c r="E4166">
        <v>80</v>
      </c>
      <c r="F4166">
        <v>47</v>
      </c>
      <c r="G4166">
        <v>13</v>
      </c>
      <c r="H4166">
        <v>431</v>
      </c>
      <c r="I4166" s="1">
        <v>45566</v>
      </c>
      <c r="J4166">
        <v>60</v>
      </c>
      <c r="K4166" t="s">
        <v>26</v>
      </c>
    </row>
    <row r="4167" spans="1:11">
      <c r="A4167" s="1">
        <v>45596</v>
      </c>
      <c r="B4167" t="s">
        <v>40</v>
      </c>
      <c r="C4167" t="s">
        <v>68</v>
      </c>
      <c r="D4167">
        <v>4650</v>
      </c>
      <c r="E4167">
        <v>1187</v>
      </c>
      <c r="F4167">
        <v>406</v>
      </c>
      <c r="G4167">
        <v>818</v>
      </c>
      <c r="H4167">
        <v>7060</v>
      </c>
      <c r="I4167" s="1">
        <v>45566</v>
      </c>
      <c r="J4167">
        <v>1224</v>
      </c>
      <c r="K4167" t="s">
        <v>26</v>
      </c>
    </row>
    <row r="4168" spans="1:11">
      <c r="A4168" s="1">
        <v>45596</v>
      </c>
      <c r="B4168" t="s">
        <v>40</v>
      </c>
      <c r="C4168" t="s">
        <v>47</v>
      </c>
      <c r="D4168">
        <v>645</v>
      </c>
      <c r="E4168">
        <v>118</v>
      </c>
      <c r="F4168">
        <v>27</v>
      </c>
      <c r="G4168">
        <v>7</v>
      </c>
      <c r="H4168">
        <v>796</v>
      </c>
      <c r="I4168" s="1">
        <v>45566</v>
      </c>
      <c r="J4168">
        <v>34</v>
      </c>
      <c r="K4168" t="s">
        <v>26</v>
      </c>
    </row>
    <row r="4169" spans="1:11">
      <c r="A4169" s="1">
        <v>45596</v>
      </c>
      <c r="B4169" t="s">
        <v>40</v>
      </c>
      <c r="C4169" t="s">
        <v>25</v>
      </c>
      <c r="D4169">
        <v>503</v>
      </c>
      <c r="E4169">
        <v>74</v>
      </c>
      <c r="F4169">
        <v>22</v>
      </c>
      <c r="G4169">
        <v>8</v>
      </c>
      <c r="H4169">
        <v>608</v>
      </c>
      <c r="I4169" s="1">
        <v>45566</v>
      </c>
      <c r="J4169">
        <v>30</v>
      </c>
      <c r="K4169" t="s">
        <v>26</v>
      </c>
    </row>
    <row r="4170" spans="1:11">
      <c r="A4170" s="1">
        <v>45596</v>
      </c>
      <c r="B4170" t="s">
        <v>40</v>
      </c>
      <c r="C4170" t="s">
        <v>45</v>
      </c>
      <c r="D4170">
        <v>209</v>
      </c>
      <c r="E4170">
        <v>34</v>
      </c>
      <c r="F4170">
        <v>33</v>
      </c>
      <c r="G4170">
        <v>13</v>
      </c>
      <c r="H4170">
        <v>290</v>
      </c>
      <c r="I4170" s="1">
        <v>45566</v>
      </c>
      <c r="J4170">
        <v>46</v>
      </c>
      <c r="K4170" t="s">
        <v>26</v>
      </c>
    </row>
    <row r="4171" spans="1:11">
      <c r="A4171" s="1">
        <v>45596</v>
      </c>
      <c r="B4171" t="s">
        <v>40</v>
      </c>
      <c r="C4171" t="s">
        <v>54</v>
      </c>
      <c r="D4171">
        <v>1609</v>
      </c>
      <c r="E4171">
        <v>364</v>
      </c>
      <c r="F4171">
        <v>46</v>
      </c>
      <c r="G4171">
        <v>3</v>
      </c>
      <c r="H4171">
        <v>2022</v>
      </c>
      <c r="I4171" s="1">
        <v>45566</v>
      </c>
      <c r="J4171">
        <v>49</v>
      </c>
      <c r="K4171" t="s">
        <v>26</v>
      </c>
    </row>
    <row r="4172" spans="1:11">
      <c r="A4172" s="1">
        <v>45596</v>
      </c>
      <c r="B4172" t="s">
        <v>40</v>
      </c>
      <c r="C4172" t="s">
        <v>31</v>
      </c>
      <c r="D4172">
        <v>392</v>
      </c>
      <c r="E4172">
        <v>162</v>
      </c>
      <c r="F4172">
        <v>53</v>
      </c>
      <c r="G4172">
        <v>42</v>
      </c>
      <c r="H4172">
        <v>649</v>
      </c>
      <c r="I4172" s="1">
        <v>45566</v>
      </c>
      <c r="J4172">
        <v>95</v>
      </c>
      <c r="K4172" t="s">
        <v>26</v>
      </c>
    </row>
    <row r="4173" spans="1:11">
      <c r="A4173" s="1">
        <v>45596</v>
      </c>
      <c r="B4173" t="s">
        <v>40</v>
      </c>
      <c r="C4173" t="s">
        <v>63</v>
      </c>
      <c r="D4173">
        <v>1837</v>
      </c>
      <c r="E4173">
        <v>861</v>
      </c>
      <c r="F4173">
        <v>290</v>
      </c>
      <c r="G4173">
        <v>110</v>
      </c>
      <c r="H4173">
        <v>3098</v>
      </c>
      <c r="I4173" s="1">
        <v>45566</v>
      </c>
      <c r="J4173">
        <v>400</v>
      </c>
      <c r="K4173" t="s">
        <v>26</v>
      </c>
    </row>
    <row r="4174" spans="1:11">
      <c r="A4174" s="1">
        <v>45596</v>
      </c>
      <c r="B4174" t="s">
        <v>40</v>
      </c>
      <c r="C4174" t="s">
        <v>60</v>
      </c>
      <c r="D4174">
        <v>1549</v>
      </c>
      <c r="E4174">
        <v>519</v>
      </c>
      <c r="F4174">
        <v>248</v>
      </c>
      <c r="G4174">
        <v>134</v>
      </c>
      <c r="H4174">
        <v>2450</v>
      </c>
      <c r="I4174" s="1">
        <v>45566</v>
      </c>
      <c r="J4174">
        <v>382</v>
      </c>
      <c r="K4174" t="s">
        <v>26</v>
      </c>
    </row>
    <row r="4175" spans="1:11">
      <c r="A4175" s="1">
        <v>45596</v>
      </c>
      <c r="B4175" t="s">
        <v>40</v>
      </c>
      <c r="C4175" t="s">
        <v>61</v>
      </c>
      <c r="D4175">
        <v>2152</v>
      </c>
      <c r="E4175">
        <v>764</v>
      </c>
      <c r="F4175">
        <v>334</v>
      </c>
      <c r="G4175">
        <v>427</v>
      </c>
      <c r="H4175">
        <v>3677</v>
      </c>
      <c r="I4175" s="1">
        <v>45566</v>
      </c>
      <c r="J4175">
        <v>761</v>
      </c>
      <c r="K4175" t="s">
        <v>26</v>
      </c>
    </row>
    <row r="4176" spans="1:11">
      <c r="A4176" s="1">
        <v>45596</v>
      </c>
      <c r="B4176" t="s">
        <v>40</v>
      </c>
      <c r="C4176" t="s">
        <v>69</v>
      </c>
      <c r="D4176">
        <v>3248</v>
      </c>
      <c r="E4176">
        <v>1184</v>
      </c>
      <c r="F4176">
        <v>456</v>
      </c>
      <c r="G4176">
        <v>645</v>
      </c>
      <c r="H4176">
        <v>5532</v>
      </c>
      <c r="I4176" s="1">
        <v>45566</v>
      </c>
      <c r="J4176">
        <v>1101</v>
      </c>
      <c r="K4176" t="s">
        <v>26</v>
      </c>
    </row>
    <row r="4177" spans="1:11">
      <c r="A4177" s="1">
        <v>45596</v>
      </c>
      <c r="B4177" t="s">
        <v>40</v>
      </c>
      <c r="C4177" t="s">
        <v>29</v>
      </c>
      <c r="D4177">
        <v>529</v>
      </c>
      <c r="E4177">
        <v>145</v>
      </c>
      <c r="F4177">
        <v>81</v>
      </c>
      <c r="G4177">
        <v>60</v>
      </c>
      <c r="H4177">
        <v>815</v>
      </c>
      <c r="I4177" s="1">
        <v>45566</v>
      </c>
      <c r="J4177">
        <v>141</v>
      </c>
      <c r="K4177" t="s">
        <v>26</v>
      </c>
    </row>
    <row r="4178" spans="1:11">
      <c r="A4178" s="1">
        <v>45596</v>
      </c>
      <c r="B4178" t="s">
        <v>40</v>
      </c>
      <c r="C4178" t="s">
        <v>70</v>
      </c>
      <c r="D4178">
        <v>687</v>
      </c>
      <c r="E4178">
        <v>174</v>
      </c>
      <c r="F4178">
        <v>28</v>
      </c>
      <c r="G4178">
        <v>26</v>
      </c>
      <c r="H4178">
        <v>914</v>
      </c>
      <c r="I4178" s="1">
        <v>45566</v>
      </c>
      <c r="J4178">
        <v>54</v>
      </c>
      <c r="K4178" t="s">
        <v>26</v>
      </c>
    </row>
    <row r="4179" spans="1:11">
      <c r="A4179" s="1">
        <v>45596</v>
      </c>
      <c r="B4179" t="s">
        <v>40</v>
      </c>
      <c r="C4179" t="s">
        <v>71</v>
      </c>
      <c r="D4179">
        <v>2858</v>
      </c>
      <c r="E4179">
        <v>539</v>
      </c>
      <c r="F4179">
        <v>245</v>
      </c>
      <c r="G4179">
        <v>306</v>
      </c>
      <c r="H4179">
        <v>3948</v>
      </c>
      <c r="I4179" s="1">
        <v>45566</v>
      </c>
      <c r="J4179">
        <v>551</v>
      </c>
      <c r="K4179" t="s">
        <v>26</v>
      </c>
    </row>
    <row r="4180" spans="1:11">
      <c r="A4180" s="1">
        <v>45596</v>
      </c>
      <c r="B4180" t="s">
        <v>40</v>
      </c>
      <c r="C4180" t="s">
        <v>36</v>
      </c>
      <c r="D4180">
        <v>2876</v>
      </c>
      <c r="E4180">
        <v>751</v>
      </c>
      <c r="F4180">
        <v>250</v>
      </c>
      <c r="G4180">
        <v>148</v>
      </c>
      <c r="H4180">
        <v>4025</v>
      </c>
      <c r="I4180" s="1">
        <v>45566</v>
      </c>
      <c r="J4180">
        <v>398</v>
      </c>
      <c r="K4180" t="s">
        <v>26</v>
      </c>
    </row>
    <row r="4181" spans="1:11">
      <c r="A4181" s="1">
        <v>45596</v>
      </c>
      <c r="B4181" t="s">
        <v>40</v>
      </c>
      <c r="C4181" t="s">
        <v>59</v>
      </c>
      <c r="D4181">
        <v>1417</v>
      </c>
      <c r="E4181">
        <v>760</v>
      </c>
      <c r="F4181">
        <v>281</v>
      </c>
      <c r="G4181">
        <v>36</v>
      </c>
      <c r="H4181">
        <v>2493</v>
      </c>
      <c r="I4181" s="1">
        <v>45566</v>
      </c>
      <c r="J4181">
        <v>317</v>
      </c>
      <c r="K4181" t="s">
        <v>26</v>
      </c>
    </row>
    <row r="4182" spans="1:11">
      <c r="A4182" s="1">
        <v>45596</v>
      </c>
      <c r="B4182" t="s">
        <v>40</v>
      </c>
      <c r="C4182" t="s">
        <v>67</v>
      </c>
      <c r="D4182">
        <v>2817</v>
      </c>
      <c r="E4182">
        <v>845</v>
      </c>
      <c r="F4182">
        <v>393</v>
      </c>
      <c r="G4182">
        <v>858</v>
      </c>
      <c r="H4182">
        <v>4913</v>
      </c>
      <c r="I4182" s="1">
        <v>45566</v>
      </c>
      <c r="J4182">
        <v>1251</v>
      </c>
      <c r="K4182" t="s">
        <v>26</v>
      </c>
    </row>
    <row r="4183" spans="1:11">
      <c r="A4183" s="1">
        <v>45596</v>
      </c>
      <c r="B4183" t="s">
        <v>40</v>
      </c>
      <c r="C4183" t="s">
        <v>49</v>
      </c>
      <c r="D4183">
        <v>560</v>
      </c>
      <c r="E4183">
        <v>134</v>
      </c>
      <c r="F4183">
        <v>54</v>
      </c>
      <c r="G4183">
        <v>19</v>
      </c>
      <c r="H4183">
        <v>767</v>
      </c>
      <c r="I4183" s="1">
        <v>45566</v>
      </c>
      <c r="J4183">
        <v>73</v>
      </c>
      <c r="K4183" t="s">
        <v>26</v>
      </c>
    </row>
    <row r="4184" spans="1:11">
      <c r="A4184" s="1">
        <v>45624</v>
      </c>
      <c r="B4184" t="s">
        <v>40</v>
      </c>
      <c r="C4184" t="s">
        <v>50</v>
      </c>
      <c r="D4184">
        <v>215</v>
      </c>
      <c r="E4184">
        <v>26</v>
      </c>
      <c r="F4184">
        <v>12</v>
      </c>
      <c r="G4184">
        <v>24</v>
      </c>
      <c r="H4184">
        <v>277</v>
      </c>
      <c r="I4184" s="1">
        <v>45597</v>
      </c>
      <c r="J4184">
        <v>36</v>
      </c>
      <c r="K4184" t="s">
        <v>26</v>
      </c>
    </row>
    <row r="4185" spans="1:11">
      <c r="A4185" s="1">
        <v>45624</v>
      </c>
      <c r="B4185" t="s">
        <v>40</v>
      </c>
      <c r="C4185" t="s">
        <v>48</v>
      </c>
      <c r="D4185">
        <v>5374</v>
      </c>
      <c r="E4185">
        <v>2347</v>
      </c>
      <c r="F4185">
        <v>661</v>
      </c>
      <c r="G4185">
        <v>528</v>
      </c>
      <c r="H4185">
        <v>8910</v>
      </c>
      <c r="I4185" s="1">
        <v>45597</v>
      </c>
      <c r="J4185">
        <v>1189</v>
      </c>
      <c r="K4185" t="s">
        <v>26</v>
      </c>
    </row>
    <row r="4186" spans="1:11">
      <c r="A4186" s="1">
        <v>45624</v>
      </c>
      <c r="B4186" t="s">
        <v>40</v>
      </c>
      <c r="C4186" t="s">
        <v>65</v>
      </c>
      <c r="D4186">
        <v>941</v>
      </c>
      <c r="E4186">
        <v>397</v>
      </c>
      <c r="F4186">
        <v>134</v>
      </c>
      <c r="G4186">
        <v>126</v>
      </c>
      <c r="H4186">
        <v>1599</v>
      </c>
      <c r="I4186" s="1">
        <v>45597</v>
      </c>
      <c r="J4186">
        <v>260</v>
      </c>
      <c r="K4186" t="s">
        <v>26</v>
      </c>
    </row>
    <row r="4187" spans="1:11">
      <c r="A4187" s="1">
        <v>45624</v>
      </c>
      <c r="B4187" t="s">
        <v>40</v>
      </c>
      <c r="C4187" t="s">
        <v>66</v>
      </c>
      <c r="D4187">
        <v>5512</v>
      </c>
      <c r="E4187">
        <v>2214</v>
      </c>
      <c r="F4187">
        <v>966</v>
      </c>
      <c r="G4187">
        <v>1383</v>
      </c>
      <c r="H4187">
        <v>10075</v>
      </c>
      <c r="I4187" s="1">
        <v>45597</v>
      </c>
      <c r="J4187">
        <v>2349</v>
      </c>
      <c r="K4187" t="s">
        <v>26</v>
      </c>
    </row>
    <row r="4188" spans="1:11">
      <c r="A4188" s="1">
        <v>45624</v>
      </c>
      <c r="B4188" t="s">
        <v>40</v>
      </c>
      <c r="C4188" t="s">
        <v>57</v>
      </c>
      <c r="D4188">
        <v>1030</v>
      </c>
      <c r="E4188">
        <v>160</v>
      </c>
      <c r="F4188">
        <v>63</v>
      </c>
      <c r="G4188">
        <v>48</v>
      </c>
      <c r="H4188">
        <v>1300</v>
      </c>
      <c r="I4188" s="1">
        <v>45597</v>
      </c>
      <c r="J4188">
        <v>111</v>
      </c>
      <c r="K4188" t="s">
        <v>26</v>
      </c>
    </row>
    <row r="4189" spans="1:11">
      <c r="A4189" s="1">
        <v>45624</v>
      </c>
      <c r="B4189" t="s">
        <v>40</v>
      </c>
      <c r="C4189" t="s">
        <v>28</v>
      </c>
      <c r="D4189">
        <v>274</v>
      </c>
      <c r="E4189">
        <v>90</v>
      </c>
      <c r="F4189">
        <v>50</v>
      </c>
      <c r="G4189">
        <v>18</v>
      </c>
      <c r="H4189">
        <v>431</v>
      </c>
      <c r="I4189" s="1">
        <v>45597</v>
      </c>
      <c r="J4189">
        <v>68</v>
      </c>
      <c r="K4189" t="s">
        <v>26</v>
      </c>
    </row>
    <row r="4190" spans="1:11">
      <c r="A4190" s="1">
        <v>45624</v>
      </c>
      <c r="B4190" t="s">
        <v>40</v>
      </c>
      <c r="C4190" t="s">
        <v>68</v>
      </c>
      <c r="D4190">
        <v>4767</v>
      </c>
      <c r="E4190">
        <v>1201</v>
      </c>
      <c r="F4190">
        <v>410</v>
      </c>
      <c r="G4190">
        <v>830</v>
      </c>
      <c r="H4190">
        <v>7208</v>
      </c>
      <c r="I4190" s="1">
        <v>45597</v>
      </c>
      <c r="J4190">
        <v>1240</v>
      </c>
      <c r="K4190" t="s">
        <v>26</v>
      </c>
    </row>
    <row r="4191" spans="1:11">
      <c r="A4191" s="1">
        <v>45624</v>
      </c>
      <c r="B4191" t="s">
        <v>40</v>
      </c>
      <c r="C4191" t="s">
        <v>47</v>
      </c>
      <c r="D4191">
        <v>692</v>
      </c>
      <c r="E4191">
        <v>61</v>
      </c>
      <c r="F4191">
        <v>16</v>
      </c>
      <c r="G4191">
        <v>1</v>
      </c>
      <c r="H4191">
        <v>770</v>
      </c>
      <c r="I4191" s="1">
        <v>45597</v>
      </c>
      <c r="J4191">
        <v>17</v>
      </c>
      <c r="K4191" t="s">
        <v>26</v>
      </c>
    </row>
    <row r="4192" spans="1:11">
      <c r="A4192" s="1">
        <v>45624</v>
      </c>
      <c r="B4192" t="s">
        <v>40</v>
      </c>
      <c r="C4192" t="s">
        <v>25</v>
      </c>
      <c r="D4192">
        <v>560</v>
      </c>
      <c r="E4192">
        <v>78</v>
      </c>
      <c r="F4192">
        <v>23</v>
      </c>
      <c r="G4192">
        <v>10</v>
      </c>
      <c r="H4192">
        <v>671</v>
      </c>
      <c r="I4192" s="1">
        <v>45597</v>
      </c>
      <c r="J4192">
        <v>33</v>
      </c>
      <c r="K4192" t="s">
        <v>26</v>
      </c>
    </row>
    <row r="4193" spans="1:11">
      <c r="A4193" s="1">
        <v>45624</v>
      </c>
      <c r="B4193" t="s">
        <v>40</v>
      </c>
      <c r="C4193" t="s">
        <v>45</v>
      </c>
      <c r="D4193">
        <v>291</v>
      </c>
      <c r="E4193">
        <v>36</v>
      </c>
      <c r="F4193">
        <v>34</v>
      </c>
      <c r="G4193">
        <v>14</v>
      </c>
      <c r="H4193">
        <v>375</v>
      </c>
      <c r="I4193" s="1">
        <v>45597</v>
      </c>
      <c r="J4193">
        <v>48</v>
      </c>
      <c r="K4193" t="s">
        <v>26</v>
      </c>
    </row>
    <row r="4194" spans="1:11">
      <c r="A4194" s="1">
        <v>45624</v>
      </c>
      <c r="B4194" t="s">
        <v>40</v>
      </c>
      <c r="C4194" t="s">
        <v>54</v>
      </c>
      <c r="D4194">
        <v>1818</v>
      </c>
      <c r="E4194">
        <v>324</v>
      </c>
      <c r="F4194">
        <v>53</v>
      </c>
      <c r="G4194">
        <v>3</v>
      </c>
      <c r="H4194">
        <v>2198</v>
      </c>
      <c r="I4194" s="1">
        <v>45597</v>
      </c>
      <c r="J4194">
        <v>56</v>
      </c>
      <c r="K4194" t="s">
        <v>26</v>
      </c>
    </row>
    <row r="4195" spans="1:11">
      <c r="A4195" s="1">
        <v>45624</v>
      </c>
      <c r="B4195" t="s">
        <v>40</v>
      </c>
      <c r="C4195" t="s">
        <v>31</v>
      </c>
      <c r="D4195">
        <v>440</v>
      </c>
      <c r="E4195">
        <v>129</v>
      </c>
      <c r="F4195">
        <v>82</v>
      </c>
      <c r="G4195">
        <v>43</v>
      </c>
      <c r="H4195">
        <v>694</v>
      </c>
      <c r="I4195" s="1">
        <v>45597</v>
      </c>
      <c r="J4195">
        <v>125</v>
      </c>
      <c r="K4195" t="s">
        <v>26</v>
      </c>
    </row>
    <row r="4196" spans="1:11">
      <c r="A4196" s="1">
        <v>45624</v>
      </c>
      <c r="B4196" t="s">
        <v>40</v>
      </c>
      <c r="C4196" t="s">
        <v>63</v>
      </c>
      <c r="D4196">
        <v>2021</v>
      </c>
      <c r="E4196">
        <v>672</v>
      </c>
      <c r="F4196">
        <v>270</v>
      </c>
      <c r="G4196">
        <v>115</v>
      </c>
      <c r="H4196">
        <v>3078</v>
      </c>
      <c r="I4196" s="1">
        <v>45597</v>
      </c>
      <c r="J4196">
        <v>385</v>
      </c>
      <c r="K4196" t="s">
        <v>26</v>
      </c>
    </row>
    <row r="4197" spans="1:11">
      <c r="A4197" s="1">
        <v>45624</v>
      </c>
      <c r="B4197" t="s">
        <v>40</v>
      </c>
      <c r="C4197" t="s">
        <v>60</v>
      </c>
      <c r="D4197">
        <v>1736</v>
      </c>
      <c r="E4197">
        <v>564</v>
      </c>
      <c r="F4197">
        <v>217</v>
      </c>
      <c r="G4197">
        <v>121</v>
      </c>
      <c r="H4197">
        <v>2638</v>
      </c>
      <c r="I4197" s="1">
        <v>45597</v>
      </c>
      <c r="J4197">
        <v>338</v>
      </c>
      <c r="K4197" t="s">
        <v>26</v>
      </c>
    </row>
    <row r="4198" spans="1:11">
      <c r="A4198" s="1">
        <v>45624</v>
      </c>
      <c r="B4198" t="s">
        <v>40</v>
      </c>
      <c r="C4198" t="s">
        <v>61</v>
      </c>
      <c r="D4198">
        <v>2117</v>
      </c>
      <c r="E4198">
        <v>784</v>
      </c>
      <c r="F4198">
        <v>336</v>
      </c>
      <c r="G4198">
        <v>456</v>
      </c>
      <c r="H4198">
        <v>3693</v>
      </c>
      <c r="I4198" s="1">
        <v>45597</v>
      </c>
      <c r="J4198">
        <v>792</v>
      </c>
      <c r="K4198" t="s">
        <v>26</v>
      </c>
    </row>
    <row r="4199" spans="1:11">
      <c r="A4199" s="1">
        <v>45624</v>
      </c>
      <c r="B4199" t="s">
        <v>40</v>
      </c>
      <c r="C4199" t="s">
        <v>69</v>
      </c>
      <c r="D4199">
        <v>3493</v>
      </c>
      <c r="E4199">
        <v>1192</v>
      </c>
      <c r="F4199">
        <v>514</v>
      </c>
      <c r="G4199">
        <v>584</v>
      </c>
      <c r="H4199">
        <v>5783</v>
      </c>
      <c r="I4199" s="1">
        <v>45597</v>
      </c>
      <c r="J4199">
        <v>1098</v>
      </c>
      <c r="K4199" t="s">
        <v>26</v>
      </c>
    </row>
    <row r="4200" spans="1:11">
      <c r="A4200" s="1">
        <v>45624</v>
      </c>
      <c r="B4200" t="s">
        <v>40</v>
      </c>
      <c r="C4200" t="s">
        <v>29</v>
      </c>
      <c r="D4200">
        <v>491</v>
      </c>
      <c r="E4200">
        <v>155</v>
      </c>
      <c r="F4200">
        <v>66</v>
      </c>
      <c r="G4200">
        <v>69</v>
      </c>
      <c r="H4200">
        <v>780</v>
      </c>
      <c r="I4200" s="1">
        <v>45597</v>
      </c>
      <c r="J4200">
        <v>135</v>
      </c>
      <c r="K4200" t="s">
        <v>26</v>
      </c>
    </row>
    <row r="4201" spans="1:11">
      <c r="A4201" s="1">
        <v>45624</v>
      </c>
      <c r="B4201" t="s">
        <v>40</v>
      </c>
      <c r="C4201" t="s">
        <v>70</v>
      </c>
      <c r="D4201">
        <v>707</v>
      </c>
      <c r="E4201">
        <v>204</v>
      </c>
      <c r="F4201">
        <v>27</v>
      </c>
      <c r="G4201">
        <v>27</v>
      </c>
      <c r="H4201">
        <v>964</v>
      </c>
      <c r="I4201" s="1">
        <v>45597</v>
      </c>
      <c r="J4201">
        <v>54</v>
      </c>
      <c r="K4201" t="s">
        <v>26</v>
      </c>
    </row>
    <row r="4202" spans="1:11">
      <c r="A4202" s="1">
        <v>45624</v>
      </c>
      <c r="B4202" t="s">
        <v>40</v>
      </c>
      <c r="C4202" t="s">
        <v>71</v>
      </c>
      <c r="D4202">
        <v>2890</v>
      </c>
      <c r="E4202">
        <v>540</v>
      </c>
      <c r="F4202">
        <v>228</v>
      </c>
      <c r="G4202">
        <v>285</v>
      </c>
      <c r="H4202">
        <v>3943</v>
      </c>
      <c r="I4202" s="1">
        <v>45597</v>
      </c>
      <c r="J4202">
        <v>513</v>
      </c>
      <c r="K4202" t="s">
        <v>26</v>
      </c>
    </row>
    <row r="4203" spans="1:11">
      <c r="A4203" s="1">
        <v>45624</v>
      </c>
      <c r="B4203" t="s">
        <v>40</v>
      </c>
      <c r="C4203" t="s">
        <v>36</v>
      </c>
      <c r="D4203">
        <v>2829</v>
      </c>
      <c r="E4203">
        <v>729</v>
      </c>
      <c r="F4203">
        <v>273</v>
      </c>
      <c r="G4203">
        <v>166</v>
      </c>
      <c r="H4203">
        <v>3997</v>
      </c>
      <c r="I4203" s="1">
        <v>45597</v>
      </c>
      <c r="J4203">
        <v>439</v>
      </c>
      <c r="K4203" t="s">
        <v>26</v>
      </c>
    </row>
    <row r="4204" spans="1:11">
      <c r="A4204" s="1">
        <v>45624</v>
      </c>
      <c r="B4204" t="s">
        <v>40</v>
      </c>
      <c r="C4204" t="s">
        <v>59</v>
      </c>
      <c r="D4204">
        <v>1439</v>
      </c>
      <c r="E4204">
        <v>744</v>
      </c>
      <c r="F4204">
        <v>322</v>
      </c>
      <c r="G4204">
        <v>60</v>
      </c>
      <c r="H4204">
        <v>2565</v>
      </c>
      <c r="I4204" s="1">
        <v>45597</v>
      </c>
      <c r="J4204">
        <v>382</v>
      </c>
      <c r="K4204" t="s">
        <v>26</v>
      </c>
    </row>
    <row r="4205" spans="1:11">
      <c r="A4205" s="1">
        <v>45624</v>
      </c>
      <c r="B4205" t="s">
        <v>40</v>
      </c>
      <c r="C4205" t="s">
        <v>67</v>
      </c>
      <c r="D4205">
        <v>2751</v>
      </c>
      <c r="E4205">
        <v>837</v>
      </c>
      <c r="F4205">
        <v>403</v>
      </c>
      <c r="G4205">
        <v>836</v>
      </c>
      <c r="H4205">
        <v>4828</v>
      </c>
      <c r="I4205" s="1">
        <v>45597</v>
      </c>
      <c r="J4205">
        <v>1239</v>
      </c>
      <c r="K4205" t="s">
        <v>26</v>
      </c>
    </row>
    <row r="4206" spans="1:11">
      <c r="A4206" s="1">
        <v>45624</v>
      </c>
      <c r="B4206" t="s">
        <v>40</v>
      </c>
      <c r="C4206" t="s">
        <v>49</v>
      </c>
      <c r="D4206">
        <v>502</v>
      </c>
      <c r="E4206">
        <v>57</v>
      </c>
      <c r="F4206">
        <v>51</v>
      </c>
      <c r="G4206">
        <v>24</v>
      </c>
      <c r="H4206">
        <v>634</v>
      </c>
      <c r="I4206" s="1">
        <v>45597</v>
      </c>
      <c r="J4206">
        <v>75</v>
      </c>
      <c r="K4206" t="s">
        <v>26</v>
      </c>
    </row>
    <row r="4207" spans="1:11">
      <c r="A4207" s="1">
        <v>45645</v>
      </c>
      <c r="B4207" t="s">
        <v>40</v>
      </c>
      <c r="C4207" t="s">
        <v>50</v>
      </c>
      <c r="D4207">
        <v>217</v>
      </c>
      <c r="E4207">
        <v>27</v>
      </c>
      <c r="F4207">
        <v>15</v>
      </c>
      <c r="G4207">
        <v>24</v>
      </c>
      <c r="H4207">
        <v>282</v>
      </c>
      <c r="I4207" s="1">
        <v>45627</v>
      </c>
      <c r="J4207">
        <v>39</v>
      </c>
      <c r="K4207" t="s">
        <v>26</v>
      </c>
    </row>
    <row r="4208" spans="1:11">
      <c r="A4208" s="1">
        <v>45645</v>
      </c>
      <c r="B4208" t="s">
        <v>40</v>
      </c>
      <c r="C4208" t="s">
        <v>48</v>
      </c>
      <c r="D4208">
        <v>5357</v>
      </c>
      <c r="E4208">
        <v>2376</v>
      </c>
      <c r="F4208">
        <v>473</v>
      </c>
      <c r="G4208">
        <v>347</v>
      </c>
      <c r="H4208">
        <v>8553</v>
      </c>
      <c r="I4208" s="1">
        <v>45627</v>
      </c>
      <c r="J4208">
        <v>820</v>
      </c>
      <c r="K4208" t="s">
        <v>26</v>
      </c>
    </row>
    <row r="4209" spans="1:11">
      <c r="A4209" s="1">
        <v>45645</v>
      </c>
      <c r="B4209" t="s">
        <v>40</v>
      </c>
      <c r="C4209" t="s">
        <v>65</v>
      </c>
      <c r="D4209">
        <v>999</v>
      </c>
      <c r="E4209">
        <v>400</v>
      </c>
      <c r="F4209">
        <v>136</v>
      </c>
      <c r="G4209">
        <v>118</v>
      </c>
      <c r="H4209">
        <v>1653</v>
      </c>
      <c r="I4209" s="1">
        <v>45627</v>
      </c>
      <c r="J4209">
        <v>254</v>
      </c>
      <c r="K4209" t="s">
        <v>26</v>
      </c>
    </row>
    <row r="4210" spans="1:11">
      <c r="A4210" s="1">
        <v>45645</v>
      </c>
      <c r="B4210" t="s">
        <v>40</v>
      </c>
      <c r="C4210" t="s">
        <v>66</v>
      </c>
      <c r="D4210">
        <v>5978</v>
      </c>
      <c r="E4210">
        <v>2194</v>
      </c>
      <c r="F4210">
        <v>883</v>
      </c>
      <c r="G4210">
        <v>1238</v>
      </c>
      <c r="H4210">
        <v>10293</v>
      </c>
      <c r="I4210" s="1">
        <v>45627</v>
      </c>
      <c r="J4210">
        <v>2121</v>
      </c>
      <c r="K4210" t="s">
        <v>26</v>
      </c>
    </row>
    <row r="4211" spans="1:11">
      <c r="A4211" s="1">
        <v>45645</v>
      </c>
      <c r="B4211" t="s">
        <v>40</v>
      </c>
      <c r="C4211" t="s">
        <v>57</v>
      </c>
      <c r="D4211">
        <v>1167</v>
      </c>
      <c r="E4211">
        <v>139</v>
      </c>
      <c r="F4211">
        <v>59</v>
      </c>
      <c r="G4211">
        <v>52</v>
      </c>
      <c r="H4211">
        <v>1418</v>
      </c>
      <c r="I4211" s="1">
        <v>45627</v>
      </c>
      <c r="J4211">
        <v>111</v>
      </c>
      <c r="K4211" t="s">
        <v>26</v>
      </c>
    </row>
    <row r="4212" spans="1:11">
      <c r="A4212" s="1">
        <v>45645</v>
      </c>
      <c r="B4212" t="s">
        <v>40</v>
      </c>
      <c r="C4212" t="s">
        <v>28</v>
      </c>
      <c r="D4212">
        <v>256</v>
      </c>
      <c r="E4212">
        <v>104</v>
      </c>
      <c r="F4212">
        <v>45</v>
      </c>
      <c r="G4212">
        <v>21</v>
      </c>
      <c r="H4212">
        <v>426</v>
      </c>
      <c r="I4212" s="1">
        <v>45627</v>
      </c>
      <c r="J4212">
        <v>66</v>
      </c>
      <c r="K4212" t="s">
        <v>26</v>
      </c>
    </row>
    <row r="4213" spans="1:11">
      <c r="A4213" s="1">
        <v>45645</v>
      </c>
      <c r="B4213" t="s">
        <v>40</v>
      </c>
      <c r="C4213" t="s">
        <v>68</v>
      </c>
      <c r="D4213">
        <v>4761</v>
      </c>
      <c r="E4213">
        <v>1162</v>
      </c>
      <c r="F4213">
        <v>440</v>
      </c>
      <c r="G4213">
        <v>817</v>
      </c>
      <c r="H4213">
        <v>7181</v>
      </c>
      <c r="I4213" s="1">
        <v>45627</v>
      </c>
      <c r="J4213">
        <v>1257</v>
      </c>
      <c r="K4213" t="s">
        <v>26</v>
      </c>
    </row>
    <row r="4214" spans="1:11">
      <c r="A4214" s="1">
        <v>45645</v>
      </c>
      <c r="B4214" t="s">
        <v>40</v>
      </c>
      <c r="C4214" t="s">
        <v>25</v>
      </c>
      <c r="D4214">
        <v>594</v>
      </c>
      <c r="E4214">
        <v>75</v>
      </c>
      <c r="F4214">
        <v>9</v>
      </c>
      <c r="G4214">
        <v>8</v>
      </c>
      <c r="H4214">
        <v>686</v>
      </c>
      <c r="I4214" s="1">
        <v>45627</v>
      </c>
      <c r="J4214">
        <v>17</v>
      </c>
      <c r="K4214" t="s">
        <v>26</v>
      </c>
    </row>
    <row r="4215" spans="1:11">
      <c r="A4215" s="1">
        <v>45645</v>
      </c>
      <c r="B4215" t="s">
        <v>40</v>
      </c>
      <c r="C4215" t="s">
        <v>45</v>
      </c>
      <c r="D4215">
        <v>331</v>
      </c>
      <c r="E4215">
        <v>43</v>
      </c>
      <c r="F4215">
        <v>37</v>
      </c>
      <c r="G4215">
        <v>15</v>
      </c>
      <c r="H4215">
        <v>425</v>
      </c>
      <c r="I4215" s="1">
        <v>45627</v>
      </c>
      <c r="J4215">
        <v>52</v>
      </c>
      <c r="K4215" t="s">
        <v>26</v>
      </c>
    </row>
    <row r="4216" spans="1:11">
      <c r="A4216" s="1">
        <v>45645</v>
      </c>
      <c r="B4216" t="s">
        <v>40</v>
      </c>
      <c r="C4216" t="s">
        <v>31</v>
      </c>
      <c r="D4216">
        <v>418</v>
      </c>
      <c r="E4216">
        <v>120</v>
      </c>
      <c r="F4216">
        <v>83</v>
      </c>
      <c r="G4216">
        <v>39</v>
      </c>
      <c r="H4216">
        <v>659</v>
      </c>
      <c r="I4216" s="1">
        <v>45627</v>
      </c>
      <c r="J4216">
        <v>122</v>
      </c>
      <c r="K4216" t="s">
        <v>26</v>
      </c>
    </row>
    <row r="4217" spans="1:11">
      <c r="A4217" s="1">
        <v>45645</v>
      </c>
      <c r="B4217" t="s">
        <v>40</v>
      </c>
      <c r="C4217" t="s">
        <v>34</v>
      </c>
      <c r="D4217">
        <v>174</v>
      </c>
      <c r="E4217">
        <v>38</v>
      </c>
      <c r="F4217">
        <v>17</v>
      </c>
      <c r="G4217">
        <v>12</v>
      </c>
      <c r="H4217">
        <v>241</v>
      </c>
      <c r="I4217" s="1">
        <v>45627</v>
      </c>
      <c r="J4217">
        <v>29</v>
      </c>
      <c r="K4217" t="s">
        <v>26</v>
      </c>
    </row>
    <row r="4218" spans="1:11">
      <c r="A4218" s="1">
        <v>45645</v>
      </c>
      <c r="B4218" t="s">
        <v>40</v>
      </c>
      <c r="C4218" t="s">
        <v>63</v>
      </c>
      <c r="D4218">
        <v>2101</v>
      </c>
      <c r="E4218">
        <v>532</v>
      </c>
      <c r="F4218">
        <v>284</v>
      </c>
      <c r="G4218">
        <v>130</v>
      </c>
      <c r="H4218">
        <v>3047</v>
      </c>
      <c r="I4218" s="1">
        <v>45627</v>
      </c>
      <c r="J4218">
        <v>414</v>
      </c>
      <c r="K4218" t="s">
        <v>26</v>
      </c>
    </row>
    <row r="4219" spans="1:11">
      <c r="A4219" s="1">
        <v>45645</v>
      </c>
      <c r="B4219" t="s">
        <v>40</v>
      </c>
      <c r="C4219" t="s">
        <v>60</v>
      </c>
      <c r="D4219">
        <v>1693</v>
      </c>
      <c r="E4219">
        <v>541</v>
      </c>
      <c r="F4219">
        <v>243</v>
      </c>
      <c r="G4219">
        <v>133</v>
      </c>
      <c r="H4219">
        <v>2610</v>
      </c>
      <c r="I4219" s="1">
        <v>45627</v>
      </c>
      <c r="J4219">
        <v>376</v>
      </c>
      <c r="K4219" t="s">
        <v>26</v>
      </c>
    </row>
    <row r="4220" spans="1:11">
      <c r="A4220" s="1">
        <v>45645</v>
      </c>
      <c r="B4220" t="s">
        <v>40</v>
      </c>
      <c r="C4220" t="s">
        <v>61</v>
      </c>
      <c r="D4220">
        <v>2375</v>
      </c>
      <c r="E4220">
        <v>846</v>
      </c>
      <c r="F4220">
        <v>367</v>
      </c>
      <c r="G4220">
        <v>473</v>
      </c>
      <c r="H4220">
        <v>4060</v>
      </c>
      <c r="I4220" s="1">
        <v>45627</v>
      </c>
      <c r="J4220">
        <v>840</v>
      </c>
      <c r="K4220" t="s">
        <v>26</v>
      </c>
    </row>
    <row r="4221" spans="1:11">
      <c r="A4221" s="1">
        <v>45645</v>
      </c>
      <c r="B4221" t="s">
        <v>40</v>
      </c>
      <c r="C4221" t="s">
        <v>69</v>
      </c>
      <c r="D4221">
        <v>3493</v>
      </c>
      <c r="E4221">
        <v>1214</v>
      </c>
      <c r="F4221">
        <v>525</v>
      </c>
      <c r="G4221">
        <v>529</v>
      </c>
      <c r="H4221">
        <v>5760</v>
      </c>
      <c r="I4221" s="1">
        <v>45627</v>
      </c>
      <c r="J4221">
        <v>1054</v>
      </c>
      <c r="K4221" t="s">
        <v>26</v>
      </c>
    </row>
    <row r="4222" spans="1:11">
      <c r="A4222" s="1">
        <v>45645</v>
      </c>
      <c r="B4222" t="s">
        <v>40</v>
      </c>
      <c r="C4222" t="s">
        <v>29</v>
      </c>
      <c r="D4222">
        <v>561</v>
      </c>
      <c r="E4222">
        <v>140</v>
      </c>
      <c r="F4222">
        <v>68</v>
      </c>
      <c r="G4222">
        <v>66</v>
      </c>
      <c r="H4222">
        <v>835</v>
      </c>
      <c r="I4222" s="1">
        <v>45627</v>
      </c>
      <c r="J4222">
        <v>134</v>
      </c>
      <c r="K4222" t="s">
        <v>26</v>
      </c>
    </row>
    <row r="4223" spans="1:11">
      <c r="A4223" s="1">
        <v>45645</v>
      </c>
      <c r="B4223" t="s">
        <v>40</v>
      </c>
      <c r="C4223" t="s">
        <v>70</v>
      </c>
      <c r="D4223">
        <v>686</v>
      </c>
      <c r="E4223">
        <v>192</v>
      </c>
      <c r="F4223">
        <v>27</v>
      </c>
      <c r="G4223">
        <v>29</v>
      </c>
      <c r="H4223">
        <v>933</v>
      </c>
      <c r="I4223" s="1">
        <v>45627</v>
      </c>
      <c r="J4223">
        <v>56</v>
      </c>
      <c r="K4223" t="s">
        <v>26</v>
      </c>
    </row>
    <row r="4224" spans="1:11">
      <c r="A4224" s="1">
        <v>45645</v>
      </c>
      <c r="B4224" t="s">
        <v>40</v>
      </c>
      <c r="C4224" t="s">
        <v>71</v>
      </c>
      <c r="D4224">
        <v>2890</v>
      </c>
      <c r="E4224">
        <v>570</v>
      </c>
      <c r="F4224">
        <v>229</v>
      </c>
      <c r="G4224">
        <v>271</v>
      </c>
      <c r="H4224">
        <v>3960</v>
      </c>
      <c r="I4224" s="1">
        <v>45627</v>
      </c>
      <c r="J4224">
        <v>500</v>
      </c>
      <c r="K4224" t="s">
        <v>26</v>
      </c>
    </row>
    <row r="4225" spans="1:11">
      <c r="A4225" s="1">
        <v>45645</v>
      </c>
      <c r="B4225" t="s">
        <v>40</v>
      </c>
      <c r="C4225" t="s">
        <v>36</v>
      </c>
      <c r="D4225">
        <v>3235</v>
      </c>
      <c r="E4225">
        <v>824</v>
      </c>
      <c r="F4225">
        <v>295</v>
      </c>
      <c r="G4225">
        <v>180</v>
      </c>
      <c r="H4225">
        <v>4534</v>
      </c>
      <c r="I4225" s="1">
        <v>45627</v>
      </c>
      <c r="J4225">
        <v>475</v>
      </c>
      <c r="K4225" t="s">
        <v>26</v>
      </c>
    </row>
    <row r="4226" spans="1:11">
      <c r="A4226" s="1">
        <v>45645</v>
      </c>
      <c r="B4226" t="s">
        <v>40</v>
      </c>
      <c r="C4226" t="s">
        <v>59</v>
      </c>
      <c r="D4226">
        <v>1492</v>
      </c>
      <c r="E4226">
        <v>726</v>
      </c>
      <c r="F4226">
        <v>325</v>
      </c>
      <c r="G4226">
        <v>71</v>
      </c>
      <c r="H4226">
        <v>2613</v>
      </c>
      <c r="I4226" s="1">
        <v>45627</v>
      </c>
      <c r="J4226">
        <v>396</v>
      </c>
      <c r="K4226" t="s">
        <v>26</v>
      </c>
    </row>
    <row r="4227" spans="1:11">
      <c r="A4227" s="1">
        <v>45645</v>
      </c>
      <c r="B4227" t="s">
        <v>40</v>
      </c>
      <c r="C4227" t="s">
        <v>67</v>
      </c>
      <c r="D4227">
        <v>2861</v>
      </c>
      <c r="E4227">
        <v>835</v>
      </c>
      <c r="F4227">
        <v>397</v>
      </c>
      <c r="G4227">
        <v>848</v>
      </c>
      <c r="H4227">
        <v>4940</v>
      </c>
      <c r="I4227" s="1">
        <v>45627</v>
      </c>
      <c r="J4227">
        <v>1245</v>
      </c>
      <c r="K4227" t="s">
        <v>26</v>
      </c>
    </row>
    <row r="4228" spans="1:11">
      <c r="A4228" s="1">
        <v>45645</v>
      </c>
      <c r="B4228" t="s">
        <v>40</v>
      </c>
      <c r="C4228" t="s">
        <v>49</v>
      </c>
      <c r="D4228">
        <v>619</v>
      </c>
      <c r="E4228">
        <v>102</v>
      </c>
      <c r="F4228">
        <v>47</v>
      </c>
      <c r="G4228">
        <v>25</v>
      </c>
      <c r="H4228">
        <v>793</v>
      </c>
      <c r="I4228" s="1">
        <v>45627</v>
      </c>
      <c r="J4228">
        <v>72</v>
      </c>
      <c r="K4228" t="s">
        <v>26</v>
      </c>
    </row>
    <row r="4229" spans="1:11">
      <c r="A4229" s="1">
        <v>45687</v>
      </c>
      <c r="B4229" t="s">
        <v>40</v>
      </c>
      <c r="C4229" t="s">
        <v>50</v>
      </c>
      <c r="D4229">
        <v>210</v>
      </c>
      <c r="E4229">
        <v>28</v>
      </c>
      <c r="F4229">
        <v>16</v>
      </c>
      <c r="G4229">
        <v>25</v>
      </c>
      <c r="H4229">
        <v>279</v>
      </c>
      <c r="I4229" s="1">
        <v>45658</v>
      </c>
      <c r="J4229">
        <v>41</v>
      </c>
      <c r="K4229" t="s">
        <v>26</v>
      </c>
    </row>
    <row r="4230" spans="1:11">
      <c r="A4230" s="1">
        <v>45687</v>
      </c>
      <c r="B4230" t="s">
        <v>40</v>
      </c>
      <c r="C4230" t="s">
        <v>48</v>
      </c>
      <c r="D4230">
        <v>5109</v>
      </c>
      <c r="E4230">
        <v>2875</v>
      </c>
      <c r="F4230">
        <v>767</v>
      </c>
      <c r="G4230">
        <v>486</v>
      </c>
      <c r="H4230">
        <v>9236</v>
      </c>
      <c r="I4230" s="1">
        <v>45658</v>
      </c>
      <c r="J4230">
        <v>1253</v>
      </c>
      <c r="K4230" t="s">
        <v>26</v>
      </c>
    </row>
    <row r="4231" spans="1:11">
      <c r="A4231" s="1">
        <v>45687</v>
      </c>
      <c r="B4231" t="s">
        <v>40</v>
      </c>
      <c r="C4231" t="s">
        <v>65</v>
      </c>
      <c r="D4231">
        <v>1019</v>
      </c>
      <c r="E4231">
        <v>372</v>
      </c>
      <c r="F4231">
        <v>155</v>
      </c>
      <c r="G4231">
        <v>133</v>
      </c>
      <c r="H4231">
        <v>1680</v>
      </c>
      <c r="I4231" s="1">
        <v>45658</v>
      </c>
      <c r="J4231">
        <v>288</v>
      </c>
      <c r="K4231" t="s">
        <v>26</v>
      </c>
    </row>
    <row r="4232" spans="1:11">
      <c r="A4232" s="1">
        <v>45687</v>
      </c>
      <c r="B4232" t="s">
        <v>40</v>
      </c>
      <c r="C4232" t="s">
        <v>30</v>
      </c>
      <c r="D4232">
        <v>539</v>
      </c>
      <c r="E4232">
        <v>95</v>
      </c>
      <c r="F4232">
        <v>10</v>
      </c>
      <c r="G4232">
        <v>1</v>
      </c>
      <c r="H4232">
        <v>645</v>
      </c>
      <c r="I4232" s="1">
        <v>45658</v>
      </c>
      <c r="J4232">
        <v>11</v>
      </c>
      <c r="K4232" t="s">
        <v>26</v>
      </c>
    </row>
    <row r="4233" spans="1:11">
      <c r="A4233" s="1">
        <v>45687</v>
      </c>
      <c r="B4233" t="s">
        <v>40</v>
      </c>
      <c r="C4233" t="s">
        <v>66</v>
      </c>
      <c r="D4233">
        <v>6151</v>
      </c>
      <c r="E4233">
        <v>2573</v>
      </c>
      <c r="F4233">
        <v>987</v>
      </c>
      <c r="G4233">
        <v>1287</v>
      </c>
      <c r="H4233">
        <v>10999</v>
      </c>
      <c r="I4233" s="1">
        <v>45658</v>
      </c>
      <c r="J4233">
        <v>2274</v>
      </c>
      <c r="K4233" t="s">
        <v>26</v>
      </c>
    </row>
    <row r="4234" spans="1:11">
      <c r="A4234" s="1">
        <v>45687</v>
      </c>
      <c r="B4234" t="s">
        <v>40</v>
      </c>
      <c r="C4234" t="s">
        <v>57</v>
      </c>
      <c r="D4234">
        <v>1475</v>
      </c>
      <c r="E4234">
        <v>170</v>
      </c>
      <c r="F4234">
        <v>65</v>
      </c>
      <c r="G4234">
        <v>71</v>
      </c>
      <c r="H4234">
        <v>1781</v>
      </c>
      <c r="I4234" s="1">
        <v>45658</v>
      </c>
      <c r="J4234">
        <v>136</v>
      </c>
      <c r="K4234" t="s">
        <v>26</v>
      </c>
    </row>
    <row r="4235" spans="1:11">
      <c r="A4235" s="1">
        <v>45687</v>
      </c>
      <c r="B4235" t="s">
        <v>40</v>
      </c>
      <c r="C4235" t="s">
        <v>28</v>
      </c>
      <c r="D4235">
        <v>278</v>
      </c>
      <c r="E4235">
        <v>123</v>
      </c>
      <c r="F4235">
        <v>51</v>
      </c>
      <c r="G4235">
        <v>26</v>
      </c>
      <c r="H4235">
        <v>477</v>
      </c>
      <c r="I4235" s="1">
        <v>45658</v>
      </c>
      <c r="J4235">
        <v>77</v>
      </c>
      <c r="K4235" t="s">
        <v>26</v>
      </c>
    </row>
    <row r="4236" spans="1:11">
      <c r="A4236" s="1">
        <v>45687</v>
      </c>
      <c r="B4236" t="s">
        <v>40</v>
      </c>
      <c r="C4236" t="s">
        <v>68</v>
      </c>
      <c r="D4236">
        <v>4680</v>
      </c>
      <c r="E4236">
        <v>1270</v>
      </c>
      <c r="F4236">
        <v>428</v>
      </c>
      <c r="G4236">
        <v>858</v>
      </c>
      <c r="H4236">
        <v>7236</v>
      </c>
      <c r="I4236" s="1">
        <v>45658</v>
      </c>
      <c r="J4236">
        <v>1286</v>
      </c>
      <c r="K4236" t="s">
        <v>26</v>
      </c>
    </row>
    <row r="4237" spans="1:11">
      <c r="A4237" s="1">
        <v>45687</v>
      </c>
      <c r="B4237" t="s">
        <v>40</v>
      </c>
      <c r="C4237" t="s">
        <v>47</v>
      </c>
      <c r="D4237">
        <v>793</v>
      </c>
      <c r="E4237">
        <v>106</v>
      </c>
      <c r="F4237">
        <v>24</v>
      </c>
      <c r="G4237">
        <v>6</v>
      </c>
      <c r="H4237">
        <v>929</v>
      </c>
      <c r="I4237" s="1">
        <v>45658</v>
      </c>
      <c r="J4237">
        <v>30</v>
      </c>
      <c r="K4237" t="s">
        <v>26</v>
      </c>
    </row>
    <row r="4238" spans="1:11">
      <c r="A4238" s="1">
        <v>45687</v>
      </c>
      <c r="B4238" t="s">
        <v>40</v>
      </c>
      <c r="C4238" t="s">
        <v>25</v>
      </c>
      <c r="D4238">
        <v>704</v>
      </c>
      <c r="E4238">
        <v>94</v>
      </c>
      <c r="F4238">
        <v>19</v>
      </c>
      <c r="G4238">
        <v>4</v>
      </c>
      <c r="H4238">
        <v>821</v>
      </c>
      <c r="I4238" s="1">
        <v>45658</v>
      </c>
      <c r="J4238">
        <v>23</v>
      </c>
      <c r="K4238" t="s">
        <v>26</v>
      </c>
    </row>
    <row r="4239" spans="1:11">
      <c r="A4239" s="1">
        <v>45687</v>
      </c>
      <c r="B4239" t="s">
        <v>40</v>
      </c>
      <c r="C4239" t="s">
        <v>45</v>
      </c>
      <c r="D4239">
        <v>327</v>
      </c>
      <c r="E4239">
        <v>43</v>
      </c>
      <c r="F4239">
        <v>36</v>
      </c>
      <c r="G4239">
        <v>20</v>
      </c>
      <c r="H4239">
        <v>426</v>
      </c>
      <c r="I4239" s="1">
        <v>45658</v>
      </c>
      <c r="J4239">
        <v>56</v>
      </c>
      <c r="K4239" t="s">
        <v>26</v>
      </c>
    </row>
    <row r="4240" spans="1:11">
      <c r="A4240" s="1">
        <v>45687</v>
      </c>
      <c r="B4240" t="s">
        <v>40</v>
      </c>
      <c r="C4240" t="s">
        <v>46</v>
      </c>
      <c r="D4240">
        <v>484</v>
      </c>
      <c r="E4240">
        <v>118</v>
      </c>
      <c r="F4240">
        <v>58</v>
      </c>
      <c r="G4240">
        <v>8</v>
      </c>
      <c r="H4240">
        <v>668</v>
      </c>
      <c r="I4240" s="1">
        <v>45658</v>
      </c>
      <c r="J4240">
        <v>66</v>
      </c>
      <c r="K4240" t="s">
        <v>26</v>
      </c>
    </row>
    <row r="4241" spans="1:11">
      <c r="A4241" s="1">
        <v>45687</v>
      </c>
      <c r="B4241" t="s">
        <v>40</v>
      </c>
      <c r="C4241" t="s">
        <v>31</v>
      </c>
      <c r="D4241">
        <v>389</v>
      </c>
      <c r="E4241">
        <v>141</v>
      </c>
      <c r="F4241">
        <v>98</v>
      </c>
      <c r="G4241">
        <v>56</v>
      </c>
      <c r="H4241">
        <v>684</v>
      </c>
      <c r="I4241" s="1">
        <v>45658</v>
      </c>
      <c r="J4241">
        <v>154</v>
      </c>
      <c r="K4241" t="s">
        <v>26</v>
      </c>
    </row>
    <row r="4242" spans="1:11">
      <c r="A4242" s="1">
        <v>45687</v>
      </c>
      <c r="B4242" t="s">
        <v>40</v>
      </c>
      <c r="C4242" t="s">
        <v>34</v>
      </c>
      <c r="D4242">
        <v>201</v>
      </c>
      <c r="E4242">
        <v>41</v>
      </c>
      <c r="F4242">
        <v>17</v>
      </c>
      <c r="G4242">
        <v>15</v>
      </c>
      <c r="H4242">
        <v>274</v>
      </c>
      <c r="I4242" s="1">
        <v>45658</v>
      </c>
      <c r="J4242">
        <v>32</v>
      </c>
      <c r="K4242" t="s">
        <v>26</v>
      </c>
    </row>
    <row r="4243" spans="1:11">
      <c r="A4243" s="1">
        <v>45687</v>
      </c>
      <c r="B4243" t="s">
        <v>40</v>
      </c>
      <c r="C4243" t="s">
        <v>63</v>
      </c>
      <c r="D4243">
        <v>1978</v>
      </c>
      <c r="E4243">
        <v>575</v>
      </c>
      <c r="F4243">
        <v>293</v>
      </c>
      <c r="G4243">
        <v>143</v>
      </c>
      <c r="H4243">
        <v>2989</v>
      </c>
      <c r="I4243" s="1">
        <v>45658</v>
      </c>
      <c r="J4243">
        <v>436</v>
      </c>
      <c r="K4243" t="s">
        <v>26</v>
      </c>
    </row>
    <row r="4244" spans="1:11">
      <c r="A4244" s="1">
        <v>45687</v>
      </c>
      <c r="B4244" t="s">
        <v>40</v>
      </c>
      <c r="C4244" t="s">
        <v>60</v>
      </c>
      <c r="D4244">
        <v>1699</v>
      </c>
      <c r="E4244">
        <v>600</v>
      </c>
      <c r="F4244">
        <v>253</v>
      </c>
      <c r="G4244">
        <v>175</v>
      </c>
      <c r="H4244">
        <v>2726</v>
      </c>
      <c r="I4244" s="1">
        <v>45658</v>
      </c>
      <c r="J4244">
        <v>428</v>
      </c>
      <c r="K4244" t="s">
        <v>26</v>
      </c>
    </row>
    <row r="4245" spans="1:11">
      <c r="A4245" s="1">
        <v>45687</v>
      </c>
      <c r="B4245" t="s">
        <v>40</v>
      </c>
      <c r="C4245" t="s">
        <v>61</v>
      </c>
      <c r="D4245">
        <v>2433</v>
      </c>
      <c r="E4245">
        <v>932</v>
      </c>
      <c r="F4245">
        <v>382</v>
      </c>
      <c r="G4245">
        <v>518</v>
      </c>
      <c r="H4245">
        <v>4265</v>
      </c>
      <c r="I4245" s="1">
        <v>45658</v>
      </c>
      <c r="J4245">
        <v>900</v>
      </c>
      <c r="K4245" t="s">
        <v>26</v>
      </c>
    </row>
    <row r="4246" spans="1:11">
      <c r="A4246" s="1">
        <v>45687</v>
      </c>
      <c r="B4246" t="s">
        <v>40</v>
      </c>
      <c r="C4246" t="s">
        <v>69</v>
      </c>
      <c r="D4246">
        <v>3178</v>
      </c>
      <c r="E4246">
        <v>1284</v>
      </c>
      <c r="F4246">
        <v>510</v>
      </c>
      <c r="G4246">
        <v>516</v>
      </c>
      <c r="H4246">
        <v>5487</v>
      </c>
      <c r="I4246" s="1">
        <v>45658</v>
      </c>
      <c r="J4246">
        <v>1026</v>
      </c>
      <c r="K4246" t="s">
        <v>26</v>
      </c>
    </row>
    <row r="4247" spans="1:11">
      <c r="A4247" s="1">
        <v>45687</v>
      </c>
      <c r="B4247" t="s">
        <v>40</v>
      </c>
      <c r="C4247" t="s">
        <v>29</v>
      </c>
      <c r="D4247">
        <v>514</v>
      </c>
      <c r="E4247">
        <v>116</v>
      </c>
      <c r="F4247">
        <v>43</v>
      </c>
      <c r="G4247">
        <v>58</v>
      </c>
      <c r="H4247">
        <v>731</v>
      </c>
      <c r="I4247" s="1">
        <v>45658</v>
      </c>
      <c r="J4247">
        <v>101</v>
      </c>
      <c r="K4247" t="s">
        <v>26</v>
      </c>
    </row>
    <row r="4248" spans="1:11">
      <c r="A4248" s="1">
        <v>45687</v>
      </c>
      <c r="B4248" t="s">
        <v>40</v>
      </c>
      <c r="C4248" t="s">
        <v>70</v>
      </c>
      <c r="D4248">
        <v>963</v>
      </c>
      <c r="E4248">
        <v>256</v>
      </c>
      <c r="F4248">
        <v>41</v>
      </c>
      <c r="G4248">
        <v>31</v>
      </c>
      <c r="H4248">
        <v>1290</v>
      </c>
      <c r="I4248" s="1">
        <v>45658</v>
      </c>
      <c r="J4248">
        <v>72</v>
      </c>
      <c r="K4248" t="s">
        <v>26</v>
      </c>
    </row>
    <row r="4249" spans="1:11">
      <c r="A4249" s="1">
        <v>45687</v>
      </c>
      <c r="B4249" t="s">
        <v>40</v>
      </c>
      <c r="C4249" t="s">
        <v>71</v>
      </c>
      <c r="D4249">
        <v>2850</v>
      </c>
      <c r="E4249">
        <v>724</v>
      </c>
      <c r="F4249">
        <v>206</v>
      </c>
      <c r="G4249">
        <v>298</v>
      </c>
      <c r="H4249">
        <v>4078</v>
      </c>
      <c r="I4249" s="1">
        <v>45658</v>
      </c>
      <c r="J4249">
        <v>504</v>
      </c>
      <c r="K4249" t="s">
        <v>26</v>
      </c>
    </row>
    <row r="4250" spans="1:11">
      <c r="A4250" s="1">
        <v>45687</v>
      </c>
      <c r="B4250" t="s">
        <v>40</v>
      </c>
      <c r="C4250" t="s">
        <v>36</v>
      </c>
      <c r="D4250">
        <v>2963</v>
      </c>
      <c r="E4250">
        <v>885</v>
      </c>
      <c r="F4250">
        <v>336</v>
      </c>
      <c r="G4250">
        <v>220</v>
      </c>
      <c r="H4250">
        <v>4403</v>
      </c>
      <c r="I4250" s="1">
        <v>45658</v>
      </c>
      <c r="J4250">
        <v>556</v>
      </c>
      <c r="K4250" t="s">
        <v>26</v>
      </c>
    </row>
    <row r="4251" spans="1:11">
      <c r="A4251" s="1">
        <v>45687</v>
      </c>
      <c r="B4251" t="s">
        <v>40</v>
      </c>
      <c r="C4251" t="s">
        <v>59</v>
      </c>
      <c r="D4251">
        <v>1606</v>
      </c>
      <c r="E4251">
        <v>709</v>
      </c>
      <c r="F4251">
        <v>339</v>
      </c>
      <c r="G4251">
        <v>96</v>
      </c>
      <c r="H4251">
        <v>2750</v>
      </c>
      <c r="I4251" s="1">
        <v>45658</v>
      </c>
      <c r="J4251">
        <v>435</v>
      </c>
      <c r="K4251" t="s">
        <v>26</v>
      </c>
    </row>
    <row r="4252" spans="1:11">
      <c r="A4252" s="1">
        <v>45687</v>
      </c>
      <c r="B4252" t="s">
        <v>40</v>
      </c>
      <c r="C4252" t="s">
        <v>67</v>
      </c>
      <c r="D4252">
        <v>2704</v>
      </c>
      <c r="E4252">
        <v>910</v>
      </c>
      <c r="F4252">
        <v>413</v>
      </c>
      <c r="G4252">
        <v>852</v>
      </c>
      <c r="H4252">
        <v>4879</v>
      </c>
      <c r="I4252" s="1">
        <v>45658</v>
      </c>
      <c r="J4252">
        <v>1265</v>
      </c>
      <c r="K4252" t="s">
        <v>26</v>
      </c>
    </row>
    <row r="4253" spans="1:11">
      <c r="A4253" s="1">
        <v>45687</v>
      </c>
      <c r="B4253" t="s">
        <v>40</v>
      </c>
      <c r="C4253" t="s">
        <v>49</v>
      </c>
      <c r="D4253">
        <v>671</v>
      </c>
      <c r="E4253">
        <v>94</v>
      </c>
      <c r="F4253">
        <v>32</v>
      </c>
      <c r="G4253">
        <v>22</v>
      </c>
      <c r="H4253">
        <v>819</v>
      </c>
      <c r="I4253" s="1">
        <v>45658</v>
      </c>
      <c r="J4253">
        <v>54</v>
      </c>
      <c r="K4253" t="s">
        <v>26</v>
      </c>
    </row>
    <row r="4254" spans="1:11">
      <c r="A4254" s="1">
        <v>45715</v>
      </c>
      <c r="B4254" t="s">
        <v>40</v>
      </c>
      <c r="C4254" t="s">
        <v>50</v>
      </c>
      <c r="D4254">
        <v>225</v>
      </c>
      <c r="E4254">
        <v>35</v>
      </c>
      <c r="F4254">
        <v>18</v>
      </c>
      <c r="G4254">
        <v>27</v>
      </c>
      <c r="H4254">
        <v>305</v>
      </c>
      <c r="I4254" s="1">
        <v>45689</v>
      </c>
      <c r="J4254">
        <v>45</v>
      </c>
      <c r="K4254" t="s">
        <v>26</v>
      </c>
    </row>
    <row r="4255" spans="1:11">
      <c r="A4255" s="1">
        <v>45715</v>
      </c>
      <c r="B4255" t="s">
        <v>40</v>
      </c>
      <c r="C4255" t="s">
        <v>48</v>
      </c>
      <c r="D4255">
        <v>4989</v>
      </c>
      <c r="E4255">
        <v>2879</v>
      </c>
      <c r="F4255">
        <v>936</v>
      </c>
      <c r="G4255">
        <v>559</v>
      </c>
      <c r="H4255">
        <v>9363</v>
      </c>
      <c r="I4255" s="1">
        <v>45689</v>
      </c>
      <c r="J4255">
        <v>1495</v>
      </c>
      <c r="K4255" t="s">
        <v>26</v>
      </c>
    </row>
    <row r="4256" spans="1:11">
      <c r="A4256" s="1">
        <v>45715</v>
      </c>
      <c r="B4256" t="s">
        <v>40</v>
      </c>
      <c r="C4256" t="s">
        <v>65</v>
      </c>
      <c r="D4256">
        <v>986</v>
      </c>
      <c r="E4256">
        <v>390</v>
      </c>
      <c r="F4256">
        <v>175</v>
      </c>
      <c r="G4256">
        <v>128</v>
      </c>
      <c r="H4256">
        <v>1678</v>
      </c>
      <c r="I4256" s="1">
        <v>45689</v>
      </c>
      <c r="J4256">
        <v>303</v>
      </c>
      <c r="K4256" t="s">
        <v>26</v>
      </c>
    </row>
    <row r="4257" spans="1:11">
      <c r="A4257" s="1">
        <v>45715</v>
      </c>
      <c r="B4257" t="s">
        <v>40</v>
      </c>
      <c r="C4257" t="s">
        <v>30</v>
      </c>
      <c r="D4257">
        <v>504</v>
      </c>
      <c r="E4257">
        <v>91</v>
      </c>
      <c r="F4257">
        <v>2</v>
      </c>
      <c r="G4257">
        <v>1</v>
      </c>
      <c r="H4257">
        <v>598</v>
      </c>
      <c r="I4257" s="1">
        <v>45689</v>
      </c>
      <c r="J4257">
        <v>3</v>
      </c>
      <c r="K4257" t="s">
        <v>26</v>
      </c>
    </row>
    <row r="4258" spans="1:11">
      <c r="A4258" s="1">
        <v>45715</v>
      </c>
      <c r="B4258" t="s">
        <v>40</v>
      </c>
      <c r="C4258" t="s">
        <v>66</v>
      </c>
      <c r="D4258">
        <v>6219</v>
      </c>
      <c r="E4258">
        <v>2585</v>
      </c>
      <c r="F4258">
        <v>1067</v>
      </c>
      <c r="G4258">
        <v>1344</v>
      </c>
      <c r="H4258">
        <v>11214</v>
      </c>
      <c r="I4258" s="1">
        <v>45689</v>
      </c>
      <c r="J4258">
        <v>2411</v>
      </c>
      <c r="K4258" t="s">
        <v>26</v>
      </c>
    </row>
    <row r="4259" spans="1:11">
      <c r="A4259" s="1">
        <v>45715</v>
      </c>
      <c r="B4259" t="s">
        <v>40</v>
      </c>
      <c r="C4259" t="s">
        <v>56</v>
      </c>
      <c r="D4259">
        <v>619</v>
      </c>
      <c r="E4259">
        <v>148</v>
      </c>
      <c r="F4259">
        <v>8</v>
      </c>
      <c r="G4259">
        <v>6</v>
      </c>
      <c r="H4259">
        <v>781</v>
      </c>
      <c r="I4259" s="1">
        <v>45689</v>
      </c>
      <c r="J4259">
        <v>14</v>
      </c>
      <c r="K4259" t="s">
        <v>26</v>
      </c>
    </row>
    <row r="4260" spans="1:11">
      <c r="A4260" s="1">
        <v>45715</v>
      </c>
      <c r="B4260" t="s">
        <v>40</v>
      </c>
      <c r="C4260" t="s">
        <v>57</v>
      </c>
      <c r="D4260">
        <v>1628</v>
      </c>
      <c r="E4260">
        <v>200</v>
      </c>
      <c r="F4260">
        <v>69</v>
      </c>
      <c r="G4260">
        <v>97</v>
      </c>
      <c r="H4260">
        <v>1994</v>
      </c>
      <c r="I4260" s="1">
        <v>45689</v>
      </c>
      <c r="J4260">
        <v>166</v>
      </c>
      <c r="K4260" t="s">
        <v>26</v>
      </c>
    </row>
    <row r="4261" spans="1:11">
      <c r="A4261" s="1">
        <v>45715</v>
      </c>
      <c r="B4261" t="s">
        <v>40</v>
      </c>
      <c r="C4261" t="s">
        <v>28</v>
      </c>
      <c r="D4261">
        <v>272</v>
      </c>
      <c r="E4261">
        <v>109</v>
      </c>
      <c r="F4261">
        <v>48</v>
      </c>
      <c r="G4261">
        <v>35</v>
      </c>
      <c r="H4261">
        <v>463</v>
      </c>
      <c r="I4261" s="1">
        <v>45689</v>
      </c>
      <c r="J4261">
        <v>83</v>
      </c>
      <c r="K4261" t="s">
        <v>26</v>
      </c>
    </row>
    <row r="4262" spans="1:11">
      <c r="A4262" s="1">
        <v>45715</v>
      </c>
      <c r="B4262" t="s">
        <v>40</v>
      </c>
      <c r="C4262" t="s">
        <v>68</v>
      </c>
      <c r="D4262">
        <v>4843</v>
      </c>
      <c r="E4262">
        <v>1237</v>
      </c>
      <c r="F4262">
        <v>487</v>
      </c>
      <c r="G4262">
        <v>856</v>
      </c>
      <c r="H4262">
        <v>7423</v>
      </c>
      <c r="I4262" s="1">
        <v>45689</v>
      </c>
      <c r="J4262">
        <v>1343</v>
      </c>
      <c r="K4262" t="s">
        <v>26</v>
      </c>
    </row>
    <row r="4263" spans="1:11">
      <c r="A4263" s="1">
        <v>45715</v>
      </c>
      <c r="B4263" t="s">
        <v>40</v>
      </c>
      <c r="C4263" t="s">
        <v>47</v>
      </c>
      <c r="D4263">
        <v>865</v>
      </c>
      <c r="E4263">
        <v>127</v>
      </c>
      <c r="F4263">
        <v>26</v>
      </c>
      <c r="G4263">
        <v>11</v>
      </c>
      <c r="H4263">
        <v>1028</v>
      </c>
      <c r="I4263" s="1">
        <v>45689</v>
      </c>
      <c r="J4263">
        <v>37</v>
      </c>
      <c r="K4263" t="s">
        <v>26</v>
      </c>
    </row>
    <row r="4264" spans="1:11">
      <c r="A4264" s="1">
        <v>45715</v>
      </c>
      <c r="B4264" t="s">
        <v>40</v>
      </c>
      <c r="C4264" t="s">
        <v>25</v>
      </c>
      <c r="D4264">
        <v>631</v>
      </c>
      <c r="E4264">
        <v>88</v>
      </c>
      <c r="F4264">
        <v>12</v>
      </c>
      <c r="G4264">
        <v>5</v>
      </c>
      <c r="H4264">
        <v>736</v>
      </c>
      <c r="I4264" s="1">
        <v>45689</v>
      </c>
      <c r="J4264">
        <v>17</v>
      </c>
      <c r="K4264" t="s">
        <v>26</v>
      </c>
    </row>
    <row r="4265" spans="1:11">
      <c r="A4265" s="1">
        <v>45715</v>
      </c>
      <c r="B4265" t="s">
        <v>40</v>
      </c>
      <c r="C4265" t="s">
        <v>51</v>
      </c>
      <c r="D4265">
        <v>569</v>
      </c>
      <c r="E4265">
        <v>101</v>
      </c>
      <c r="F4265">
        <v>47</v>
      </c>
      <c r="G4265">
        <v>10</v>
      </c>
      <c r="H4265">
        <v>727</v>
      </c>
      <c r="I4265" s="1">
        <v>45689</v>
      </c>
      <c r="J4265">
        <v>57</v>
      </c>
      <c r="K4265" t="s">
        <v>26</v>
      </c>
    </row>
    <row r="4266" spans="1:11">
      <c r="A4266" s="1">
        <v>45715</v>
      </c>
      <c r="B4266" t="s">
        <v>40</v>
      </c>
      <c r="C4266" t="s">
        <v>45</v>
      </c>
      <c r="D4266">
        <v>266</v>
      </c>
      <c r="E4266">
        <v>59</v>
      </c>
      <c r="F4266">
        <v>34</v>
      </c>
      <c r="G4266">
        <v>19</v>
      </c>
      <c r="H4266">
        <v>378</v>
      </c>
      <c r="I4266" s="1">
        <v>45689</v>
      </c>
      <c r="J4266">
        <v>53</v>
      </c>
      <c r="K4266" t="s">
        <v>26</v>
      </c>
    </row>
    <row r="4267" spans="1:11">
      <c r="A4267" s="1">
        <v>45715</v>
      </c>
      <c r="B4267" t="s">
        <v>40</v>
      </c>
      <c r="C4267" t="s">
        <v>35</v>
      </c>
      <c r="D4267">
        <v>916</v>
      </c>
      <c r="E4267">
        <v>443</v>
      </c>
      <c r="F4267">
        <v>38</v>
      </c>
      <c r="G4267">
        <v>3</v>
      </c>
      <c r="H4267">
        <v>1399</v>
      </c>
      <c r="I4267" s="1">
        <v>45689</v>
      </c>
      <c r="J4267">
        <v>41</v>
      </c>
      <c r="K4267" t="s">
        <v>26</v>
      </c>
    </row>
    <row r="4268" spans="1:11">
      <c r="A4268" s="1">
        <v>45715</v>
      </c>
      <c r="B4268" t="s">
        <v>40</v>
      </c>
      <c r="C4268" t="s">
        <v>46</v>
      </c>
      <c r="D4268">
        <v>436</v>
      </c>
      <c r="E4268">
        <v>121</v>
      </c>
      <c r="F4268">
        <v>55</v>
      </c>
      <c r="G4268">
        <v>7</v>
      </c>
      <c r="H4268">
        <v>618</v>
      </c>
      <c r="I4268" s="1">
        <v>45689</v>
      </c>
      <c r="J4268">
        <v>62</v>
      </c>
      <c r="K4268" t="s">
        <v>26</v>
      </c>
    </row>
    <row r="4269" spans="1:11">
      <c r="A4269" s="1">
        <v>45715</v>
      </c>
      <c r="B4269" t="s">
        <v>40</v>
      </c>
      <c r="C4269" t="s">
        <v>31</v>
      </c>
      <c r="D4269">
        <v>382</v>
      </c>
      <c r="E4269">
        <v>135</v>
      </c>
      <c r="F4269">
        <v>103</v>
      </c>
      <c r="G4269">
        <v>62</v>
      </c>
      <c r="H4269">
        <v>681</v>
      </c>
      <c r="I4269" s="1">
        <v>45689</v>
      </c>
      <c r="J4269">
        <v>165</v>
      </c>
      <c r="K4269" t="s">
        <v>26</v>
      </c>
    </row>
    <row r="4270" spans="1:11">
      <c r="A4270" s="1">
        <v>45715</v>
      </c>
      <c r="B4270" t="s">
        <v>40</v>
      </c>
      <c r="C4270" t="s">
        <v>34</v>
      </c>
      <c r="D4270">
        <v>244</v>
      </c>
      <c r="E4270">
        <v>41</v>
      </c>
      <c r="F4270">
        <v>14</v>
      </c>
      <c r="G4270">
        <v>21</v>
      </c>
      <c r="H4270">
        <v>320</v>
      </c>
      <c r="I4270" s="1">
        <v>45689</v>
      </c>
      <c r="J4270">
        <v>35</v>
      </c>
      <c r="K4270" t="s">
        <v>26</v>
      </c>
    </row>
    <row r="4271" spans="1:11">
      <c r="A4271" s="1">
        <v>45715</v>
      </c>
      <c r="B4271" t="s">
        <v>40</v>
      </c>
      <c r="C4271" t="s">
        <v>63</v>
      </c>
      <c r="D4271">
        <v>1864</v>
      </c>
      <c r="E4271">
        <v>452</v>
      </c>
      <c r="F4271">
        <v>326</v>
      </c>
      <c r="G4271">
        <v>154</v>
      </c>
      <c r="H4271">
        <v>2796</v>
      </c>
      <c r="I4271" s="1">
        <v>45689</v>
      </c>
      <c r="J4271">
        <v>480</v>
      </c>
      <c r="K4271" t="s">
        <v>26</v>
      </c>
    </row>
    <row r="4272" spans="1:11">
      <c r="A4272" s="1">
        <v>45715</v>
      </c>
      <c r="B4272" t="s">
        <v>40</v>
      </c>
      <c r="C4272" t="s">
        <v>60</v>
      </c>
      <c r="D4272">
        <v>1868</v>
      </c>
      <c r="E4272">
        <v>613</v>
      </c>
      <c r="F4272">
        <v>273</v>
      </c>
      <c r="G4272">
        <v>202</v>
      </c>
      <c r="H4272">
        <v>2956</v>
      </c>
      <c r="I4272" s="1">
        <v>45689</v>
      </c>
      <c r="J4272">
        <v>475</v>
      </c>
      <c r="K4272" t="s">
        <v>26</v>
      </c>
    </row>
    <row r="4273" spans="1:11">
      <c r="A4273" s="1">
        <v>45715</v>
      </c>
      <c r="B4273" t="s">
        <v>40</v>
      </c>
      <c r="C4273" t="s">
        <v>61</v>
      </c>
      <c r="D4273">
        <v>2315</v>
      </c>
      <c r="E4273">
        <v>917</v>
      </c>
      <c r="F4273">
        <v>399</v>
      </c>
      <c r="G4273">
        <v>522</v>
      </c>
      <c r="H4273">
        <v>4152</v>
      </c>
      <c r="I4273" s="1">
        <v>45689</v>
      </c>
      <c r="J4273">
        <v>921</v>
      </c>
      <c r="K4273" t="s">
        <v>26</v>
      </c>
    </row>
    <row r="4274" spans="1:11">
      <c r="A4274" s="1">
        <v>45715</v>
      </c>
      <c r="B4274" t="s">
        <v>40</v>
      </c>
      <c r="C4274" t="s">
        <v>62</v>
      </c>
      <c r="D4274">
        <v>332</v>
      </c>
      <c r="E4274">
        <v>37</v>
      </c>
      <c r="F4274">
        <v>37</v>
      </c>
      <c r="G4274">
        <v>5</v>
      </c>
      <c r="H4274">
        <v>411</v>
      </c>
      <c r="I4274" s="1">
        <v>45689</v>
      </c>
      <c r="J4274">
        <v>42</v>
      </c>
      <c r="K4274" t="s">
        <v>26</v>
      </c>
    </row>
    <row r="4275" spans="1:11">
      <c r="A4275" s="1">
        <v>45715</v>
      </c>
      <c r="B4275" t="s">
        <v>40</v>
      </c>
      <c r="C4275" t="s">
        <v>69</v>
      </c>
      <c r="D4275">
        <v>3338</v>
      </c>
      <c r="E4275">
        <v>1273</v>
      </c>
      <c r="F4275">
        <v>566</v>
      </c>
      <c r="G4275">
        <v>555</v>
      </c>
      <c r="H4275">
        <v>5732</v>
      </c>
      <c r="I4275" s="1">
        <v>45689</v>
      </c>
      <c r="J4275">
        <v>1121</v>
      </c>
      <c r="K4275" t="s">
        <v>26</v>
      </c>
    </row>
    <row r="4276" spans="1:11">
      <c r="A4276" s="1">
        <v>45715</v>
      </c>
      <c r="B4276" t="s">
        <v>40</v>
      </c>
      <c r="C4276" t="s">
        <v>29</v>
      </c>
      <c r="D4276">
        <v>502</v>
      </c>
      <c r="E4276">
        <v>127</v>
      </c>
      <c r="F4276">
        <v>39</v>
      </c>
      <c r="G4276">
        <v>64</v>
      </c>
      <c r="H4276">
        <v>731</v>
      </c>
      <c r="I4276" s="1">
        <v>45689</v>
      </c>
      <c r="J4276">
        <v>103</v>
      </c>
      <c r="K4276" t="s">
        <v>26</v>
      </c>
    </row>
    <row r="4277" spans="1:11">
      <c r="A4277" s="1">
        <v>45715</v>
      </c>
      <c r="B4277" t="s">
        <v>40</v>
      </c>
      <c r="C4277" t="s">
        <v>70</v>
      </c>
      <c r="D4277">
        <v>1112</v>
      </c>
      <c r="E4277">
        <v>249</v>
      </c>
      <c r="F4277">
        <v>46</v>
      </c>
      <c r="G4277">
        <v>29</v>
      </c>
      <c r="H4277">
        <v>1437</v>
      </c>
      <c r="I4277" s="1">
        <v>45689</v>
      </c>
      <c r="J4277">
        <v>75</v>
      </c>
      <c r="K4277" t="s">
        <v>26</v>
      </c>
    </row>
    <row r="4278" spans="1:11">
      <c r="A4278" s="1">
        <v>45715</v>
      </c>
      <c r="B4278" t="s">
        <v>40</v>
      </c>
      <c r="C4278" t="s">
        <v>71</v>
      </c>
      <c r="D4278">
        <v>2630</v>
      </c>
      <c r="E4278">
        <v>713</v>
      </c>
      <c r="F4278">
        <v>193</v>
      </c>
      <c r="G4278">
        <v>305</v>
      </c>
      <c r="H4278">
        <v>3840</v>
      </c>
      <c r="I4278" s="1">
        <v>45689</v>
      </c>
      <c r="J4278">
        <v>498</v>
      </c>
      <c r="K4278" t="s">
        <v>26</v>
      </c>
    </row>
    <row r="4279" spans="1:11">
      <c r="A4279" s="1">
        <v>45715</v>
      </c>
      <c r="B4279" t="s">
        <v>40</v>
      </c>
      <c r="C4279" t="s">
        <v>36</v>
      </c>
      <c r="D4279">
        <v>3013</v>
      </c>
      <c r="E4279">
        <v>948</v>
      </c>
      <c r="F4279">
        <v>373</v>
      </c>
      <c r="G4279">
        <v>244</v>
      </c>
      <c r="H4279">
        <v>4578</v>
      </c>
      <c r="I4279" s="1">
        <v>45689</v>
      </c>
      <c r="J4279">
        <v>617</v>
      </c>
      <c r="K4279" t="s">
        <v>26</v>
      </c>
    </row>
    <row r="4280" spans="1:11">
      <c r="A4280" s="1">
        <v>45715</v>
      </c>
      <c r="B4280" t="s">
        <v>40</v>
      </c>
      <c r="C4280" t="s">
        <v>59</v>
      </c>
      <c r="D4280">
        <v>1846</v>
      </c>
      <c r="E4280">
        <v>690</v>
      </c>
      <c r="F4280">
        <v>352</v>
      </c>
      <c r="G4280">
        <v>104</v>
      </c>
      <c r="H4280">
        <v>2992</v>
      </c>
      <c r="I4280" s="1">
        <v>45689</v>
      </c>
      <c r="J4280">
        <v>456</v>
      </c>
      <c r="K4280" t="s">
        <v>26</v>
      </c>
    </row>
    <row r="4281" spans="1:11">
      <c r="A4281" s="1">
        <v>45715</v>
      </c>
      <c r="B4281" t="s">
        <v>40</v>
      </c>
      <c r="C4281" t="s">
        <v>67</v>
      </c>
      <c r="D4281">
        <v>2845</v>
      </c>
      <c r="E4281">
        <v>841</v>
      </c>
      <c r="F4281">
        <v>445</v>
      </c>
      <c r="G4281">
        <v>850</v>
      </c>
      <c r="H4281">
        <v>4980</v>
      </c>
      <c r="I4281" s="1">
        <v>45689</v>
      </c>
      <c r="J4281">
        <v>1295</v>
      </c>
      <c r="K4281" t="s">
        <v>26</v>
      </c>
    </row>
    <row r="4282" spans="1:11">
      <c r="A4282" s="1">
        <v>45715</v>
      </c>
      <c r="B4282" t="s">
        <v>40</v>
      </c>
      <c r="C4282" t="s">
        <v>49</v>
      </c>
      <c r="D4282">
        <v>721</v>
      </c>
      <c r="E4282">
        <v>102</v>
      </c>
      <c r="F4282">
        <v>27</v>
      </c>
      <c r="G4282">
        <v>22</v>
      </c>
      <c r="H4282">
        <v>872</v>
      </c>
      <c r="I4282" s="1">
        <v>45689</v>
      </c>
      <c r="J4282">
        <v>49</v>
      </c>
      <c r="K4282" t="s">
        <v>26</v>
      </c>
    </row>
    <row r="4283" spans="1:11">
      <c r="A4283" s="1">
        <v>45743</v>
      </c>
      <c r="B4283" t="s">
        <v>40</v>
      </c>
      <c r="C4283" t="s">
        <v>48</v>
      </c>
      <c r="D4283">
        <v>4888</v>
      </c>
      <c r="E4283">
        <v>2900</v>
      </c>
      <c r="F4283">
        <v>1063</v>
      </c>
      <c r="G4283">
        <v>600</v>
      </c>
      <c r="H4283">
        <v>9452</v>
      </c>
      <c r="I4283" s="1">
        <v>45717</v>
      </c>
      <c r="J4283">
        <v>1663</v>
      </c>
      <c r="K4283" t="s">
        <v>26</v>
      </c>
    </row>
    <row r="4284" spans="1:11">
      <c r="A4284" s="1">
        <v>45743</v>
      </c>
      <c r="B4284" t="s">
        <v>40</v>
      </c>
      <c r="C4284" t="s">
        <v>41</v>
      </c>
      <c r="D4284">
        <v>369</v>
      </c>
      <c r="E4284">
        <v>27</v>
      </c>
      <c r="F4284">
        <v>8</v>
      </c>
      <c r="G4284">
        <v>3</v>
      </c>
      <c r="H4284">
        <v>407</v>
      </c>
      <c r="I4284" s="1">
        <v>45717</v>
      </c>
      <c r="J4284">
        <v>11</v>
      </c>
      <c r="K4284" t="s">
        <v>26</v>
      </c>
    </row>
    <row r="4285" spans="1:11">
      <c r="A4285" s="1">
        <v>45743</v>
      </c>
      <c r="B4285" t="s">
        <v>40</v>
      </c>
      <c r="C4285" t="s">
        <v>65</v>
      </c>
      <c r="D4285">
        <v>914</v>
      </c>
      <c r="E4285">
        <v>400</v>
      </c>
      <c r="F4285">
        <v>190</v>
      </c>
      <c r="G4285">
        <v>118</v>
      </c>
      <c r="H4285">
        <v>1621</v>
      </c>
      <c r="I4285" s="1">
        <v>45717</v>
      </c>
      <c r="J4285">
        <v>308</v>
      </c>
      <c r="K4285" t="s">
        <v>26</v>
      </c>
    </row>
    <row r="4286" spans="1:11">
      <c r="A4286" s="1">
        <v>45743</v>
      </c>
      <c r="B4286" t="s">
        <v>40</v>
      </c>
      <c r="C4286" t="s">
        <v>66</v>
      </c>
      <c r="D4286">
        <v>6325</v>
      </c>
      <c r="E4286">
        <v>2724</v>
      </c>
      <c r="F4286">
        <v>1062</v>
      </c>
      <c r="G4286">
        <v>1416</v>
      </c>
      <c r="H4286">
        <v>11526</v>
      </c>
      <c r="I4286" s="1">
        <v>45717</v>
      </c>
      <c r="J4286">
        <v>2478</v>
      </c>
      <c r="K4286" t="s">
        <v>26</v>
      </c>
    </row>
    <row r="4287" spans="1:11">
      <c r="A4287" s="1">
        <v>45743</v>
      </c>
      <c r="B4287" t="s">
        <v>40</v>
      </c>
      <c r="C4287" t="s">
        <v>57</v>
      </c>
      <c r="D4287">
        <v>1723</v>
      </c>
      <c r="E4287">
        <v>259</v>
      </c>
      <c r="F4287">
        <v>66</v>
      </c>
      <c r="G4287">
        <v>99</v>
      </c>
      <c r="H4287">
        <v>2147</v>
      </c>
      <c r="I4287" s="1">
        <v>45717</v>
      </c>
      <c r="J4287">
        <v>165</v>
      </c>
      <c r="K4287" t="s">
        <v>26</v>
      </c>
    </row>
    <row r="4288" spans="1:11">
      <c r="A4288" s="1">
        <v>45743</v>
      </c>
      <c r="B4288" t="s">
        <v>40</v>
      </c>
      <c r="C4288" t="s">
        <v>28</v>
      </c>
      <c r="D4288">
        <v>250</v>
      </c>
      <c r="E4288">
        <v>118</v>
      </c>
      <c r="F4288">
        <v>47</v>
      </c>
      <c r="G4288">
        <v>38</v>
      </c>
      <c r="H4288">
        <v>453</v>
      </c>
      <c r="I4288" s="1">
        <v>45717</v>
      </c>
      <c r="J4288">
        <v>85</v>
      </c>
      <c r="K4288" t="s">
        <v>26</v>
      </c>
    </row>
    <row r="4289" spans="1:11">
      <c r="A4289" s="1">
        <v>45743</v>
      </c>
      <c r="B4289" t="s">
        <v>40</v>
      </c>
      <c r="C4289" t="s">
        <v>68</v>
      </c>
      <c r="D4289">
        <v>4773</v>
      </c>
      <c r="E4289">
        <v>1222</v>
      </c>
      <c r="F4289">
        <v>508</v>
      </c>
      <c r="G4289">
        <v>860</v>
      </c>
      <c r="H4289">
        <v>7362</v>
      </c>
      <c r="I4289" s="1">
        <v>45717</v>
      </c>
      <c r="J4289">
        <v>1368</v>
      </c>
      <c r="K4289" t="s">
        <v>26</v>
      </c>
    </row>
    <row r="4290" spans="1:11">
      <c r="A4290" s="1">
        <v>45743</v>
      </c>
      <c r="B4290" t="s">
        <v>40</v>
      </c>
      <c r="C4290" t="s">
        <v>47</v>
      </c>
      <c r="D4290">
        <v>835</v>
      </c>
      <c r="E4290">
        <v>157</v>
      </c>
      <c r="F4290">
        <v>31</v>
      </c>
      <c r="G4290">
        <v>11</v>
      </c>
      <c r="H4290">
        <v>1033</v>
      </c>
      <c r="I4290" s="1">
        <v>45717</v>
      </c>
      <c r="J4290">
        <v>42</v>
      </c>
      <c r="K4290" t="s">
        <v>26</v>
      </c>
    </row>
    <row r="4291" spans="1:11">
      <c r="A4291" s="1">
        <v>45743</v>
      </c>
      <c r="B4291" t="s">
        <v>40</v>
      </c>
      <c r="C4291" t="s">
        <v>25</v>
      </c>
      <c r="D4291">
        <v>640</v>
      </c>
      <c r="E4291">
        <v>97</v>
      </c>
      <c r="F4291">
        <v>34</v>
      </c>
      <c r="G4291">
        <v>19</v>
      </c>
      <c r="H4291">
        <v>791</v>
      </c>
      <c r="I4291" s="1">
        <v>45717</v>
      </c>
      <c r="J4291">
        <v>53</v>
      </c>
      <c r="K4291" t="s">
        <v>26</v>
      </c>
    </row>
    <row r="4292" spans="1:11">
      <c r="A4292" s="1">
        <v>45743</v>
      </c>
      <c r="B4292" t="s">
        <v>40</v>
      </c>
      <c r="C4292" t="s">
        <v>45</v>
      </c>
      <c r="D4292">
        <v>252</v>
      </c>
      <c r="E4292">
        <v>57</v>
      </c>
      <c r="F4292">
        <v>30</v>
      </c>
      <c r="G4292">
        <v>18</v>
      </c>
      <c r="H4292">
        <v>357</v>
      </c>
      <c r="I4292" s="1">
        <v>45717</v>
      </c>
      <c r="J4292">
        <v>48</v>
      </c>
      <c r="K4292" t="s">
        <v>26</v>
      </c>
    </row>
    <row r="4293" spans="1:11">
      <c r="A4293" s="1">
        <v>45743</v>
      </c>
      <c r="B4293" t="s">
        <v>40</v>
      </c>
      <c r="C4293" t="s">
        <v>54</v>
      </c>
      <c r="D4293">
        <v>1645</v>
      </c>
      <c r="E4293">
        <v>392</v>
      </c>
      <c r="F4293">
        <v>26</v>
      </c>
      <c r="G4293">
        <v>3</v>
      </c>
      <c r="H4293">
        <v>2066</v>
      </c>
      <c r="I4293" s="1">
        <v>45717</v>
      </c>
      <c r="J4293">
        <v>29</v>
      </c>
      <c r="K4293" t="s">
        <v>26</v>
      </c>
    </row>
    <row r="4294" spans="1:11">
      <c r="A4294" s="1">
        <v>45743</v>
      </c>
      <c r="B4294" t="s">
        <v>40</v>
      </c>
      <c r="C4294" t="s">
        <v>52</v>
      </c>
      <c r="D4294">
        <v>604</v>
      </c>
      <c r="E4294">
        <v>280</v>
      </c>
      <c r="F4294">
        <v>107</v>
      </c>
      <c r="G4294">
        <v>8</v>
      </c>
      <c r="H4294">
        <v>1000</v>
      </c>
      <c r="I4294" s="1">
        <v>45717</v>
      </c>
      <c r="J4294">
        <v>115</v>
      </c>
      <c r="K4294" t="s">
        <v>26</v>
      </c>
    </row>
    <row r="4295" spans="1:11">
      <c r="A4295" s="1">
        <v>45743</v>
      </c>
      <c r="B4295" t="s">
        <v>40</v>
      </c>
      <c r="C4295" t="s">
        <v>46</v>
      </c>
      <c r="D4295">
        <v>415</v>
      </c>
      <c r="E4295">
        <v>108</v>
      </c>
      <c r="F4295">
        <v>58</v>
      </c>
      <c r="G4295">
        <v>3</v>
      </c>
      <c r="H4295">
        <v>584</v>
      </c>
      <c r="I4295" s="1">
        <v>45717</v>
      </c>
      <c r="J4295">
        <v>61</v>
      </c>
      <c r="K4295" t="s">
        <v>26</v>
      </c>
    </row>
    <row r="4296" spans="1:11">
      <c r="A4296" s="1">
        <v>45743</v>
      </c>
      <c r="B4296" t="s">
        <v>40</v>
      </c>
      <c r="C4296" t="s">
        <v>31</v>
      </c>
      <c r="D4296">
        <v>393</v>
      </c>
      <c r="E4296">
        <v>168</v>
      </c>
      <c r="F4296">
        <v>111</v>
      </c>
      <c r="G4296">
        <v>63</v>
      </c>
      <c r="H4296">
        <v>734</v>
      </c>
      <c r="I4296" s="1">
        <v>45717</v>
      </c>
      <c r="J4296">
        <v>174</v>
      </c>
      <c r="K4296" t="s">
        <v>26</v>
      </c>
    </row>
    <row r="4297" spans="1:11">
      <c r="A4297" s="1">
        <v>45743</v>
      </c>
      <c r="B4297" t="s">
        <v>40</v>
      </c>
      <c r="C4297" t="s">
        <v>34</v>
      </c>
      <c r="D4297">
        <v>172</v>
      </c>
      <c r="E4297">
        <v>50</v>
      </c>
      <c r="F4297">
        <v>18</v>
      </c>
      <c r="G4297">
        <v>21</v>
      </c>
      <c r="H4297">
        <v>261</v>
      </c>
      <c r="I4297" s="1">
        <v>45717</v>
      </c>
      <c r="J4297">
        <v>39</v>
      </c>
      <c r="K4297" t="s">
        <v>26</v>
      </c>
    </row>
    <row r="4298" spans="1:11">
      <c r="A4298" s="1">
        <v>45743</v>
      </c>
      <c r="B4298" t="s">
        <v>40</v>
      </c>
      <c r="C4298" t="s">
        <v>63</v>
      </c>
      <c r="D4298">
        <v>1916</v>
      </c>
      <c r="E4298">
        <v>438</v>
      </c>
      <c r="F4298">
        <v>346</v>
      </c>
      <c r="G4298">
        <v>163</v>
      </c>
      <c r="H4298">
        <v>2863</v>
      </c>
      <c r="I4298" s="1">
        <v>45717</v>
      </c>
      <c r="J4298">
        <v>509</v>
      </c>
      <c r="K4298" t="s">
        <v>26</v>
      </c>
    </row>
    <row r="4299" spans="1:11">
      <c r="A4299" s="1">
        <v>45743</v>
      </c>
      <c r="B4299" t="s">
        <v>40</v>
      </c>
      <c r="C4299" t="s">
        <v>60</v>
      </c>
      <c r="D4299">
        <v>1783</v>
      </c>
      <c r="E4299">
        <v>632</v>
      </c>
      <c r="F4299">
        <v>291</v>
      </c>
      <c r="G4299">
        <v>215</v>
      </c>
      <c r="H4299">
        <v>2921</v>
      </c>
      <c r="I4299" s="1">
        <v>45717</v>
      </c>
      <c r="J4299">
        <v>506</v>
      </c>
      <c r="K4299" t="s">
        <v>26</v>
      </c>
    </row>
    <row r="4300" spans="1:11">
      <c r="A4300" s="1">
        <v>45743</v>
      </c>
      <c r="B4300" t="s">
        <v>40</v>
      </c>
      <c r="C4300" t="s">
        <v>61</v>
      </c>
      <c r="D4300">
        <v>2445</v>
      </c>
      <c r="E4300">
        <v>870</v>
      </c>
      <c r="F4300">
        <v>403</v>
      </c>
      <c r="G4300">
        <v>544</v>
      </c>
      <c r="H4300">
        <v>4262</v>
      </c>
      <c r="I4300" s="1">
        <v>45717</v>
      </c>
      <c r="J4300">
        <v>947</v>
      </c>
      <c r="K4300" t="s">
        <v>26</v>
      </c>
    </row>
    <row r="4301" spans="1:11">
      <c r="A4301" s="1">
        <v>45743</v>
      </c>
      <c r="B4301" t="s">
        <v>40</v>
      </c>
      <c r="C4301" t="s">
        <v>62</v>
      </c>
      <c r="D4301">
        <v>360</v>
      </c>
      <c r="E4301">
        <v>34</v>
      </c>
      <c r="F4301">
        <v>33</v>
      </c>
      <c r="G4301">
        <v>5</v>
      </c>
      <c r="H4301">
        <v>432</v>
      </c>
      <c r="I4301" s="1">
        <v>45717</v>
      </c>
      <c r="J4301">
        <v>38</v>
      </c>
      <c r="K4301" t="s">
        <v>26</v>
      </c>
    </row>
    <row r="4302" spans="1:11">
      <c r="A4302" s="1">
        <v>45743</v>
      </c>
      <c r="B4302" t="s">
        <v>40</v>
      </c>
      <c r="C4302" t="s">
        <v>69</v>
      </c>
      <c r="D4302">
        <v>3441</v>
      </c>
      <c r="E4302">
        <v>1237</v>
      </c>
      <c r="F4302">
        <v>595</v>
      </c>
      <c r="G4302">
        <v>569</v>
      </c>
      <c r="H4302">
        <v>5842</v>
      </c>
      <c r="I4302" s="1">
        <v>45717</v>
      </c>
      <c r="J4302">
        <v>1164</v>
      </c>
      <c r="K4302" t="s">
        <v>26</v>
      </c>
    </row>
    <row r="4303" spans="1:11">
      <c r="A4303" s="1">
        <v>45743</v>
      </c>
      <c r="B4303" t="s">
        <v>40</v>
      </c>
      <c r="C4303" t="s">
        <v>24</v>
      </c>
      <c r="D4303">
        <v>660</v>
      </c>
      <c r="E4303">
        <v>141</v>
      </c>
      <c r="F4303">
        <v>14</v>
      </c>
      <c r="G4303">
        <v>1</v>
      </c>
      <c r="H4303">
        <v>817</v>
      </c>
      <c r="I4303" s="1">
        <v>45717</v>
      </c>
      <c r="J4303">
        <v>15</v>
      </c>
      <c r="K4303" t="s">
        <v>26</v>
      </c>
    </row>
    <row r="4304" spans="1:11">
      <c r="A4304" s="1">
        <v>45743</v>
      </c>
      <c r="B4304" t="s">
        <v>40</v>
      </c>
      <c r="C4304" t="s">
        <v>29</v>
      </c>
      <c r="D4304">
        <v>518</v>
      </c>
      <c r="E4304">
        <v>162</v>
      </c>
      <c r="F4304">
        <v>52</v>
      </c>
      <c r="G4304">
        <v>68</v>
      </c>
      <c r="H4304">
        <v>799</v>
      </c>
      <c r="I4304" s="1">
        <v>45717</v>
      </c>
      <c r="J4304">
        <v>120</v>
      </c>
      <c r="K4304" t="s">
        <v>26</v>
      </c>
    </row>
    <row r="4305" spans="1:11">
      <c r="A4305" s="1">
        <v>45743</v>
      </c>
      <c r="B4305" t="s">
        <v>40</v>
      </c>
      <c r="C4305" t="s">
        <v>70</v>
      </c>
      <c r="D4305">
        <v>954</v>
      </c>
      <c r="E4305">
        <v>249</v>
      </c>
      <c r="F4305">
        <v>51</v>
      </c>
      <c r="G4305">
        <v>24</v>
      </c>
      <c r="H4305">
        <v>1279</v>
      </c>
      <c r="I4305" s="1">
        <v>45717</v>
      </c>
      <c r="J4305">
        <v>75</v>
      </c>
      <c r="K4305" t="s">
        <v>26</v>
      </c>
    </row>
    <row r="4306" spans="1:11">
      <c r="A4306" s="1">
        <v>45743</v>
      </c>
      <c r="B4306" t="s">
        <v>40</v>
      </c>
      <c r="C4306" t="s">
        <v>71</v>
      </c>
      <c r="D4306">
        <v>2695</v>
      </c>
      <c r="E4306">
        <v>697</v>
      </c>
      <c r="F4306">
        <v>184</v>
      </c>
      <c r="G4306">
        <v>295</v>
      </c>
      <c r="H4306">
        <v>3870</v>
      </c>
      <c r="I4306" s="1">
        <v>45717</v>
      </c>
      <c r="J4306">
        <v>479</v>
      </c>
      <c r="K4306" t="s">
        <v>26</v>
      </c>
    </row>
    <row r="4307" spans="1:11">
      <c r="A4307" s="1">
        <v>45743</v>
      </c>
      <c r="B4307" t="s">
        <v>40</v>
      </c>
      <c r="C4307" t="s">
        <v>36</v>
      </c>
      <c r="D4307">
        <v>3000</v>
      </c>
      <c r="E4307">
        <v>1033</v>
      </c>
      <c r="F4307">
        <v>420</v>
      </c>
      <c r="G4307">
        <v>272</v>
      </c>
      <c r="H4307">
        <v>4725</v>
      </c>
      <c r="I4307" s="1">
        <v>45717</v>
      </c>
      <c r="J4307">
        <v>692</v>
      </c>
      <c r="K4307" t="s">
        <v>26</v>
      </c>
    </row>
    <row r="4308" spans="1:11">
      <c r="A4308" s="1">
        <v>45743</v>
      </c>
      <c r="B4308" t="s">
        <v>40</v>
      </c>
      <c r="C4308" t="s">
        <v>59</v>
      </c>
      <c r="D4308">
        <v>1834</v>
      </c>
      <c r="E4308">
        <v>717</v>
      </c>
      <c r="F4308">
        <v>384</v>
      </c>
      <c r="G4308">
        <v>123</v>
      </c>
      <c r="H4308">
        <v>3059</v>
      </c>
      <c r="I4308" s="1">
        <v>45717</v>
      </c>
      <c r="J4308">
        <v>507</v>
      </c>
      <c r="K4308" t="s">
        <v>26</v>
      </c>
    </row>
    <row r="4309" spans="1:11">
      <c r="A4309" s="1">
        <v>45743</v>
      </c>
      <c r="B4309" t="s">
        <v>40</v>
      </c>
      <c r="C4309" t="s">
        <v>67</v>
      </c>
      <c r="D4309">
        <v>2890</v>
      </c>
      <c r="E4309">
        <v>837</v>
      </c>
      <c r="F4309">
        <v>443</v>
      </c>
      <c r="G4309">
        <v>839</v>
      </c>
      <c r="H4309">
        <v>5009</v>
      </c>
      <c r="I4309" s="1">
        <v>45717</v>
      </c>
      <c r="J4309">
        <v>1282</v>
      </c>
      <c r="K4309" t="s">
        <v>26</v>
      </c>
    </row>
    <row r="4310" spans="1:11">
      <c r="A4310" s="1">
        <v>45743</v>
      </c>
      <c r="B4310" t="s">
        <v>40</v>
      </c>
      <c r="C4310" t="s">
        <v>49</v>
      </c>
      <c r="D4310">
        <v>761</v>
      </c>
      <c r="E4310">
        <v>99</v>
      </c>
      <c r="F4310">
        <v>30</v>
      </c>
      <c r="G4310">
        <v>24</v>
      </c>
      <c r="H4310">
        <v>914</v>
      </c>
      <c r="I4310" s="1">
        <v>45717</v>
      </c>
      <c r="J4310">
        <v>54</v>
      </c>
      <c r="K4310" t="s">
        <v>26</v>
      </c>
    </row>
    <row r="4311" spans="1:11">
      <c r="A4311" s="1">
        <v>45771</v>
      </c>
      <c r="B4311" t="s">
        <v>40</v>
      </c>
      <c r="C4311" t="s">
        <v>48</v>
      </c>
      <c r="D4311">
        <v>4831</v>
      </c>
      <c r="E4311">
        <v>3032</v>
      </c>
      <c r="F4311">
        <v>1217</v>
      </c>
      <c r="G4311">
        <v>609</v>
      </c>
      <c r="H4311">
        <v>9690</v>
      </c>
      <c r="I4311" s="1">
        <v>45748</v>
      </c>
      <c r="J4311">
        <v>1826</v>
      </c>
      <c r="K4311" t="s">
        <v>26</v>
      </c>
    </row>
    <row r="4312" spans="1:11">
      <c r="A4312" s="1">
        <v>45771</v>
      </c>
      <c r="B4312" t="s">
        <v>40</v>
      </c>
      <c r="C4312" t="s">
        <v>65</v>
      </c>
      <c r="D4312">
        <v>901</v>
      </c>
      <c r="E4312">
        <v>385</v>
      </c>
      <c r="F4312">
        <v>171</v>
      </c>
      <c r="G4312">
        <v>91</v>
      </c>
      <c r="H4312">
        <v>1548</v>
      </c>
      <c r="I4312" s="1">
        <v>45748</v>
      </c>
      <c r="J4312">
        <v>262</v>
      </c>
      <c r="K4312" t="s">
        <v>26</v>
      </c>
    </row>
    <row r="4313" spans="1:11">
      <c r="A4313" s="1">
        <v>45771</v>
      </c>
      <c r="B4313" t="s">
        <v>40</v>
      </c>
      <c r="C4313" t="s">
        <v>37</v>
      </c>
      <c r="D4313">
        <v>469</v>
      </c>
      <c r="E4313">
        <v>210</v>
      </c>
      <c r="F4313">
        <v>28</v>
      </c>
      <c r="G4313">
        <v>1</v>
      </c>
      <c r="H4313">
        <v>707</v>
      </c>
      <c r="I4313" s="1">
        <v>45748</v>
      </c>
      <c r="J4313">
        <v>29</v>
      </c>
      <c r="K4313" t="s">
        <v>26</v>
      </c>
    </row>
    <row r="4314" spans="1:11">
      <c r="A4314" s="1">
        <v>45771</v>
      </c>
      <c r="B4314" t="s">
        <v>40</v>
      </c>
      <c r="C4314" t="s">
        <v>66</v>
      </c>
      <c r="D4314">
        <v>6089</v>
      </c>
      <c r="E4314">
        <v>2835</v>
      </c>
      <c r="F4314">
        <v>1011</v>
      </c>
      <c r="G4314">
        <v>1455</v>
      </c>
      <c r="H4314">
        <v>11390</v>
      </c>
      <c r="I4314" s="1">
        <v>45748</v>
      </c>
      <c r="J4314">
        <v>2466</v>
      </c>
      <c r="K4314" t="s">
        <v>26</v>
      </c>
    </row>
    <row r="4315" spans="1:11">
      <c r="A4315" s="1">
        <v>45771</v>
      </c>
      <c r="B4315" t="s">
        <v>40</v>
      </c>
      <c r="C4315" t="s">
        <v>57</v>
      </c>
      <c r="D4315">
        <v>1639</v>
      </c>
      <c r="E4315">
        <v>283</v>
      </c>
      <c r="F4315">
        <v>72</v>
      </c>
      <c r="G4315">
        <v>75</v>
      </c>
      <c r="H4315">
        <v>2069</v>
      </c>
      <c r="I4315" s="1">
        <v>45748</v>
      </c>
      <c r="J4315">
        <v>147</v>
      </c>
      <c r="K4315" t="s">
        <v>26</v>
      </c>
    </row>
    <row r="4316" spans="1:11">
      <c r="A4316" s="1">
        <v>45771</v>
      </c>
      <c r="B4316" t="s">
        <v>40</v>
      </c>
      <c r="C4316" t="s">
        <v>28</v>
      </c>
      <c r="D4316">
        <v>250</v>
      </c>
      <c r="E4316">
        <v>116</v>
      </c>
      <c r="F4316">
        <v>43</v>
      </c>
      <c r="G4316">
        <v>39</v>
      </c>
      <c r="H4316">
        <v>448</v>
      </c>
      <c r="I4316" s="1">
        <v>45748</v>
      </c>
      <c r="J4316">
        <v>82</v>
      </c>
      <c r="K4316" t="s">
        <v>26</v>
      </c>
    </row>
    <row r="4317" spans="1:11">
      <c r="A4317" s="1">
        <v>45771</v>
      </c>
      <c r="B4317" t="s">
        <v>40</v>
      </c>
      <c r="C4317" t="s">
        <v>68</v>
      </c>
      <c r="D4317">
        <v>5949</v>
      </c>
      <c r="E4317">
        <v>1742</v>
      </c>
      <c r="F4317">
        <v>848</v>
      </c>
      <c r="G4317">
        <v>1874</v>
      </c>
      <c r="H4317">
        <v>10414</v>
      </c>
      <c r="I4317" s="1">
        <v>45748</v>
      </c>
      <c r="J4317">
        <v>2722</v>
      </c>
      <c r="K4317" t="s">
        <v>26</v>
      </c>
    </row>
    <row r="4318" spans="1:11">
      <c r="A4318" s="1">
        <v>45771</v>
      </c>
      <c r="B4318" t="s">
        <v>40</v>
      </c>
      <c r="C4318" t="s">
        <v>47</v>
      </c>
      <c r="D4318">
        <v>874</v>
      </c>
      <c r="E4318">
        <v>139</v>
      </c>
      <c r="F4318">
        <v>24</v>
      </c>
      <c r="G4318">
        <v>17</v>
      </c>
      <c r="H4318">
        <v>1055</v>
      </c>
      <c r="I4318" s="1">
        <v>45748</v>
      </c>
      <c r="J4318">
        <v>41</v>
      </c>
      <c r="K4318" t="s">
        <v>26</v>
      </c>
    </row>
    <row r="4319" spans="1:11">
      <c r="A4319" s="1">
        <v>45771</v>
      </c>
      <c r="B4319" t="s">
        <v>40</v>
      </c>
      <c r="C4319" t="s">
        <v>25</v>
      </c>
      <c r="D4319">
        <v>690</v>
      </c>
      <c r="E4319">
        <v>110</v>
      </c>
      <c r="F4319">
        <v>33</v>
      </c>
      <c r="G4319">
        <v>12</v>
      </c>
      <c r="H4319">
        <v>844</v>
      </c>
      <c r="I4319" s="1">
        <v>45748</v>
      </c>
      <c r="J4319">
        <v>45</v>
      </c>
      <c r="K4319" t="s">
        <v>26</v>
      </c>
    </row>
    <row r="4320" spans="1:11">
      <c r="A4320" s="1">
        <v>45771</v>
      </c>
      <c r="B4320" t="s">
        <v>40</v>
      </c>
      <c r="C4320" t="s">
        <v>51</v>
      </c>
      <c r="D4320">
        <v>565</v>
      </c>
      <c r="E4320">
        <v>90</v>
      </c>
      <c r="F4320">
        <v>18</v>
      </c>
      <c r="G4320">
        <v>3</v>
      </c>
      <c r="H4320">
        <v>676</v>
      </c>
      <c r="I4320" s="1">
        <v>45748</v>
      </c>
      <c r="J4320">
        <v>21</v>
      </c>
      <c r="K4320" t="s">
        <v>26</v>
      </c>
    </row>
    <row r="4321" spans="1:11">
      <c r="A4321" s="1">
        <v>45771</v>
      </c>
      <c r="B4321" t="s">
        <v>40</v>
      </c>
      <c r="C4321" t="s">
        <v>45</v>
      </c>
      <c r="D4321">
        <v>288</v>
      </c>
      <c r="E4321">
        <v>60</v>
      </c>
      <c r="F4321">
        <v>23</v>
      </c>
      <c r="G4321">
        <v>25</v>
      </c>
      <c r="H4321">
        <v>395</v>
      </c>
      <c r="I4321" s="1">
        <v>45748</v>
      </c>
      <c r="J4321">
        <v>48</v>
      </c>
      <c r="K4321" t="s">
        <v>26</v>
      </c>
    </row>
    <row r="4322" spans="1:11">
      <c r="A4322" s="1">
        <v>45771</v>
      </c>
      <c r="B4322" t="s">
        <v>40</v>
      </c>
      <c r="C4322" t="s">
        <v>54</v>
      </c>
      <c r="D4322">
        <v>1706</v>
      </c>
      <c r="E4322">
        <v>406</v>
      </c>
      <c r="F4322">
        <v>37</v>
      </c>
      <c r="G4322">
        <v>3</v>
      </c>
      <c r="H4322">
        <v>2151</v>
      </c>
      <c r="I4322" s="1">
        <v>45748</v>
      </c>
      <c r="J4322">
        <v>40</v>
      </c>
      <c r="K4322" t="s">
        <v>26</v>
      </c>
    </row>
    <row r="4323" spans="1:11">
      <c r="A4323" s="1">
        <v>45771</v>
      </c>
      <c r="B4323" t="s">
        <v>40</v>
      </c>
      <c r="C4323" t="s">
        <v>52</v>
      </c>
      <c r="D4323">
        <v>591</v>
      </c>
      <c r="E4323">
        <v>298</v>
      </c>
      <c r="F4323">
        <v>121</v>
      </c>
      <c r="G4323">
        <v>9</v>
      </c>
      <c r="H4323">
        <v>1019</v>
      </c>
      <c r="I4323" s="1">
        <v>45748</v>
      </c>
      <c r="J4323">
        <v>130</v>
      </c>
      <c r="K4323" t="s">
        <v>26</v>
      </c>
    </row>
    <row r="4324" spans="1:11">
      <c r="A4324" s="1">
        <v>45771</v>
      </c>
      <c r="B4324" t="s">
        <v>40</v>
      </c>
      <c r="C4324" t="s">
        <v>46</v>
      </c>
      <c r="D4324">
        <v>444</v>
      </c>
      <c r="E4324">
        <v>109</v>
      </c>
      <c r="F4324">
        <v>58</v>
      </c>
      <c r="G4324">
        <v>4</v>
      </c>
      <c r="H4324">
        <v>616</v>
      </c>
      <c r="I4324" s="1">
        <v>45748</v>
      </c>
      <c r="J4324">
        <v>62</v>
      </c>
      <c r="K4324" t="s">
        <v>26</v>
      </c>
    </row>
    <row r="4325" spans="1:11">
      <c r="A4325" s="1">
        <v>45771</v>
      </c>
      <c r="B4325" t="s">
        <v>40</v>
      </c>
      <c r="C4325" t="s">
        <v>31</v>
      </c>
      <c r="D4325">
        <v>413</v>
      </c>
      <c r="E4325">
        <v>122</v>
      </c>
      <c r="F4325">
        <v>58</v>
      </c>
      <c r="G4325">
        <v>61</v>
      </c>
      <c r="H4325">
        <v>654</v>
      </c>
      <c r="I4325" s="1">
        <v>45748</v>
      </c>
      <c r="J4325">
        <v>119</v>
      </c>
      <c r="K4325" t="s">
        <v>26</v>
      </c>
    </row>
    <row r="4326" spans="1:11">
      <c r="A4326" s="1">
        <v>45771</v>
      </c>
      <c r="B4326" t="s">
        <v>40</v>
      </c>
      <c r="C4326" t="s">
        <v>34</v>
      </c>
      <c r="D4326">
        <v>176</v>
      </c>
      <c r="E4326">
        <v>52</v>
      </c>
      <c r="F4326">
        <v>11</v>
      </c>
      <c r="G4326">
        <v>17</v>
      </c>
      <c r="H4326">
        <v>256</v>
      </c>
      <c r="I4326" s="1">
        <v>45748</v>
      </c>
      <c r="J4326">
        <v>28</v>
      </c>
      <c r="K4326" t="s">
        <v>26</v>
      </c>
    </row>
    <row r="4327" spans="1:11">
      <c r="A4327" s="1">
        <v>45771</v>
      </c>
      <c r="B4327" t="s">
        <v>40</v>
      </c>
      <c r="C4327" t="s">
        <v>63</v>
      </c>
      <c r="D4327">
        <v>2015</v>
      </c>
      <c r="E4327">
        <v>419</v>
      </c>
      <c r="F4327">
        <v>324</v>
      </c>
      <c r="G4327">
        <v>193</v>
      </c>
      <c r="H4327">
        <v>2951</v>
      </c>
      <c r="I4327" s="1">
        <v>45748</v>
      </c>
      <c r="J4327">
        <v>517</v>
      </c>
      <c r="K4327" t="s">
        <v>26</v>
      </c>
    </row>
    <row r="4328" spans="1:11">
      <c r="A4328" s="1">
        <v>45771</v>
      </c>
      <c r="B4328" t="s">
        <v>40</v>
      </c>
      <c r="C4328" t="s">
        <v>60</v>
      </c>
      <c r="D4328">
        <v>1842</v>
      </c>
      <c r="E4328">
        <v>704</v>
      </c>
      <c r="F4328">
        <v>301</v>
      </c>
      <c r="G4328">
        <v>231</v>
      </c>
      <c r="H4328">
        <v>3078</v>
      </c>
      <c r="I4328" s="1">
        <v>45748</v>
      </c>
      <c r="J4328">
        <v>532</v>
      </c>
      <c r="K4328" t="s">
        <v>26</v>
      </c>
    </row>
    <row r="4329" spans="1:11">
      <c r="A4329" s="1">
        <v>45771</v>
      </c>
      <c r="B4329" t="s">
        <v>40</v>
      </c>
      <c r="C4329" t="s">
        <v>61</v>
      </c>
      <c r="D4329">
        <v>2386</v>
      </c>
      <c r="E4329">
        <v>824</v>
      </c>
      <c r="F4329">
        <v>445</v>
      </c>
      <c r="G4329">
        <v>545</v>
      </c>
      <c r="H4329">
        <v>4201</v>
      </c>
      <c r="I4329" s="1">
        <v>45748</v>
      </c>
      <c r="J4329">
        <v>990</v>
      </c>
      <c r="K4329" t="s">
        <v>26</v>
      </c>
    </row>
    <row r="4330" spans="1:11">
      <c r="A4330" s="1">
        <v>45771</v>
      </c>
      <c r="B4330" t="s">
        <v>40</v>
      </c>
      <c r="C4330" t="s">
        <v>62</v>
      </c>
      <c r="D4330">
        <v>333</v>
      </c>
      <c r="E4330">
        <v>40</v>
      </c>
      <c r="F4330">
        <v>29</v>
      </c>
      <c r="G4330">
        <v>10</v>
      </c>
      <c r="H4330">
        <v>412</v>
      </c>
      <c r="I4330" s="1">
        <v>45748</v>
      </c>
      <c r="J4330">
        <v>39</v>
      </c>
      <c r="K4330" t="s">
        <v>26</v>
      </c>
    </row>
    <row r="4331" spans="1:11">
      <c r="A4331" s="1">
        <v>45771</v>
      </c>
      <c r="B4331" t="s">
        <v>40</v>
      </c>
      <c r="C4331" t="s">
        <v>69</v>
      </c>
      <c r="D4331">
        <v>3230</v>
      </c>
      <c r="E4331">
        <v>1177</v>
      </c>
      <c r="F4331">
        <v>546</v>
      </c>
      <c r="G4331">
        <v>481</v>
      </c>
      <c r="H4331">
        <v>5434</v>
      </c>
      <c r="I4331" s="1">
        <v>45748</v>
      </c>
      <c r="J4331">
        <v>1027</v>
      </c>
      <c r="K4331" t="s">
        <v>26</v>
      </c>
    </row>
    <row r="4332" spans="1:11">
      <c r="A4332" s="1">
        <v>45771</v>
      </c>
      <c r="B4332" t="s">
        <v>40</v>
      </c>
      <c r="C4332" t="s">
        <v>29</v>
      </c>
      <c r="D4332">
        <v>518</v>
      </c>
      <c r="E4332">
        <v>152</v>
      </c>
      <c r="F4332">
        <v>42</v>
      </c>
      <c r="G4332">
        <v>68</v>
      </c>
      <c r="H4332">
        <v>780</v>
      </c>
      <c r="I4332" s="1">
        <v>45748</v>
      </c>
      <c r="J4332">
        <v>110</v>
      </c>
      <c r="K4332" t="s">
        <v>26</v>
      </c>
    </row>
    <row r="4333" spans="1:11">
      <c r="A4333" s="1">
        <v>45771</v>
      </c>
      <c r="B4333" t="s">
        <v>40</v>
      </c>
      <c r="C4333" t="s">
        <v>70</v>
      </c>
      <c r="D4333">
        <v>970</v>
      </c>
      <c r="E4333">
        <v>264</v>
      </c>
      <c r="F4333">
        <v>67</v>
      </c>
      <c r="G4333">
        <v>22</v>
      </c>
      <c r="H4333">
        <v>1323</v>
      </c>
      <c r="I4333" s="1">
        <v>45748</v>
      </c>
      <c r="J4333">
        <v>89</v>
      </c>
      <c r="K4333" t="s">
        <v>26</v>
      </c>
    </row>
    <row r="4334" spans="1:11">
      <c r="A4334" s="1">
        <v>45771</v>
      </c>
      <c r="B4334" t="s">
        <v>40</v>
      </c>
      <c r="C4334" t="s">
        <v>71</v>
      </c>
      <c r="D4334">
        <v>2598</v>
      </c>
      <c r="E4334">
        <v>691</v>
      </c>
      <c r="F4334">
        <v>192</v>
      </c>
      <c r="G4334">
        <v>256</v>
      </c>
      <c r="H4334">
        <v>3738</v>
      </c>
      <c r="I4334" s="1">
        <v>45748</v>
      </c>
      <c r="J4334">
        <v>448</v>
      </c>
      <c r="K4334" t="s">
        <v>26</v>
      </c>
    </row>
    <row r="4335" spans="1:11">
      <c r="A4335" s="1">
        <v>45771</v>
      </c>
      <c r="B4335" t="s">
        <v>40</v>
      </c>
      <c r="C4335" t="s">
        <v>36</v>
      </c>
      <c r="D4335">
        <v>2766</v>
      </c>
      <c r="E4335">
        <v>1058</v>
      </c>
      <c r="F4335">
        <v>453</v>
      </c>
      <c r="G4335">
        <v>292</v>
      </c>
      <c r="H4335">
        <v>4569</v>
      </c>
      <c r="I4335" s="1">
        <v>45748</v>
      </c>
      <c r="J4335">
        <v>745</v>
      </c>
      <c r="K4335" t="s">
        <v>26</v>
      </c>
    </row>
    <row r="4336" spans="1:11">
      <c r="A4336" s="1">
        <v>45771</v>
      </c>
      <c r="B4336" t="s">
        <v>40</v>
      </c>
      <c r="C4336" t="s">
        <v>32</v>
      </c>
      <c r="D4336">
        <v>378</v>
      </c>
      <c r="E4336">
        <v>44</v>
      </c>
      <c r="F4336">
        <v>7</v>
      </c>
      <c r="G4336">
        <v>1</v>
      </c>
      <c r="H4336">
        <v>431</v>
      </c>
      <c r="I4336" s="1">
        <v>45748</v>
      </c>
      <c r="J4336">
        <v>8</v>
      </c>
      <c r="K4336" t="s">
        <v>26</v>
      </c>
    </row>
    <row r="4337" spans="1:11">
      <c r="A4337" s="1">
        <v>45771</v>
      </c>
      <c r="B4337" t="s">
        <v>40</v>
      </c>
      <c r="C4337" t="s">
        <v>59</v>
      </c>
      <c r="D4337">
        <v>2083</v>
      </c>
      <c r="E4337">
        <v>808</v>
      </c>
      <c r="F4337">
        <v>388</v>
      </c>
      <c r="G4337">
        <v>150</v>
      </c>
      <c r="H4337">
        <v>3429</v>
      </c>
      <c r="I4337" s="1">
        <v>45748</v>
      </c>
      <c r="J4337">
        <v>538</v>
      </c>
      <c r="K4337" t="s">
        <v>26</v>
      </c>
    </row>
    <row r="4338" spans="1:11">
      <c r="A4338" s="1">
        <v>45771</v>
      </c>
      <c r="B4338" t="s">
        <v>40</v>
      </c>
      <c r="C4338" t="s">
        <v>67</v>
      </c>
      <c r="D4338">
        <v>2759</v>
      </c>
      <c r="E4338">
        <v>892</v>
      </c>
      <c r="F4338">
        <v>426</v>
      </c>
      <c r="G4338">
        <v>849</v>
      </c>
      <c r="H4338">
        <v>4926</v>
      </c>
      <c r="I4338" s="1">
        <v>45748</v>
      </c>
      <c r="J4338">
        <v>1275</v>
      </c>
      <c r="K4338" t="s">
        <v>26</v>
      </c>
    </row>
    <row r="4339" spans="1:11">
      <c r="A4339" s="1">
        <v>45771</v>
      </c>
      <c r="B4339" t="s">
        <v>40</v>
      </c>
      <c r="C4339" t="s">
        <v>49</v>
      </c>
      <c r="D4339">
        <v>696</v>
      </c>
      <c r="E4339">
        <v>152</v>
      </c>
      <c r="F4339">
        <v>27</v>
      </c>
      <c r="G4339">
        <v>24</v>
      </c>
      <c r="H4339">
        <v>899</v>
      </c>
      <c r="I4339" s="1">
        <v>45748</v>
      </c>
      <c r="J4339">
        <v>51</v>
      </c>
      <c r="K4339" t="s">
        <v>26</v>
      </c>
    </row>
    <row r="4340" spans="1:11">
      <c r="A4340" s="1">
        <v>45806</v>
      </c>
      <c r="B4340" t="s">
        <v>40</v>
      </c>
      <c r="C4340" t="s">
        <v>48</v>
      </c>
      <c r="D4340">
        <v>4923</v>
      </c>
      <c r="E4340">
        <v>2659</v>
      </c>
      <c r="F4340">
        <v>1254</v>
      </c>
      <c r="G4340">
        <v>618</v>
      </c>
      <c r="H4340">
        <v>9453</v>
      </c>
      <c r="I4340" s="1">
        <v>45778</v>
      </c>
      <c r="J4340">
        <v>1872</v>
      </c>
      <c r="K4340" t="s">
        <v>26</v>
      </c>
    </row>
    <row r="4341" spans="1:11">
      <c r="A4341" s="1">
        <v>45806</v>
      </c>
      <c r="B4341" t="s">
        <v>40</v>
      </c>
      <c r="C4341" t="s">
        <v>65</v>
      </c>
      <c r="D4341">
        <v>948</v>
      </c>
      <c r="E4341">
        <v>386</v>
      </c>
      <c r="F4341">
        <v>147</v>
      </c>
      <c r="G4341">
        <v>78</v>
      </c>
      <c r="H4341">
        <v>1559</v>
      </c>
      <c r="I4341" s="1">
        <v>45778</v>
      </c>
      <c r="J4341">
        <v>225</v>
      </c>
      <c r="K4341" t="s">
        <v>26</v>
      </c>
    </row>
    <row r="4342" spans="1:11">
      <c r="A4342" s="1">
        <v>45806</v>
      </c>
      <c r="B4342" t="s">
        <v>40</v>
      </c>
      <c r="C4342" t="s">
        <v>37</v>
      </c>
      <c r="D4342">
        <v>488</v>
      </c>
      <c r="E4342">
        <v>178</v>
      </c>
      <c r="F4342">
        <v>38</v>
      </c>
      <c r="G4342">
        <v>4</v>
      </c>
      <c r="H4342">
        <v>709</v>
      </c>
      <c r="I4342" s="1">
        <v>45778</v>
      </c>
      <c r="J4342">
        <v>42</v>
      </c>
      <c r="K4342" t="s">
        <v>26</v>
      </c>
    </row>
    <row r="4343" spans="1:11">
      <c r="A4343" s="1">
        <v>45806</v>
      </c>
      <c r="B4343" t="s">
        <v>40</v>
      </c>
      <c r="C4343" t="s">
        <v>66</v>
      </c>
      <c r="D4343">
        <v>6076</v>
      </c>
      <c r="E4343">
        <v>3005</v>
      </c>
      <c r="F4343">
        <v>1078</v>
      </c>
      <c r="G4343">
        <v>1477</v>
      </c>
      <c r="H4343">
        <v>11636</v>
      </c>
      <c r="I4343" s="1">
        <v>45778</v>
      </c>
      <c r="J4343">
        <v>2555</v>
      </c>
      <c r="K4343" t="s">
        <v>26</v>
      </c>
    </row>
    <row r="4344" spans="1:11">
      <c r="A4344" s="1">
        <v>45806</v>
      </c>
      <c r="B4344" t="s">
        <v>40</v>
      </c>
      <c r="C4344" t="s">
        <v>57</v>
      </c>
      <c r="D4344">
        <v>1744</v>
      </c>
      <c r="E4344">
        <v>346</v>
      </c>
      <c r="F4344">
        <v>96</v>
      </c>
      <c r="G4344">
        <v>79</v>
      </c>
      <c r="H4344">
        <v>2264</v>
      </c>
      <c r="I4344" s="1">
        <v>45778</v>
      </c>
      <c r="J4344">
        <v>175</v>
      </c>
      <c r="K4344" t="s">
        <v>26</v>
      </c>
    </row>
    <row r="4345" spans="1:11">
      <c r="A4345" s="1">
        <v>45806</v>
      </c>
      <c r="B4345" t="s">
        <v>40</v>
      </c>
      <c r="C4345" t="s">
        <v>28</v>
      </c>
      <c r="D4345">
        <v>231</v>
      </c>
      <c r="E4345">
        <v>109</v>
      </c>
      <c r="F4345">
        <v>41</v>
      </c>
      <c r="G4345">
        <v>29</v>
      </c>
      <c r="H4345">
        <v>410</v>
      </c>
      <c r="I4345" s="1">
        <v>45778</v>
      </c>
      <c r="J4345">
        <v>70</v>
      </c>
      <c r="K4345" t="s">
        <v>26</v>
      </c>
    </row>
    <row r="4346" spans="1:11">
      <c r="A4346" s="1">
        <v>45806</v>
      </c>
      <c r="B4346" t="s">
        <v>40</v>
      </c>
      <c r="C4346" t="s">
        <v>68</v>
      </c>
      <c r="D4346">
        <v>5827</v>
      </c>
      <c r="E4346">
        <v>1678</v>
      </c>
      <c r="F4346">
        <v>859</v>
      </c>
      <c r="G4346">
        <v>1524</v>
      </c>
      <c r="H4346">
        <v>9888</v>
      </c>
      <c r="I4346" s="1">
        <v>45778</v>
      </c>
      <c r="J4346">
        <v>2383</v>
      </c>
      <c r="K4346" t="s">
        <v>26</v>
      </c>
    </row>
    <row r="4347" spans="1:11">
      <c r="A4347" s="1">
        <v>45806</v>
      </c>
      <c r="B4347" t="s">
        <v>40</v>
      </c>
      <c r="C4347" t="s">
        <v>47</v>
      </c>
      <c r="D4347">
        <v>948</v>
      </c>
      <c r="E4347">
        <v>148</v>
      </c>
      <c r="F4347">
        <v>27</v>
      </c>
      <c r="G4347">
        <v>22</v>
      </c>
      <c r="H4347">
        <v>1145</v>
      </c>
      <c r="I4347" s="1">
        <v>45778</v>
      </c>
      <c r="J4347">
        <v>49</v>
      </c>
      <c r="K4347" t="s">
        <v>26</v>
      </c>
    </row>
    <row r="4348" spans="1:11">
      <c r="A4348" s="1">
        <v>45806</v>
      </c>
      <c r="B4348" t="s">
        <v>40</v>
      </c>
      <c r="C4348" t="s">
        <v>25</v>
      </c>
      <c r="D4348">
        <v>741</v>
      </c>
      <c r="E4348">
        <v>130</v>
      </c>
      <c r="F4348">
        <v>31</v>
      </c>
      <c r="G4348">
        <v>11</v>
      </c>
      <c r="H4348">
        <v>913</v>
      </c>
      <c r="I4348" s="1">
        <v>45778</v>
      </c>
      <c r="J4348">
        <v>42</v>
      </c>
      <c r="K4348" t="s">
        <v>26</v>
      </c>
    </row>
    <row r="4349" spans="1:11">
      <c r="A4349" s="1">
        <v>45806</v>
      </c>
      <c r="B4349" t="s">
        <v>40</v>
      </c>
      <c r="C4349" t="s">
        <v>45</v>
      </c>
      <c r="D4349">
        <v>236</v>
      </c>
      <c r="E4349">
        <v>62</v>
      </c>
      <c r="F4349">
        <v>21</v>
      </c>
      <c r="G4349">
        <v>19</v>
      </c>
      <c r="H4349">
        <v>339</v>
      </c>
      <c r="I4349" s="1">
        <v>45778</v>
      </c>
      <c r="J4349">
        <v>40</v>
      </c>
      <c r="K4349" t="s">
        <v>26</v>
      </c>
    </row>
    <row r="4350" spans="1:11">
      <c r="A4350" s="1">
        <v>45806</v>
      </c>
      <c r="B4350" t="s">
        <v>40</v>
      </c>
      <c r="C4350" t="s">
        <v>39</v>
      </c>
      <c r="D4350">
        <v>221</v>
      </c>
      <c r="E4350">
        <v>100</v>
      </c>
      <c r="F4350">
        <v>11</v>
      </c>
      <c r="G4350">
        <v>3</v>
      </c>
      <c r="H4350">
        <v>335</v>
      </c>
      <c r="I4350" s="1">
        <v>45778</v>
      </c>
      <c r="J4350">
        <v>14</v>
      </c>
      <c r="K4350" t="s">
        <v>26</v>
      </c>
    </row>
    <row r="4351" spans="1:11">
      <c r="A4351" s="1">
        <v>45806</v>
      </c>
      <c r="B4351" t="s">
        <v>40</v>
      </c>
      <c r="C4351" t="s">
        <v>54</v>
      </c>
      <c r="D4351">
        <v>1573</v>
      </c>
      <c r="E4351">
        <v>452</v>
      </c>
      <c r="F4351">
        <v>29</v>
      </c>
      <c r="G4351">
        <v>4</v>
      </c>
      <c r="H4351">
        <v>2058</v>
      </c>
      <c r="I4351" s="1">
        <v>45778</v>
      </c>
      <c r="J4351">
        <v>33</v>
      </c>
      <c r="K4351" t="s">
        <v>26</v>
      </c>
    </row>
    <row r="4352" spans="1:11">
      <c r="A4352" s="1">
        <v>45806</v>
      </c>
      <c r="B4352" t="s">
        <v>40</v>
      </c>
      <c r="C4352" t="s">
        <v>52</v>
      </c>
      <c r="D4352">
        <v>595</v>
      </c>
      <c r="E4352">
        <v>278</v>
      </c>
      <c r="F4352">
        <v>138</v>
      </c>
      <c r="G4352">
        <v>21</v>
      </c>
      <c r="H4352">
        <v>1031</v>
      </c>
      <c r="I4352" s="1">
        <v>45778</v>
      </c>
      <c r="J4352">
        <v>159</v>
      </c>
      <c r="K4352" t="s">
        <v>26</v>
      </c>
    </row>
    <row r="4353" spans="1:11">
      <c r="A4353" s="1">
        <v>45806</v>
      </c>
      <c r="B4353" t="s">
        <v>40</v>
      </c>
      <c r="C4353" t="s">
        <v>46</v>
      </c>
      <c r="D4353">
        <v>438</v>
      </c>
      <c r="E4353">
        <v>105</v>
      </c>
      <c r="F4353">
        <v>66</v>
      </c>
      <c r="G4353">
        <v>4</v>
      </c>
      <c r="H4353">
        <v>613</v>
      </c>
      <c r="I4353" s="1">
        <v>45778</v>
      </c>
      <c r="J4353">
        <v>70</v>
      </c>
      <c r="K4353" t="s">
        <v>26</v>
      </c>
    </row>
    <row r="4354" spans="1:11">
      <c r="A4354" s="1">
        <v>45806</v>
      </c>
      <c r="B4354" t="s">
        <v>40</v>
      </c>
      <c r="C4354" t="s">
        <v>31</v>
      </c>
      <c r="D4354">
        <v>394</v>
      </c>
      <c r="E4354">
        <v>132</v>
      </c>
      <c r="F4354">
        <v>57</v>
      </c>
      <c r="G4354">
        <v>69</v>
      </c>
      <c r="H4354">
        <v>652</v>
      </c>
      <c r="I4354" s="1">
        <v>45778</v>
      </c>
      <c r="J4354">
        <v>126</v>
      </c>
      <c r="K4354" t="s">
        <v>26</v>
      </c>
    </row>
    <row r="4355" spans="1:11">
      <c r="A4355" s="1">
        <v>45806</v>
      </c>
      <c r="B4355" t="s">
        <v>40</v>
      </c>
      <c r="C4355" t="s">
        <v>34</v>
      </c>
      <c r="D4355">
        <v>387</v>
      </c>
      <c r="E4355">
        <v>72</v>
      </c>
      <c r="F4355">
        <v>23</v>
      </c>
      <c r="G4355">
        <v>20</v>
      </c>
      <c r="H4355">
        <v>502</v>
      </c>
      <c r="I4355" s="1">
        <v>45778</v>
      </c>
      <c r="J4355">
        <v>43</v>
      </c>
      <c r="K4355" t="s">
        <v>26</v>
      </c>
    </row>
    <row r="4356" spans="1:11">
      <c r="A4356" s="1">
        <v>45806</v>
      </c>
      <c r="B4356" t="s">
        <v>40</v>
      </c>
      <c r="C4356" t="s">
        <v>63</v>
      </c>
      <c r="D4356">
        <v>1942</v>
      </c>
      <c r="E4356">
        <v>418</v>
      </c>
      <c r="F4356">
        <v>331</v>
      </c>
      <c r="G4356">
        <v>212</v>
      </c>
      <c r="H4356">
        <v>2903</v>
      </c>
      <c r="I4356" s="1">
        <v>45778</v>
      </c>
      <c r="J4356">
        <v>543</v>
      </c>
      <c r="K4356" t="s">
        <v>26</v>
      </c>
    </row>
    <row r="4357" spans="1:11">
      <c r="A4357" s="1">
        <v>45806</v>
      </c>
      <c r="B4357" t="s">
        <v>40</v>
      </c>
      <c r="C4357" t="s">
        <v>60</v>
      </c>
      <c r="D4357">
        <v>1891</v>
      </c>
      <c r="E4357">
        <v>729</v>
      </c>
      <c r="F4357">
        <v>334</v>
      </c>
      <c r="G4357">
        <v>214</v>
      </c>
      <c r="H4357">
        <v>3168</v>
      </c>
      <c r="I4357" s="1">
        <v>45778</v>
      </c>
      <c r="J4357">
        <v>548</v>
      </c>
      <c r="K4357" t="s">
        <v>26</v>
      </c>
    </row>
    <row r="4358" spans="1:11">
      <c r="A4358" s="1">
        <v>45806</v>
      </c>
      <c r="B4358" t="s">
        <v>40</v>
      </c>
      <c r="C4358" t="s">
        <v>61</v>
      </c>
      <c r="D4358">
        <v>2565</v>
      </c>
      <c r="E4358">
        <v>752</v>
      </c>
      <c r="F4358">
        <v>439</v>
      </c>
      <c r="G4358">
        <v>547</v>
      </c>
      <c r="H4358">
        <v>4303</v>
      </c>
      <c r="I4358" s="1">
        <v>45778</v>
      </c>
      <c r="J4358">
        <v>986</v>
      </c>
      <c r="K4358" t="s">
        <v>26</v>
      </c>
    </row>
    <row r="4359" spans="1:11">
      <c r="A4359" s="1">
        <v>45806</v>
      </c>
      <c r="B4359" t="s">
        <v>40</v>
      </c>
      <c r="C4359" t="s">
        <v>62</v>
      </c>
      <c r="D4359">
        <v>330</v>
      </c>
      <c r="E4359">
        <v>26</v>
      </c>
      <c r="F4359">
        <v>21</v>
      </c>
      <c r="G4359">
        <v>10</v>
      </c>
      <c r="H4359">
        <v>387</v>
      </c>
      <c r="I4359" s="1">
        <v>45778</v>
      </c>
      <c r="J4359">
        <v>31</v>
      </c>
      <c r="K4359" t="s">
        <v>26</v>
      </c>
    </row>
    <row r="4360" spans="1:11">
      <c r="A4360" s="1">
        <v>45806</v>
      </c>
      <c r="B4360" t="s">
        <v>40</v>
      </c>
      <c r="C4360" t="s">
        <v>69</v>
      </c>
      <c r="D4360">
        <v>2876</v>
      </c>
      <c r="E4360">
        <v>1165</v>
      </c>
      <c r="F4360">
        <v>529</v>
      </c>
      <c r="G4360">
        <v>493</v>
      </c>
      <c r="H4360">
        <v>5062</v>
      </c>
      <c r="I4360" s="1">
        <v>45778</v>
      </c>
      <c r="J4360">
        <v>1022</v>
      </c>
      <c r="K4360" t="s">
        <v>26</v>
      </c>
    </row>
    <row r="4361" spans="1:11">
      <c r="A4361" s="1">
        <v>45806</v>
      </c>
      <c r="B4361" t="s">
        <v>40</v>
      </c>
      <c r="C4361" t="s">
        <v>24</v>
      </c>
      <c r="D4361">
        <v>749</v>
      </c>
      <c r="E4361">
        <v>131</v>
      </c>
      <c r="F4361">
        <v>17</v>
      </c>
      <c r="G4361">
        <v>7</v>
      </c>
      <c r="H4361">
        <v>904</v>
      </c>
      <c r="I4361" s="1">
        <v>45778</v>
      </c>
      <c r="J4361">
        <v>24</v>
      </c>
      <c r="K4361" t="s">
        <v>26</v>
      </c>
    </row>
    <row r="4362" spans="1:11">
      <c r="A4362" s="1">
        <v>45806</v>
      </c>
      <c r="B4362" t="s">
        <v>40</v>
      </c>
      <c r="C4362" t="s">
        <v>29</v>
      </c>
      <c r="D4362">
        <v>504</v>
      </c>
      <c r="E4362">
        <v>142</v>
      </c>
      <c r="F4362">
        <v>57</v>
      </c>
      <c r="G4362">
        <v>64</v>
      </c>
      <c r="H4362">
        <v>766</v>
      </c>
      <c r="I4362" s="1">
        <v>45778</v>
      </c>
      <c r="J4362">
        <v>121</v>
      </c>
      <c r="K4362" t="s">
        <v>26</v>
      </c>
    </row>
    <row r="4363" spans="1:11">
      <c r="A4363" s="1">
        <v>45806</v>
      </c>
      <c r="B4363" t="s">
        <v>40</v>
      </c>
      <c r="C4363" t="s">
        <v>70</v>
      </c>
      <c r="D4363">
        <v>883</v>
      </c>
      <c r="E4363">
        <v>243</v>
      </c>
      <c r="F4363">
        <v>92</v>
      </c>
      <c r="G4363">
        <v>12</v>
      </c>
      <c r="H4363">
        <v>1230</v>
      </c>
      <c r="I4363" s="1">
        <v>45778</v>
      </c>
      <c r="J4363">
        <v>104</v>
      </c>
      <c r="K4363" t="s">
        <v>26</v>
      </c>
    </row>
    <row r="4364" spans="1:11">
      <c r="A4364" s="1">
        <v>45806</v>
      </c>
      <c r="B4364" t="s">
        <v>40</v>
      </c>
      <c r="C4364" t="s">
        <v>71</v>
      </c>
      <c r="D4364">
        <v>2478</v>
      </c>
      <c r="E4364">
        <v>744</v>
      </c>
      <c r="F4364">
        <v>175</v>
      </c>
      <c r="G4364">
        <v>240</v>
      </c>
      <c r="H4364">
        <v>3636</v>
      </c>
      <c r="I4364" s="1">
        <v>45778</v>
      </c>
      <c r="J4364">
        <v>415</v>
      </c>
      <c r="K4364" t="s">
        <v>26</v>
      </c>
    </row>
    <row r="4365" spans="1:11">
      <c r="A4365" s="1">
        <v>45806</v>
      </c>
      <c r="B4365" t="s">
        <v>40</v>
      </c>
      <c r="C4365" t="s">
        <v>36</v>
      </c>
      <c r="D4365">
        <v>2946</v>
      </c>
      <c r="E4365">
        <v>1038</v>
      </c>
      <c r="F4365">
        <v>509</v>
      </c>
      <c r="G4365">
        <v>321</v>
      </c>
      <c r="H4365">
        <v>4814</v>
      </c>
      <c r="I4365" s="1">
        <v>45778</v>
      </c>
      <c r="J4365">
        <v>830</v>
      </c>
      <c r="K4365" t="s">
        <v>26</v>
      </c>
    </row>
    <row r="4366" spans="1:11">
      <c r="A4366" s="1">
        <v>45806</v>
      </c>
      <c r="B4366" t="s">
        <v>40</v>
      </c>
      <c r="C4366" t="s">
        <v>59</v>
      </c>
      <c r="D4366">
        <v>1857</v>
      </c>
      <c r="E4366">
        <v>967</v>
      </c>
      <c r="F4366">
        <v>439</v>
      </c>
      <c r="G4366">
        <v>199</v>
      </c>
      <c r="H4366">
        <v>3462</v>
      </c>
      <c r="I4366" s="1">
        <v>45778</v>
      </c>
      <c r="J4366">
        <v>638</v>
      </c>
      <c r="K4366" t="s">
        <v>26</v>
      </c>
    </row>
    <row r="4367" spans="1:11">
      <c r="A4367" s="1">
        <v>45806</v>
      </c>
      <c r="B4367" t="s">
        <v>40</v>
      </c>
      <c r="C4367" t="s">
        <v>67</v>
      </c>
      <c r="D4367">
        <v>2793</v>
      </c>
      <c r="E4367">
        <v>832</v>
      </c>
      <c r="F4367">
        <v>407</v>
      </c>
      <c r="G4367">
        <v>850</v>
      </c>
      <c r="H4367">
        <v>4882</v>
      </c>
      <c r="I4367" s="1">
        <v>45778</v>
      </c>
      <c r="J4367">
        <v>1257</v>
      </c>
      <c r="K4367" t="s">
        <v>26</v>
      </c>
    </row>
    <row r="4368" spans="1:11">
      <c r="A4368" s="1">
        <v>45806</v>
      </c>
      <c r="B4368" t="s">
        <v>40</v>
      </c>
      <c r="C4368" t="s">
        <v>49</v>
      </c>
      <c r="D4368">
        <v>711</v>
      </c>
      <c r="E4368">
        <v>173</v>
      </c>
      <c r="F4368">
        <v>26</v>
      </c>
      <c r="G4368">
        <v>24</v>
      </c>
      <c r="H4368">
        <v>934</v>
      </c>
      <c r="I4368" s="1">
        <v>45778</v>
      </c>
      <c r="J4368">
        <v>50</v>
      </c>
      <c r="K4368" t="s">
        <v>26</v>
      </c>
    </row>
    <row r="4369" spans="1:11">
      <c r="A4369" s="1">
        <v>45834</v>
      </c>
      <c r="B4369" t="s">
        <v>40</v>
      </c>
      <c r="C4369" t="s">
        <v>48</v>
      </c>
      <c r="D4369">
        <v>4849</v>
      </c>
      <c r="E4369">
        <v>2580</v>
      </c>
      <c r="F4369">
        <v>1384</v>
      </c>
      <c r="G4369">
        <v>674</v>
      </c>
      <c r="H4369">
        <v>9487</v>
      </c>
      <c r="I4369" s="1">
        <v>45809</v>
      </c>
      <c r="J4369">
        <v>2058</v>
      </c>
      <c r="K4369" t="s">
        <v>26</v>
      </c>
    </row>
    <row r="4370" spans="1:11">
      <c r="A4370" s="1">
        <v>45834</v>
      </c>
      <c r="B4370" t="s">
        <v>40</v>
      </c>
      <c r="C4370" t="s">
        <v>65</v>
      </c>
      <c r="D4370">
        <v>947</v>
      </c>
      <c r="E4370">
        <v>363</v>
      </c>
      <c r="F4370">
        <v>131</v>
      </c>
      <c r="G4370">
        <v>53</v>
      </c>
      <c r="H4370">
        <v>1494</v>
      </c>
      <c r="I4370" s="1">
        <v>45809</v>
      </c>
      <c r="J4370">
        <v>184</v>
      </c>
      <c r="K4370" t="s">
        <v>26</v>
      </c>
    </row>
    <row r="4371" spans="1:11">
      <c r="A4371" s="1">
        <v>45834</v>
      </c>
      <c r="B4371" t="s">
        <v>40</v>
      </c>
      <c r="C4371" t="s">
        <v>66</v>
      </c>
      <c r="D4371">
        <v>5891</v>
      </c>
      <c r="E4371">
        <v>3143</v>
      </c>
      <c r="F4371">
        <v>1282</v>
      </c>
      <c r="G4371">
        <v>1487</v>
      </c>
      <c r="H4371">
        <v>11803</v>
      </c>
      <c r="I4371" s="1">
        <v>45809</v>
      </c>
      <c r="J4371">
        <v>2769</v>
      </c>
      <c r="K4371" t="s">
        <v>26</v>
      </c>
    </row>
    <row r="4372" spans="1:11">
      <c r="A4372" s="1">
        <v>45834</v>
      </c>
      <c r="B4372" t="s">
        <v>40</v>
      </c>
      <c r="C4372" t="s">
        <v>57</v>
      </c>
      <c r="D4372">
        <v>1622</v>
      </c>
      <c r="E4372">
        <v>347</v>
      </c>
      <c r="F4372">
        <v>84</v>
      </c>
      <c r="G4372">
        <v>73</v>
      </c>
      <c r="H4372">
        <v>2126</v>
      </c>
      <c r="I4372" s="1">
        <v>45809</v>
      </c>
      <c r="J4372">
        <v>157</v>
      </c>
      <c r="K4372" t="s">
        <v>26</v>
      </c>
    </row>
    <row r="4373" spans="1:11">
      <c r="A4373" s="1">
        <v>45834</v>
      </c>
      <c r="B4373" t="s">
        <v>40</v>
      </c>
      <c r="C4373" t="s">
        <v>28</v>
      </c>
      <c r="D4373">
        <v>214</v>
      </c>
      <c r="E4373">
        <v>104</v>
      </c>
      <c r="F4373">
        <v>41</v>
      </c>
      <c r="G4373">
        <v>26</v>
      </c>
      <c r="H4373">
        <v>385</v>
      </c>
      <c r="I4373" s="1">
        <v>45809</v>
      </c>
      <c r="J4373">
        <v>67</v>
      </c>
      <c r="K4373" t="s">
        <v>26</v>
      </c>
    </row>
    <row r="4374" spans="1:11">
      <c r="A4374" s="1">
        <v>45834</v>
      </c>
      <c r="B4374" t="s">
        <v>40</v>
      </c>
      <c r="C4374" t="s">
        <v>68</v>
      </c>
      <c r="D4374">
        <v>5799</v>
      </c>
      <c r="E4374">
        <v>1673</v>
      </c>
      <c r="F4374">
        <v>912</v>
      </c>
      <c r="G4374">
        <v>1500</v>
      </c>
      <c r="H4374">
        <v>9884</v>
      </c>
      <c r="I4374" s="1">
        <v>45809</v>
      </c>
      <c r="J4374">
        <v>2412</v>
      </c>
      <c r="K4374" t="s">
        <v>26</v>
      </c>
    </row>
    <row r="4375" spans="1:11">
      <c r="A4375" s="1">
        <v>45834</v>
      </c>
      <c r="B4375" t="s">
        <v>40</v>
      </c>
      <c r="C4375" t="s">
        <v>47</v>
      </c>
      <c r="D4375">
        <v>905</v>
      </c>
      <c r="E4375">
        <v>128</v>
      </c>
      <c r="F4375">
        <v>30</v>
      </c>
      <c r="G4375">
        <v>19</v>
      </c>
      <c r="H4375">
        <v>1082</v>
      </c>
      <c r="I4375" s="1">
        <v>45809</v>
      </c>
      <c r="J4375">
        <v>49</v>
      </c>
      <c r="K4375" t="s">
        <v>26</v>
      </c>
    </row>
    <row r="4376" spans="1:11">
      <c r="A4376" s="1">
        <v>45834</v>
      </c>
      <c r="B4376" t="s">
        <v>40</v>
      </c>
      <c r="C4376" t="s">
        <v>25</v>
      </c>
      <c r="D4376">
        <v>710</v>
      </c>
      <c r="E4376">
        <v>172</v>
      </c>
      <c r="F4376">
        <v>38</v>
      </c>
      <c r="G4376">
        <v>12</v>
      </c>
      <c r="H4376">
        <v>931</v>
      </c>
      <c r="I4376" s="1">
        <v>45809</v>
      </c>
      <c r="J4376">
        <v>50</v>
      </c>
      <c r="K4376" t="s">
        <v>26</v>
      </c>
    </row>
    <row r="4377" spans="1:11">
      <c r="A4377" s="1">
        <v>45834</v>
      </c>
      <c r="B4377" t="s">
        <v>40</v>
      </c>
      <c r="C4377" t="s">
        <v>45</v>
      </c>
      <c r="D4377">
        <v>194</v>
      </c>
      <c r="E4377">
        <v>48</v>
      </c>
      <c r="F4377">
        <v>14</v>
      </c>
      <c r="G4377">
        <v>10</v>
      </c>
      <c r="H4377">
        <v>267</v>
      </c>
      <c r="I4377" s="1">
        <v>45809</v>
      </c>
      <c r="J4377">
        <v>24</v>
      </c>
      <c r="K4377" t="s">
        <v>26</v>
      </c>
    </row>
    <row r="4378" spans="1:11">
      <c r="A4378" s="1">
        <v>45834</v>
      </c>
      <c r="B4378" t="s">
        <v>40</v>
      </c>
      <c r="C4378" t="s">
        <v>54</v>
      </c>
      <c r="D4378">
        <v>1790</v>
      </c>
      <c r="E4378">
        <v>477</v>
      </c>
      <c r="F4378">
        <v>41</v>
      </c>
      <c r="G4378">
        <v>1</v>
      </c>
      <c r="H4378">
        <v>2309</v>
      </c>
      <c r="I4378" s="1">
        <v>45809</v>
      </c>
      <c r="J4378">
        <v>42</v>
      </c>
      <c r="K4378" t="s">
        <v>26</v>
      </c>
    </row>
    <row r="4379" spans="1:11">
      <c r="A4379" s="1">
        <v>45834</v>
      </c>
      <c r="B4379" t="s">
        <v>40</v>
      </c>
      <c r="C4379" t="s">
        <v>52</v>
      </c>
      <c r="D4379">
        <v>568</v>
      </c>
      <c r="E4379">
        <v>307</v>
      </c>
      <c r="F4379">
        <v>142</v>
      </c>
      <c r="G4379">
        <v>30</v>
      </c>
      <c r="H4379">
        <v>1047</v>
      </c>
      <c r="I4379" s="1">
        <v>45809</v>
      </c>
      <c r="J4379">
        <v>172</v>
      </c>
      <c r="K4379" t="s">
        <v>26</v>
      </c>
    </row>
    <row r="4380" spans="1:11">
      <c r="A4380" s="1">
        <v>45834</v>
      </c>
      <c r="B4380" t="s">
        <v>40</v>
      </c>
      <c r="C4380" t="s">
        <v>46</v>
      </c>
      <c r="D4380">
        <v>391</v>
      </c>
      <c r="E4380">
        <v>98</v>
      </c>
      <c r="F4380">
        <v>58</v>
      </c>
      <c r="G4380">
        <v>3</v>
      </c>
      <c r="H4380">
        <v>550</v>
      </c>
      <c r="I4380" s="1">
        <v>45809</v>
      </c>
      <c r="J4380">
        <v>61</v>
      </c>
      <c r="K4380" t="s">
        <v>26</v>
      </c>
    </row>
    <row r="4381" spans="1:11">
      <c r="A4381" s="1">
        <v>45834</v>
      </c>
      <c r="B4381" t="s">
        <v>40</v>
      </c>
      <c r="C4381" t="s">
        <v>31</v>
      </c>
      <c r="D4381">
        <v>395</v>
      </c>
      <c r="E4381">
        <v>108</v>
      </c>
      <c r="F4381">
        <v>46</v>
      </c>
      <c r="G4381">
        <v>71</v>
      </c>
      <c r="H4381">
        <v>621</v>
      </c>
      <c r="I4381" s="1">
        <v>45809</v>
      </c>
      <c r="J4381">
        <v>117</v>
      </c>
      <c r="K4381" t="s">
        <v>26</v>
      </c>
    </row>
    <row r="4382" spans="1:11">
      <c r="A4382" s="1">
        <v>45834</v>
      </c>
      <c r="B4382" t="s">
        <v>40</v>
      </c>
      <c r="C4382" t="s">
        <v>34</v>
      </c>
      <c r="D4382">
        <v>399</v>
      </c>
      <c r="E4382">
        <v>67</v>
      </c>
      <c r="F4382">
        <v>24</v>
      </c>
      <c r="G4382">
        <v>16</v>
      </c>
      <c r="H4382">
        <v>506</v>
      </c>
      <c r="I4382" s="1">
        <v>45809</v>
      </c>
      <c r="J4382">
        <v>40</v>
      </c>
      <c r="K4382" t="s">
        <v>26</v>
      </c>
    </row>
    <row r="4383" spans="1:11">
      <c r="A4383" s="1">
        <v>45834</v>
      </c>
      <c r="B4383" t="s">
        <v>40</v>
      </c>
      <c r="C4383" t="s">
        <v>63</v>
      </c>
      <c r="D4383">
        <v>2111</v>
      </c>
      <c r="E4383">
        <v>434</v>
      </c>
      <c r="F4383">
        <v>316</v>
      </c>
      <c r="G4383">
        <v>237</v>
      </c>
      <c r="H4383">
        <v>3098</v>
      </c>
      <c r="I4383" s="1">
        <v>45809</v>
      </c>
      <c r="J4383">
        <v>553</v>
      </c>
      <c r="K4383" t="s">
        <v>26</v>
      </c>
    </row>
    <row r="4384" spans="1:11">
      <c r="A4384" s="1">
        <v>45834</v>
      </c>
      <c r="B4384" t="s">
        <v>40</v>
      </c>
      <c r="C4384" t="s">
        <v>60</v>
      </c>
      <c r="D4384">
        <v>1844</v>
      </c>
      <c r="E4384">
        <v>684</v>
      </c>
      <c r="F4384">
        <v>330</v>
      </c>
      <c r="G4384">
        <v>241</v>
      </c>
      <c r="H4384">
        <v>3099</v>
      </c>
      <c r="I4384" s="1">
        <v>45809</v>
      </c>
      <c r="J4384">
        <v>571</v>
      </c>
      <c r="K4384" t="s">
        <v>26</v>
      </c>
    </row>
    <row r="4385" spans="1:11">
      <c r="A4385" s="1">
        <v>45834</v>
      </c>
      <c r="B4385" t="s">
        <v>40</v>
      </c>
      <c r="C4385" t="s">
        <v>61</v>
      </c>
      <c r="D4385">
        <v>2726</v>
      </c>
      <c r="E4385">
        <v>727</v>
      </c>
      <c r="F4385">
        <v>456</v>
      </c>
      <c r="G4385">
        <v>564</v>
      </c>
      <c r="H4385">
        <v>4473</v>
      </c>
      <c r="I4385" s="1">
        <v>45809</v>
      </c>
      <c r="J4385">
        <v>1020</v>
      </c>
      <c r="K4385" t="s">
        <v>26</v>
      </c>
    </row>
    <row r="4386" spans="1:11">
      <c r="A4386" s="1">
        <v>45834</v>
      </c>
      <c r="B4386" t="s">
        <v>40</v>
      </c>
      <c r="C4386" t="s">
        <v>62</v>
      </c>
      <c r="D4386">
        <v>323</v>
      </c>
      <c r="E4386">
        <v>34</v>
      </c>
      <c r="F4386">
        <v>15</v>
      </c>
      <c r="G4386">
        <v>18</v>
      </c>
      <c r="H4386">
        <v>390</v>
      </c>
      <c r="I4386" s="1">
        <v>45809</v>
      </c>
      <c r="J4386">
        <v>33</v>
      </c>
      <c r="K4386" t="s">
        <v>26</v>
      </c>
    </row>
    <row r="4387" spans="1:11">
      <c r="A4387" s="1">
        <v>45834</v>
      </c>
      <c r="B4387" t="s">
        <v>40</v>
      </c>
      <c r="C4387" t="s">
        <v>69</v>
      </c>
      <c r="D4387">
        <v>2892</v>
      </c>
      <c r="E4387">
        <v>1205</v>
      </c>
      <c r="F4387">
        <v>571</v>
      </c>
      <c r="G4387">
        <v>516</v>
      </c>
      <c r="H4387">
        <v>5184</v>
      </c>
      <c r="I4387" s="1">
        <v>45809</v>
      </c>
      <c r="J4387">
        <v>1087</v>
      </c>
      <c r="K4387" t="s">
        <v>26</v>
      </c>
    </row>
    <row r="4388" spans="1:11">
      <c r="A4388" s="1">
        <v>45834</v>
      </c>
      <c r="B4388" t="s">
        <v>40</v>
      </c>
      <c r="C4388" t="s">
        <v>24</v>
      </c>
      <c r="D4388">
        <v>720</v>
      </c>
      <c r="E4388">
        <v>126</v>
      </c>
      <c r="F4388">
        <v>8</v>
      </c>
      <c r="G4388">
        <v>5</v>
      </c>
      <c r="H4388">
        <v>859</v>
      </c>
      <c r="I4388" s="1">
        <v>45809</v>
      </c>
      <c r="J4388">
        <v>13</v>
      </c>
      <c r="K4388" t="s">
        <v>26</v>
      </c>
    </row>
    <row r="4389" spans="1:11">
      <c r="A4389" s="1">
        <v>45834</v>
      </c>
      <c r="B4389" t="s">
        <v>40</v>
      </c>
      <c r="C4389" t="s">
        <v>29</v>
      </c>
      <c r="D4389">
        <v>575</v>
      </c>
      <c r="E4389">
        <v>148</v>
      </c>
      <c r="F4389">
        <v>58</v>
      </c>
      <c r="G4389">
        <v>65</v>
      </c>
      <c r="H4389">
        <v>846</v>
      </c>
      <c r="I4389" s="1">
        <v>45809</v>
      </c>
      <c r="J4389">
        <v>123</v>
      </c>
      <c r="K4389" t="s">
        <v>26</v>
      </c>
    </row>
    <row r="4390" spans="1:11">
      <c r="A4390" s="1">
        <v>45834</v>
      </c>
      <c r="B4390" t="s">
        <v>40</v>
      </c>
      <c r="C4390" t="s">
        <v>70</v>
      </c>
      <c r="D4390">
        <v>800</v>
      </c>
      <c r="E4390">
        <v>276</v>
      </c>
      <c r="F4390">
        <v>92</v>
      </c>
      <c r="G4390">
        <v>19</v>
      </c>
      <c r="H4390">
        <v>1187</v>
      </c>
      <c r="I4390" s="1">
        <v>45809</v>
      </c>
      <c r="J4390">
        <v>111</v>
      </c>
      <c r="K4390" t="s">
        <v>26</v>
      </c>
    </row>
    <row r="4391" spans="1:11">
      <c r="A4391" s="1">
        <v>45834</v>
      </c>
      <c r="B4391" t="s">
        <v>40</v>
      </c>
      <c r="C4391" t="s">
        <v>71</v>
      </c>
      <c r="D4391">
        <v>2501</v>
      </c>
      <c r="E4391">
        <v>765</v>
      </c>
      <c r="F4391">
        <v>203</v>
      </c>
      <c r="G4391">
        <v>222</v>
      </c>
      <c r="H4391">
        <v>3690</v>
      </c>
      <c r="I4391" s="1">
        <v>45809</v>
      </c>
      <c r="J4391">
        <v>425</v>
      </c>
      <c r="K4391" t="s">
        <v>26</v>
      </c>
    </row>
    <row r="4392" spans="1:11">
      <c r="A4392" s="1">
        <v>45834</v>
      </c>
      <c r="B4392" t="s">
        <v>40</v>
      </c>
      <c r="C4392" t="s">
        <v>36</v>
      </c>
      <c r="D4392">
        <v>2978</v>
      </c>
      <c r="E4392">
        <v>1039</v>
      </c>
      <c r="F4392">
        <v>530</v>
      </c>
      <c r="G4392">
        <v>343</v>
      </c>
      <c r="H4392">
        <v>4890</v>
      </c>
      <c r="I4392" s="1">
        <v>45809</v>
      </c>
      <c r="J4392">
        <v>873</v>
      </c>
      <c r="K4392" t="s">
        <v>26</v>
      </c>
    </row>
    <row r="4393" spans="1:11">
      <c r="A4393" s="1">
        <v>45834</v>
      </c>
      <c r="B4393" t="s">
        <v>40</v>
      </c>
      <c r="C4393" t="s">
        <v>32</v>
      </c>
      <c r="D4393">
        <v>396</v>
      </c>
      <c r="E4393">
        <v>42</v>
      </c>
      <c r="F4393">
        <v>15</v>
      </c>
      <c r="G4393">
        <v>1</v>
      </c>
      <c r="H4393">
        <v>454</v>
      </c>
      <c r="I4393" s="1">
        <v>45809</v>
      </c>
      <c r="J4393">
        <v>16</v>
      </c>
      <c r="K4393" t="s">
        <v>26</v>
      </c>
    </row>
    <row r="4394" spans="1:11">
      <c r="A4394" s="1">
        <v>45834</v>
      </c>
      <c r="B4394" t="s">
        <v>40</v>
      </c>
      <c r="C4394" t="s">
        <v>59</v>
      </c>
      <c r="D4394">
        <v>1770</v>
      </c>
      <c r="E4394">
        <v>929</v>
      </c>
      <c r="F4394">
        <v>450</v>
      </c>
      <c r="G4394">
        <v>232</v>
      </c>
      <c r="H4394">
        <v>3381</v>
      </c>
      <c r="I4394" s="1">
        <v>45809</v>
      </c>
      <c r="J4394">
        <v>682</v>
      </c>
      <c r="K4394" t="s">
        <v>26</v>
      </c>
    </row>
    <row r="4395" spans="1:11">
      <c r="A4395" s="1">
        <v>45834</v>
      </c>
      <c r="B4395" t="s">
        <v>40</v>
      </c>
      <c r="C4395" t="s">
        <v>67</v>
      </c>
      <c r="D4395">
        <v>2801</v>
      </c>
      <c r="E4395">
        <v>827</v>
      </c>
      <c r="F4395">
        <v>368</v>
      </c>
      <c r="G4395">
        <v>839</v>
      </c>
      <c r="H4395">
        <v>4835</v>
      </c>
      <c r="I4395" s="1">
        <v>45809</v>
      </c>
      <c r="J4395">
        <v>1207</v>
      </c>
      <c r="K4395" t="s">
        <v>26</v>
      </c>
    </row>
    <row r="4396" spans="1:11">
      <c r="A4396" s="1">
        <v>45834</v>
      </c>
      <c r="B4396" t="s">
        <v>40</v>
      </c>
      <c r="C4396" t="s">
        <v>49</v>
      </c>
      <c r="D4396">
        <v>691</v>
      </c>
      <c r="E4396">
        <v>222</v>
      </c>
      <c r="F4396">
        <v>23</v>
      </c>
      <c r="G4396">
        <v>20</v>
      </c>
      <c r="H4396">
        <v>956</v>
      </c>
      <c r="I4396" s="1">
        <v>45809</v>
      </c>
      <c r="J4396">
        <v>43</v>
      </c>
      <c r="K4396" t="s">
        <v>26</v>
      </c>
    </row>
    <row r="4397" spans="1:11">
      <c r="A4397" s="1">
        <v>45869</v>
      </c>
      <c r="B4397" t="s">
        <v>40</v>
      </c>
      <c r="C4397" t="s">
        <v>48</v>
      </c>
      <c r="D4397">
        <v>5134</v>
      </c>
      <c r="E4397">
        <v>2392</v>
      </c>
      <c r="F4397">
        <v>1417</v>
      </c>
      <c r="G4397">
        <v>762</v>
      </c>
      <c r="H4397">
        <v>9705</v>
      </c>
      <c r="I4397" s="1">
        <v>45839</v>
      </c>
      <c r="J4397">
        <v>2179</v>
      </c>
      <c r="K4397" t="s">
        <v>26</v>
      </c>
    </row>
    <row r="4398" spans="1:11">
      <c r="A4398" s="1">
        <v>45869</v>
      </c>
      <c r="B4398" t="s">
        <v>40</v>
      </c>
      <c r="C4398" t="s">
        <v>65</v>
      </c>
      <c r="D4398">
        <v>1000</v>
      </c>
      <c r="E4398">
        <v>362</v>
      </c>
      <c r="F4398">
        <v>121</v>
      </c>
      <c r="G4398">
        <v>61</v>
      </c>
      <c r="H4398">
        <v>1543</v>
      </c>
      <c r="I4398" s="1">
        <v>45839</v>
      </c>
      <c r="J4398">
        <v>182</v>
      </c>
      <c r="K4398" t="s">
        <v>26</v>
      </c>
    </row>
    <row r="4399" spans="1:11">
      <c r="A4399" s="1">
        <v>45869</v>
      </c>
      <c r="B4399" t="s">
        <v>40</v>
      </c>
      <c r="C4399" t="s">
        <v>66</v>
      </c>
      <c r="D4399">
        <v>5920</v>
      </c>
      <c r="E4399">
        <v>2761</v>
      </c>
      <c r="F4399">
        <v>1351</v>
      </c>
      <c r="G4399">
        <v>1535</v>
      </c>
      <c r="H4399">
        <v>11567</v>
      </c>
      <c r="I4399" s="1">
        <v>45839</v>
      </c>
      <c r="J4399">
        <v>2886</v>
      </c>
      <c r="K4399" t="s">
        <v>26</v>
      </c>
    </row>
    <row r="4400" spans="1:11">
      <c r="A4400" s="1">
        <v>45869</v>
      </c>
      <c r="B4400" t="s">
        <v>40</v>
      </c>
      <c r="C4400" t="s">
        <v>57</v>
      </c>
      <c r="D4400">
        <v>1544</v>
      </c>
      <c r="E4400">
        <v>296</v>
      </c>
      <c r="F4400">
        <v>69</v>
      </c>
      <c r="G4400">
        <v>67</v>
      </c>
      <c r="H4400">
        <v>1975</v>
      </c>
      <c r="I4400" s="1">
        <v>45839</v>
      </c>
      <c r="J4400">
        <v>136</v>
      </c>
      <c r="K4400" t="s">
        <v>26</v>
      </c>
    </row>
    <row r="4401" spans="1:11">
      <c r="A4401" s="1">
        <v>45869</v>
      </c>
      <c r="B4401" t="s">
        <v>40</v>
      </c>
      <c r="C4401" t="s">
        <v>28</v>
      </c>
      <c r="D4401">
        <v>267</v>
      </c>
      <c r="E4401">
        <v>90</v>
      </c>
      <c r="F4401">
        <v>26</v>
      </c>
      <c r="G4401">
        <v>12</v>
      </c>
      <c r="H4401">
        <v>396</v>
      </c>
      <c r="I4401" s="1">
        <v>45839</v>
      </c>
      <c r="J4401">
        <v>38</v>
      </c>
      <c r="K4401" t="s">
        <v>26</v>
      </c>
    </row>
    <row r="4402" spans="1:11">
      <c r="A4402" s="1">
        <v>45869</v>
      </c>
      <c r="B4402" t="s">
        <v>40</v>
      </c>
      <c r="C4402" t="s">
        <v>68</v>
      </c>
      <c r="D4402">
        <v>5882</v>
      </c>
      <c r="E4402">
        <v>1600</v>
      </c>
      <c r="F4402">
        <v>950</v>
      </c>
      <c r="G4402">
        <v>1454</v>
      </c>
      <c r="H4402">
        <v>9886</v>
      </c>
      <c r="I4402" s="1">
        <v>45839</v>
      </c>
      <c r="J4402">
        <v>2404</v>
      </c>
      <c r="K4402" t="s">
        <v>26</v>
      </c>
    </row>
    <row r="4403" spans="1:11">
      <c r="A4403" s="1">
        <v>45869</v>
      </c>
      <c r="B4403" t="s">
        <v>40</v>
      </c>
      <c r="C4403" t="s">
        <v>47</v>
      </c>
      <c r="D4403">
        <v>958</v>
      </c>
      <c r="E4403">
        <v>114</v>
      </c>
      <c r="F4403">
        <v>21</v>
      </c>
      <c r="G4403">
        <v>16</v>
      </c>
      <c r="H4403">
        <v>1109</v>
      </c>
      <c r="I4403" s="1">
        <v>45839</v>
      </c>
      <c r="J4403">
        <v>37</v>
      </c>
      <c r="K4403" t="s">
        <v>26</v>
      </c>
    </row>
    <row r="4404" spans="1:11">
      <c r="A4404" s="1">
        <v>45869</v>
      </c>
      <c r="B4404" t="s">
        <v>40</v>
      </c>
      <c r="C4404" t="s">
        <v>25</v>
      </c>
      <c r="D4404">
        <v>740</v>
      </c>
      <c r="E4404">
        <v>166</v>
      </c>
      <c r="F4404">
        <v>30</v>
      </c>
      <c r="G4404">
        <v>12</v>
      </c>
      <c r="H4404">
        <v>948</v>
      </c>
      <c r="I4404" s="1">
        <v>45839</v>
      </c>
      <c r="J4404">
        <v>42</v>
      </c>
      <c r="K4404" t="s">
        <v>26</v>
      </c>
    </row>
    <row r="4405" spans="1:11">
      <c r="A4405" s="1">
        <v>45869</v>
      </c>
      <c r="B4405" t="s">
        <v>40</v>
      </c>
      <c r="C4405" t="s">
        <v>45</v>
      </c>
      <c r="D4405">
        <v>251</v>
      </c>
      <c r="E4405">
        <v>52</v>
      </c>
      <c r="F4405">
        <v>14</v>
      </c>
      <c r="G4405">
        <v>11</v>
      </c>
      <c r="H4405">
        <v>327</v>
      </c>
      <c r="I4405" s="1">
        <v>45839</v>
      </c>
      <c r="J4405">
        <v>25</v>
      </c>
      <c r="K4405" t="s">
        <v>26</v>
      </c>
    </row>
    <row r="4406" spans="1:11">
      <c r="A4406" s="1">
        <v>45869</v>
      </c>
      <c r="B4406" t="s">
        <v>40</v>
      </c>
      <c r="C4406" t="s">
        <v>54</v>
      </c>
      <c r="D4406">
        <v>1921</v>
      </c>
      <c r="E4406">
        <v>446</v>
      </c>
      <c r="F4406">
        <v>49</v>
      </c>
      <c r="G4406">
        <v>1</v>
      </c>
      <c r="H4406">
        <v>2417</v>
      </c>
      <c r="I4406" s="1">
        <v>45839</v>
      </c>
      <c r="J4406">
        <v>50</v>
      </c>
      <c r="K4406" t="s">
        <v>26</v>
      </c>
    </row>
    <row r="4407" spans="1:11">
      <c r="A4407" s="1">
        <v>45869</v>
      </c>
      <c r="B4407" t="s">
        <v>40</v>
      </c>
      <c r="C4407" t="s">
        <v>52</v>
      </c>
      <c r="D4407">
        <v>553</v>
      </c>
      <c r="E4407">
        <v>282</v>
      </c>
      <c r="F4407">
        <v>139</v>
      </c>
      <c r="G4407">
        <v>51</v>
      </c>
      <c r="H4407">
        <v>1025</v>
      </c>
      <c r="I4407" s="1">
        <v>45839</v>
      </c>
      <c r="J4407">
        <v>190</v>
      </c>
      <c r="K4407" t="s">
        <v>26</v>
      </c>
    </row>
    <row r="4408" spans="1:11">
      <c r="A4408" s="1">
        <v>45869</v>
      </c>
      <c r="B4408" t="s">
        <v>40</v>
      </c>
      <c r="C4408" t="s">
        <v>46</v>
      </c>
      <c r="D4408">
        <v>370</v>
      </c>
      <c r="E4408">
        <v>105</v>
      </c>
      <c r="F4408">
        <v>59</v>
      </c>
      <c r="G4408">
        <v>9</v>
      </c>
      <c r="H4408">
        <v>543</v>
      </c>
      <c r="I4408" s="1">
        <v>45839</v>
      </c>
      <c r="J4408">
        <v>68</v>
      </c>
      <c r="K4408" t="s">
        <v>26</v>
      </c>
    </row>
    <row r="4409" spans="1:11">
      <c r="A4409" s="1">
        <v>45869</v>
      </c>
      <c r="B4409" t="s">
        <v>40</v>
      </c>
      <c r="C4409" t="s">
        <v>31</v>
      </c>
      <c r="D4409">
        <v>345</v>
      </c>
      <c r="E4409">
        <v>71</v>
      </c>
      <c r="F4409">
        <v>43</v>
      </c>
      <c r="G4409">
        <v>79</v>
      </c>
      <c r="H4409">
        <v>538</v>
      </c>
      <c r="I4409" s="1">
        <v>45839</v>
      </c>
      <c r="J4409">
        <v>122</v>
      </c>
      <c r="K4409" t="s">
        <v>26</v>
      </c>
    </row>
    <row r="4410" spans="1:11">
      <c r="A4410" s="1">
        <v>45869</v>
      </c>
      <c r="B4410" t="s">
        <v>40</v>
      </c>
      <c r="C4410" t="s">
        <v>34</v>
      </c>
      <c r="D4410">
        <v>412</v>
      </c>
      <c r="E4410">
        <v>66</v>
      </c>
      <c r="F4410">
        <v>16</v>
      </c>
      <c r="G4410">
        <v>16</v>
      </c>
      <c r="H4410">
        <v>510</v>
      </c>
      <c r="I4410" s="1">
        <v>45839</v>
      </c>
      <c r="J4410">
        <v>32</v>
      </c>
      <c r="K4410" t="s">
        <v>26</v>
      </c>
    </row>
    <row r="4411" spans="1:11">
      <c r="A4411" s="1">
        <v>45869</v>
      </c>
      <c r="B4411" t="s">
        <v>40</v>
      </c>
      <c r="C4411" t="s">
        <v>63</v>
      </c>
      <c r="D4411">
        <v>2145</v>
      </c>
      <c r="E4411">
        <v>400</v>
      </c>
      <c r="F4411">
        <v>292</v>
      </c>
      <c r="G4411">
        <v>242</v>
      </c>
      <c r="H4411">
        <v>3079</v>
      </c>
      <c r="I4411" s="1">
        <v>45839</v>
      </c>
      <c r="J4411">
        <v>534</v>
      </c>
      <c r="K4411" t="s">
        <v>26</v>
      </c>
    </row>
    <row r="4412" spans="1:11">
      <c r="A4412" s="1">
        <v>45869</v>
      </c>
      <c r="B4412" t="s">
        <v>40</v>
      </c>
      <c r="C4412" t="s">
        <v>60</v>
      </c>
      <c r="D4412">
        <v>1774</v>
      </c>
      <c r="E4412">
        <v>538</v>
      </c>
      <c r="F4412">
        <v>304</v>
      </c>
      <c r="G4412">
        <v>268</v>
      </c>
      <c r="H4412">
        <v>2883</v>
      </c>
      <c r="I4412" s="1">
        <v>45839</v>
      </c>
      <c r="J4412">
        <v>572</v>
      </c>
      <c r="K4412" t="s">
        <v>26</v>
      </c>
    </row>
    <row r="4413" spans="1:11">
      <c r="A4413" s="1">
        <v>45869</v>
      </c>
      <c r="B4413" t="s">
        <v>40</v>
      </c>
      <c r="C4413" t="s">
        <v>61</v>
      </c>
      <c r="D4413">
        <v>2699</v>
      </c>
      <c r="E4413">
        <v>739</v>
      </c>
      <c r="F4413">
        <v>490</v>
      </c>
      <c r="G4413">
        <v>549</v>
      </c>
      <c r="H4413">
        <v>4476</v>
      </c>
      <c r="I4413" s="1">
        <v>45839</v>
      </c>
      <c r="J4413">
        <v>1039</v>
      </c>
      <c r="K4413" t="s">
        <v>26</v>
      </c>
    </row>
    <row r="4414" spans="1:11">
      <c r="A4414" s="1">
        <v>45869</v>
      </c>
      <c r="B4414" t="s">
        <v>40</v>
      </c>
      <c r="C4414" t="s">
        <v>62</v>
      </c>
      <c r="D4414">
        <v>291</v>
      </c>
      <c r="E4414">
        <v>47</v>
      </c>
      <c r="F4414">
        <v>13</v>
      </c>
      <c r="G4414">
        <v>19</v>
      </c>
      <c r="H4414">
        <v>370</v>
      </c>
      <c r="I4414" s="1">
        <v>45839</v>
      </c>
      <c r="J4414">
        <v>32</v>
      </c>
      <c r="K4414" t="s">
        <v>26</v>
      </c>
    </row>
    <row r="4415" spans="1:11">
      <c r="A4415" s="1">
        <v>45869</v>
      </c>
      <c r="B4415" t="s">
        <v>40</v>
      </c>
      <c r="C4415" t="s">
        <v>69</v>
      </c>
      <c r="D4415">
        <v>3345</v>
      </c>
      <c r="E4415">
        <v>1098</v>
      </c>
      <c r="F4415">
        <v>589</v>
      </c>
      <c r="G4415">
        <v>486</v>
      </c>
      <c r="H4415">
        <v>5518</v>
      </c>
      <c r="I4415" s="1">
        <v>45839</v>
      </c>
      <c r="J4415">
        <v>1075</v>
      </c>
      <c r="K4415" t="s">
        <v>26</v>
      </c>
    </row>
    <row r="4416" spans="1:11">
      <c r="A4416" s="1">
        <v>45869</v>
      </c>
      <c r="B4416" t="s">
        <v>40</v>
      </c>
      <c r="C4416" t="s">
        <v>29</v>
      </c>
      <c r="D4416">
        <v>645</v>
      </c>
      <c r="E4416">
        <v>122</v>
      </c>
      <c r="F4416">
        <v>57</v>
      </c>
      <c r="G4416">
        <v>49</v>
      </c>
      <c r="H4416">
        <v>872</v>
      </c>
      <c r="I4416" s="1">
        <v>45839</v>
      </c>
      <c r="J4416">
        <v>106</v>
      </c>
      <c r="K4416" t="s">
        <v>26</v>
      </c>
    </row>
    <row r="4417" spans="1:11">
      <c r="A4417" s="1">
        <v>45869</v>
      </c>
      <c r="B4417" t="s">
        <v>40</v>
      </c>
      <c r="C4417" t="s">
        <v>70</v>
      </c>
      <c r="D4417">
        <v>941</v>
      </c>
      <c r="E4417">
        <v>275</v>
      </c>
      <c r="F4417">
        <v>113</v>
      </c>
      <c r="G4417">
        <v>23</v>
      </c>
      <c r="H4417">
        <v>1352</v>
      </c>
      <c r="I4417" s="1">
        <v>45839</v>
      </c>
      <c r="J4417">
        <v>136</v>
      </c>
      <c r="K4417" t="s">
        <v>26</v>
      </c>
    </row>
    <row r="4418" spans="1:11">
      <c r="A4418" s="1">
        <v>45869</v>
      </c>
      <c r="B4418" t="s">
        <v>40</v>
      </c>
      <c r="C4418" t="s">
        <v>71</v>
      </c>
      <c r="D4418">
        <v>2573</v>
      </c>
      <c r="E4418">
        <v>707</v>
      </c>
      <c r="F4418">
        <v>219</v>
      </c>
      <c r="G4418">
        <v>185</v>
      </c>
      <c r="H4418">
        <v>3685</v>
      </c>
      <c r="I4418" s="1">
        <v>45839</v>
      </c>
      <c r="J4418">
        <v>404</v>
      </c>
      <c r="K4418" t="s">
        <v>26</v>
      </c>
    </row>
    <row r="4419" spans="1:11">
      <c r="A4419" s="1">
        <v>45869</v>
      </c>
      <c r="B4419" t="s">
        <v>40</v>
      </c>
      <c r="C4419" t="s">
        <v>36</v>
      </c>
      <c r="D4419">
        <v>3076</v>
      </c>
      <c r="E4419">
        <v>960</v>
      </c>
      <c r="F4419">
        <v>489</v>
      </c>
      <c r="G4419">
        <v>308</v>
      </c>
      <c r="H4419">
        <v>4833</v>
      </c>
      <c r="I4419" s="1">
        <v>45839</v>
      </c>
      <c r="J4419">
        <v>797</v>
      </c>
      <c r="K4419" t="s">
        <v>26</v>
      </c>
    </row>
    <row r="4420" spans="1:11">
      <c r="A4420" s="1">
        <v>45869</v>
      </c>
      <c r="B4420" t="s">
        <v>40</v>
      </c>
      <c r="C4420" t="s">
        <v>59</v>
      </c>
      <c r="D4420">
        <v>1690</v>
      </c>
      <c r="E4420">
        <v>889</v>
      </c>
      <c r="F4420">
        <v>434</v>
      </c>
      <c r="G4420">
        <v>248</v>
      </c>
      <c r="H4420">
        <v>3261</v>
      </c>
      <c r="I4420" s="1">
        <v>45839</v>
      </c>
      <c r="J4420">
        <v>682</v>
      </c>
      <c r="K4420" t="s">
        <v>26</v>
      </c>
    </row>
    <row r="4421" spans="1:11">
      <c r="A4421" s="1">
        <v>45869</v>
      </c>
      <c r="B4421" t="s">
        <v>40</v>
      </c>
      <c r="C4421" t="s">
        <v>67</v>
      </c>
      <c r="D4421">
        <v>3067</v>
      </c>
      <c r="E4421">
        <v>723</v>
      </c>
      <c r="F4421">
        <v>379</v>
      </c>
      <c r="G4421">
        <v>818</v>
      </c>
      <c r="H4421">
        <v>4988</v>
      </c>
      <c r="I4421" s="1">
        <v>45839</v>
      </c>
      <c r="J4421">
        <v>1197</v>
      </c>
      <c r="K4421" t="s">
        <v>26</v>
      </c>
    </row>
    <row r="4422" spans="1:11">
      <c r="A4422" s="1">
        <v>45869</v>
      </c>
      <c r="B4422" t="s">
        <v>40</v>
      </c>
      <c r="C4422" t="s">
        <v>49</v>
      </c>
      <c r="D4422">
        <v>777</v>
      </c>
      <c r="E4422">
        <v>238</v>
      </c>
      <c r="F4422">
        <v>24</v>
      </c>
      <c r="G4422">
        <v>25</v>
      </c>
      <c r="H4422">
        <v>1064</v>
      </c>
      <c r="I4422" s="1">
        <v>45839</v>
      </c>
      <c r="J4422">
        <v>49</v>
      </c>
      <c r="K4422" t="s">
        <v>26</v>
      </c>
    </row>
    <row r="4423" spans="1:11">
      <c r="A4423" s="1">
        <v>45897</v>
      </c>
      <c r="B4423" t="s">
        <v>40</v>
      </c>
      <c r="C4423" t="s">
        <v>48</v>
      </c>
      <c r="D4423">
        <v>5080</v>
      </c>
      <c r="E4423">
        <v>2511</v>
      </c>
      <c r="F4423">
        <v>1359</v>
      </c>
      <c r="G4423">
        <v>816</v>
      </c>
      <c r="H4423">
        <v>9766</v>
      </c>
      <c r="I4423" s="1">
        <v>45870</v>
      </c>
      <c r="J4423">
        <v>2175</v>
      </c>
      <c r="K4423" t="s">
        <v>26</v>
      </c>
    </row>
    <row r="4424" spans="1:11">
      <c r="A4424" s="1">
        <v>45897</v>
      </c>
      <c r="B4424" t="s">
        <v>40</v>
      </c>
      <c r="C4424" t="s">
        <v>65</v>
      </c>
      <c r="D4424">
        <v>939</v>
      </c>
      <c r="E4424">
        <v>341</v>
      </c>
      <c r="F4424">
        <v>113</v>
      </c>
      <c r="G4424">
        <v>61</v>
      </c>
      <c r="H4424">
        <v>1454</v>
      </c>
      <c r="I4424" s="1">
        <v>45870</v>
      </c>
      <c r="J4424">
        <v>174</v>
      </c>
      <c r="K4424" t="s">
        <v>26</v>
      </c>
    </row>
    <row r="4425" spans="1:11">
      <c r="A4425" s="1">
        <v>45897</v>
      </c>
      <c r="B4425" t="s">
        <v>40</v>
      </c>
      <c r="C4425" t="s">
        <v>66</v>
      </c>
      <c r="D4425">
        <v>5570</v>
      </c>
      <c r="E4425">
        <v>2859</v>
      </c>
      <c r="F4425">
        <v>1391</v>
      </c>
      <c r="G4425">
        <v>1588</v>
      </c>
      <c r="H4425">
        <v>11409</v>
      </c>
      <c r="I4425" s="1">
        <v>45870</v>
      </c>
      <c r="J4425">
        <v>2979</v>
      </c>
      <c r="K4425" t="s">
        <v>26</v>
      </c>
    </row>
    <row r="4426" spans="1:11">
      <c r="A4426" s="1">
        <v>45897</v>
      </c>
      <c r="B4426" t="s">
        <v>40</v>
      </c>
      <c r="C4426" t="s">
        <v>56</v>
      </c>
      <c r="D4426">
        <v>538</v>
      </c>
      <c r="E4426">
        <v>205</v>
      </c>
      <c r="F4426">
        <v>14</v>
      </c>
      <c r="G4426">
        <v>3</v>
      </c>
      <c r="H4426">
        <v>760</v>
      </c>
      <c r="I4426" s="1">
        <v>45870</v>
      </c>
      <c r="J4426">
        <v>17</v>
      </c>
      <c r="K4426" t="s">
        <v>26</v>
      </c>
    </row>
    <row r="4427" spans="1:11">
      <c r="A4427" s="1">
        <v>45897</v>
      </c>
      <c r="B4427" t="s">
        <v>40</v>
      </c>
      <c r="C4427" t="s">
        <v>57</v>
      </c>
      <c r="D4427">
        <v>1413</v>
      </c>
      <c r="E4427">
        <v>280</v>
      </c>
      <c r="F4427">
        <v>66</v>
      </c>
      <c r="G4427">
        <v>68</v>
      </c>
      <c r="H4427">
        <v>1828</v>
      </c>
      <c r="I4427" s="1">
        <v>45870</v>
      </c>
      <c r="J4427">
        <v>134</v>
      </c>
      <c r="K4427" t="s">
        <v>26</v>
      </c>
    </row>
    <row r="4428" spans="1:11">
      <c r="A4428" s="1">
        <v>45897</v>
      </c>
      <c r="B4428" t="s">
        <v>40</v>
      </c>
      <c r="C4428" t="s">
        <v>68</v>
      </c>
      <c r="D4428">
        <v>5845</v>
      </c>
      <c r="E4428">
        <v>1620</v>
      </c>
      <c r="F4428">
        <v>885</v>
      </c>
      <c r="G4428">
        <v>1438</v>
      </c>
      <c r="H4428">
        <v>9788</v>
      </c>
      <c r="I4428" s="1">
        <v>45870</v>
      </c>
      <c r="J4428">
        <v>2323</v>
      </c>
      <c r="K4428" t="s">
        <v>26</v>
      </c>
    </row>
    <row r="4429" spans="1:11">
      <c r="A4429" s="1">
        <v>45897</v>
      </c>
      <c r="B4429" t="s">
        <v>40</v>
      </c>
      <c r="C4429" t="s">
        <v>47</v>
      </c>
      <c r="D4429">
        <v>975</v>
      </c>
      <c r="E4429">
        <v>137</v>
      </c>
      <c r="F4429">
        <v>32</v>
      </c>
      <c r="G4429">
        <v>14</v>
      </c>
      <c r="H4429">
        <v>1158</v>
      </c>
      <c r="I4429" s="1">
        <v>45870</v>
      </c>
      <c r="J4429">
        <v>46</v>
      </c>
      <c r="K4429" t="s">
        <v>26</v>
      </c>
    </row>
    <row r="4430" spans="1:11">
      <c r="A4430" s="1">
        <v>45897</v>
      </c>
      <c r="B4430" t="s">
        <v>40</v>
      </c>
      <c r="C4430" t="s">
        <v>25</v>
      </c>
      <c r="D4430">
        <v>683</v>
      </c>
      <c r="E4430">
        <v>177</v>
      </c>
      <c r="F4430">
        <v>28</v>
      </c>
      <c r="G4430">
        <v>13</v>
      </c>
      <c r="H4430">
        <v>901</v>
      </c>
      <c r="I4430" s="1">
        <v>45870</v>
      </c>
      <c r="J4430">
        <v>41</v>
      </c>
      <c r="K4430" t="s">
        <v>26</v>
      </c>
    </row>
    <row r="4431" spans="1:11">
      <c r="A4431" s="1">
        <v>45897</v>
      </c>
      <c r="B4431" t="s">
        <v>40</v>
      </c>
      <c r="C4431" t="s">
        <v>45</v>
      </c>
      <c r="D4431">
        <v>208</v>
      </c>
      <c r="E4431">
        <v>56</v>
      </c>
      <c r="F4431">
        <v>19</v>
      </c>
      <c r="G4431">
        <v>12</v>
      </c>
      <c r="H4431">
        <v>294</v>
      </c>
      <c r="I4431" s="1">
        <v>45870</v>
      </c>
      <c r="J4431">
        <v>31</v>
      </c>
      <c r="K4431" t="s">
        <v>26</v>
      </c>
    </row>
    <row r="4432" spans="1:11">
      <c r="A4432" s="1">
        <v>45897</v>
      </c>
      <c r="B4432" t="s">
        <v>40</v>
      </c>
      <c r="C4432" t="s">
        <v>43</v>
      </c>
      <c r="D4432">
        <v>1179</v>
      </c>
      <c r="E4432">
        <v>500</v>
      </c>
      <c r="F4432">
        <v>155</v>
      </c>
      <c r="G4432">
        <v>12</v>
      </c>
      <c r="H4432">
        <v>1846</v>
      </c>
      <c r="I4432" s="1">
        <v>45870</v>
      </c>
      <c r="J4432">
        <v>167</v>
      </c>
      <c r="K4432" t="s">
        <v>26</v>
      </c>
    </row>
    <row r="4433" spans="1:11">
      <c r="A4433" s="1">
        <v>45897</v>
      </c>
      <c r="B4433" t="s">
        <v>40</v>
      </c>
      <c r="C4433" t="s">
        <v>52</v>
      </c>
      <c r="D4433">
        <v>553</v>
      </c>
      <c r="E4433">
        <v>299</v>
      </c>
      <c r="F4433">
        <v>144</v>
      </c>
      <c r="G4433">
        <v>72</v>
      </c>
      <c r="H4433">
        <v>1068</v>
      </c>
      <c r="I4433" s="1">
        <v>45870</v>
      </c>
      <c r="J4433">
        <v>216</v>
      </c>
      <c r="K4433" t="s">
        <v>26</v>
      </c>
    </row>
    <row r="4434" spans="1:11">
      <c r="A4434" s="1">
        <v>45897</v>
      </c>
      <c r="B4434" t="s">
        <v>40</v>
      </c>
      <c r="C4434" t="s">
        <v>46</v>
      </c>
      <c r="D4434">
        <v>412</v>
      </c>
      <c r="E4434">
        <v>84</v>
      </c>
      <c r="F4434">
        <v>61</v>
      </c>
      <c r="G4434">
        <v>7</v>
      </c>
      <c r="H4434">
        <v>563</v>
      </c>
      <c r="I4434" s="1">
        <v>45870</v>
      </c>
      <c r="J4434">
        <v>68</v>
      </c>
      <c r="K4434" t="s">
        <v>26</v>
      </c>
    </row>
    <row r="4435" spans="1:11">
      <c r="A4435" s="1">
        <v>45897</v>
      </c>
      <c r="B4435" t="s">
        <v>40</v>
      </c>
      <c r="C4435" t="s">
        <v>31</v>
      </c>
      <c r="D4435">
        <v>386</v>
      </c>
      <c r="E4435">
        <v>103</v>
      </c>
      <c r="F4435">
        <v>39</v>
      </c>
      <c r="G4435">
        <v>80</v>
      </c>
      <c r="H4435">
        <v>608</v>
      </c>
      <c r="I4435" s="1">
        <v>45870</v>
      </c>
      <c r="J4435">
        <v>119</v>
      </c>
      <c r="K4435" t="s">
        <v>26</v>
      </c>
    </row>
    <row r="4436" spans="1:11">
      <c r="A4436" s="1">
        <v>45897</v>
      </c>
      <c r="B4436" t="s">
        <v>40</v>
      </c>
      <c r="C4436" t="s">
        <v>34</v>
      </c>
      <c r="D4436">
        <v>430</v>
      </c>
      <c r="E4436">
        <v>73</v>
      </c>
      <c r="F4436">
        <v>6</v>
      </c>
      <c r="G4436">
        <v>10</v>
      </c>
      <c r="H4436">
        <v>519</v>
      </c>
      <c r="I4436" s="1">
        <v>45870</v>
      </c>
      <c r="J4436">
        <v>16</v>
      </c>
      <c r="K4436" t="s">
        <v>26</v>
      </c>
    </row>
    <row r="4437" spans="1:11">
      <c r="A4437" s="1">
        <v>45897</v>
      </c>
      <c r="B4437" t="s">
        <v>40</v>
      </c>
      <c r="C4437" t="s">
        <v>63</v>
      </c>
      <c r="D4437">
        <v>2214</v>
      </c>
      <c r="E4437">
        <v>402</v>
      </c>
      <c r="F4437">
        <v>267</v>
      </c>
      <c r="G4437">
        <v>260</v>
      </c>
      <c r="H4437">
        <v>3143</v>
      </c>
      <c r="I4437" s="1">
        <v>45870</v>
      </c>
      <c r="J4437">
        <v>527</v>
      </c>
      <c r="K4437" t="s">
        <v>26</v>
      </c>
    </row>
    <row r="4438" spans="1:11">
      <c r="A4438" s="1">
        <v>45897</v>
      </c>
      <c r="B4438" t="s">
        <v>40</v>
      </c>
      <c r="C4438" t="s">
        <v>60</v>
      </c>
      <c r="D4438">
        <v>1611</v>
      </c>
      <c r="E4438">
        <v>522</v>
      </c>
      <c r="F4438">
        <v>305</v>
      </c>
      <c r="G4438">
        <v>286</v>
      </c>
      <c r="H4438">
        <v>2723</v>
      </c>
      <c r="I4438" s="1">
        <v>45870</v>
      </c>
      <c r="J4438">
        <v>591</v>
      </c>
      <c r="K4438" t="s">
        <v>26</v>
      </c>
    </row>
    <row r="4439" spans="1:11">
      <c r="A4439" s="1">
        <v>45897</v>
      </c>
      <c r="B4439" t="s">
        <v>40</v>
      </c>
      <c r="C4439" t="s">
        <v>61</v>
      </c>
      <c r="D4439">
        <v>2774</v>
      </c>
      <c r="E4439">
        <v>755</v>
      </c>
      <c r="F4439">
        <v>474</v>
      </c>
      <c r="G4439">
        <v>532</v>
      </c>
      <c r="H4439">
        <v>4535</v>
      </c>
      <c r="I4439" s="1">
        <v>45870</v>
      </c>
      <c r="J4439">
        <v>1006</v>
      </c>
      <c r="K4439" t="s">
        <v>26</v>
      </c>
    </row>
    <row r="4440" spans="1:11">
      <c r="A4440" s="1">
        <v>45897</v>
      </c>
      <c r="B4440" t="s">
        <v>40</v>
      </c>
      <c r="C4440" t="s">
        <v>62</v>
      </c>
      <c r="D4440">
        <v>277</v>
      </c>
      <c r="E4440">
        <v>44</v>
      </c>
      <c r="F4440">
        <v>10</v>
      </c>
      <c r="G4440">
        <v>21</v>
      </c>
      <c r="H4440">
        <v>351</v>
      </c>
      <c r="I4440" s="1">
        <v>45870</v>
      </c>
      <c r="J4440">
        <v>31</v>
      </c>
      <c r="K4440" t="s">
        <v>26</v>
      </c>
    </row>
    <row r="4441" spans="1:11">
      <c r="A4441" s="1">
        <v>45897</v>
      </c>
      <c r="B4441" t="s">
        <v>40</v>
      </c>
      <c r="C4441" t="s">
        <v>69</v>
      </c>
      <c r="D4441">
        <v>3434</v>
      </c>
      <c r="E4441">
        <v>1145</v>
      </c>
      <c r="F4441">
        <v>559</v>
      </c>
      <c r="G4441">
        <v>498</v>
      </c>
      <c r="H4441">
        <v>5636</v>
      </c>
      <c r="I4441" s="1">
        <v>45870</v>
      </c>
      <c r="J4441">
        <v>1057</v>
      </c>
      <c r="K4441" t="s">
        <v>26</v>
      </c>
    </row>
    <row r="4442" spans="1:11">
      <c r="A4442" s="1">
        <v>45897</v>
      </c>
      <c r="B4442" t="s">
        <v>40</v>
      </c>
      <c r="C4442" t="s">
        <v>24</v>
      </c>
      <c r="D4442">
        <v>684</v>
      </c>
      <c r="E4442">
        <v>149</v>
      </c>
      <c r="F4442">
        <v>3</v>
      </c>
      <c r="G4442">
        <v>3</v>
      </c>
      <c r="H4442">
        <v>838</v>
      </c>
      <c r="I4442" s="1">
        <v>45870</v>
      </c>
      <c r="J4442">
        <v>6</v>
      </c>
      <c r="K4442" t="s">
        <v>26</v>
      </c>
    </row>
    <row r="4443" spans="1:11">
      <c r="A4443" s="1">
        <v>45897</v>
      </c>
      <c r="B4443" t="s">
        <v>40</v>
      </c>
      <c r="C4443" t="s">
        <v>29</v>
      </c>
      <c r="D4443">
        <v>601</v>
      </c>
      <c r="E4443">
        <v>126</v>
      </c>
      <c r="F4443">
        <v>67</v>
      </c>
      <c r="G4443">
        <v>42</v>
      </c>
      <c r="H4443">
        <v>835</v>
      </c>
      <c r="I4443" s="1">
        <v>45870</v>
      </c>
      <c r="J4443">
        <v>109</v>
      </c>
      <c r="K4443" t="s">
        <v>26</v>
      </c>
    </row>
    <row r="4444" spans="1:11">
      <c r="A4444" s="1">
        <v>45897</v>
      </c>
      <c r="B4444" t="s">
        <v>40</v>
      </c>
      <c r="C4444" t="s">
        <v>70</v>
      </c>
      <c r="D4444">
        <v>793</v>
      </c>
      <c r="E4444">
        <v>268</v>
      </c>
      <c r="F4444">
        <v>105</v>
      </c>
      <c r="G4444">
        <v>25</v>
      </c>
      <c r="H4444">
        <v>1191</v>
      </c>
      <c r="I4444" s="1">
        <v>45870</v>
      </c>
      <c r="J4444">
        <v>130</v>
      </c>
      <c r="K4444" t="s">
        <v>26</v>
      </c>
    </row>
    <row r="4445" spans="1:11">
      <c r="A4445" s="1">
        <v>45897</v>
      </c>
      <c r="B4445" t="s">
        <v>40</v>
      </c>
      <c r="C4445" t="s">
        <v>71</v>
      </c>
      <c r="D4445">
        <v>2504</v>
      </c>
      <c r="E4445">
        <v>741</v>
      </c>
      <c r="F4445">
        <v>231</v>
      </c>
      <c r="G4445">
        <v>171</v>
      </c>
      <c r="H4445">
        <v>3648</v>
      </c>
      <c r="I4445" s="1">
        <v>45870</v>
      </c>
      <c r="J4445">
        <v>402</v>
      </c>
      <c r="K4445" t="s">
        <v>26</v>
      </c>
    </row>
    <row r="4446" spans="1:11">
      <c r="A4446" s="1">
        <v>45897</v>
      </c>
      <c r="B4446" t="s">
        <v>40</v>
      </c>
      <c r="C4446" t="s">
        <v>36</v>
      </c>
      <c r="D4446">
        <v>3035</v>
      </c>
      <c r="E4446">
        <v>1029</v>
      </c>
      <c r="F4446">
        <v>481</v>
      </c>
      <c r="G4446">
        <v>293</v>
      </c>
      <c r="H4446">
        <v>4837</v>
      </c>
      <c r="I4446" s="1">
        <v>45870</v>
      </c>
      <c r="J4446">
        <v>774</v>
      </c>
      <c r="K4446" t="s">
        <v>26</v>
      </c>
    </row>
    <row r="4447" spans="1:11">
      <c r="A4447" s="1">
        <v>45897</v>
      </c>
      <c r="B4447" t="s">
        <v>40</v>
      </c>
      <c r="C4447" t="s">
        <v>59</v>
      </c>
      <c r="D4447">
        <v>1584</v>
      </c>
      <c r="E4447">
        <v>961</v>
      </c>
      <c r="F4447">
        <v>400</v>
      </c>
      <c r="G4447">
        <v>269</v>
      </c>
      <c r="H4447">
        <v>3214</v>
      </c>
      <c r="I4447" s="1">
        <v>45870</v>
      </c>
      <c r="J4447">
        <v>669</v>
      </c>
      <c r="K4447" t="s">
        <v>26</v>
      </c>
    </row>
    <row r="4448" spans="1:11">
      <c r="A4448" s="1">
        <v>45897</v>
      </c>
      <c r="B4448" t="s">
        <v>40</v>
      </c>
      <c r="C4448" t="s">
        <v>67</v>
      </c>
      <c r="D4448">
        <v>3005</v>
      </c>
      <c r="E4448">
        <v>768</v>
      </c>
      <c r="F4448">
        <v>350</v>
      </c>
      <c r="G4448">
        <v>818</v>
      </c>
      <c r="H4448">
        <v>4940</v>
      </c>
      <c r="I4448" s="1">
        <v>45870</v>
      </c>
      <c r="J4448">
        <v>1168</v>
      </c>
      <c r="K4448" t="s">
        <v>26</v>
      </c>
    </row>
    <row r="4449" spans="1:11">
      <c r="A4449" s="1">
        <v>45897</v>
      </c>
      <c r="B4449" t="s">
        <v>40</v>
      </c>
      <c r="C4449" t="s">
        <v>49</v>
      </c>
      <c r="D4449">
        <v>693</v>
      </c>
      <c r="E4449">
        <v>249</v>
      </c>
      <c r="F4449">
        <v>25</v>
      </c>
      <c r="G4449">
        <v>25</v>
      </c>
      <c r="H4449">
        <v>991</v>
      </c>
      <c r="I4449" s="1">
        <v>45870</v>
      </c>
      <c r="J4449">
        <v>50</v>
      </c>
      <c r="K4449" t="s">
        <v>26</v>
      </c>
    </row>
    <row r="4450" spans="1:11">
      <c r="A4450" s="1">
        <v>45925</v>
      </c>
      <c r="B4450" t="s">
        <v>40</v>
      </c>
      <c r="C4450" t="s">
        <v>48</v>
      </c>
      <c r="D4450">
        <v>5233</v>
      </c>
      <c r="E4450">
        <v>2538</v>
      </c>
      <c r="F4450">
        <v>1362</v>
      </c>
      <c r="G4450">
        <v>868</v>
      </c>
      <c r="H4450">
        <v>10001</v>
      </c>
      <c r="I4450" s="1">
        <v>45901</v>
      </c>
      <c r="J4450">
        <v>2230</v>
      </c>
      <c r="K4450" t="s">
        <v>26</v>
      </c>
    </row>
    <row r="4451" spans="1:11">
      <c r="A4451" s="1">
        <v>45925</v>
      </c>
      <c r="B4451" t="s">
        <v>40</v>
      </c>
      <c r="C4451" t="s">
        <v>65</v>
      </c>
      <c r="D4451">
        <v>974</v>
      </c>
      <c r="E4451">
        <v>325</v>
      </c>
      <c r="F4451">
        <v>123</v>
      </c>
      <c r="G4451">
        <v>64</v>
      </c>
      <c r="H4451">
        <v>1486</v>
      </c>
      <c r="I4451" s="1">
        <v>45901</v>
      </c>
      <c r="J4451">
        <v>187</v>
      </c>
      <c r="K4451" t="s">
        <v>26</v>
      </c>
    </row>
    <row r="4452" spans="1:11">
      <c r="A4452" s="1">
        <v>45925</v>
      </c>
      <c r="B4452" t="s">
        <v>40</v>
      </c>
      <c r="C4452" t="s">
        <v>30</v>
      </c>
      <c r="D4452">
        <v>536</v>
      </c>
      <c r="E4452">
        <v>79</v>
      </c>
      <c r="F4452">
        <v>6</v>
      </c>
      <c r="G4452">
        <v>1</v>
      </c>
      <c r="H4452">
        <v>622</v>
      </c>
      <c r="I4452" s="1">
        <v>45901</v>
      </c>
      <c r="J4452">
        <v>7</v>
      </c>
      <c r="K4452" t="s">
        <v>26</v>
      </c>
    </row>
    <row r="4453" spans="1:11">
      <c r="A4453" s="1">
        <v>45925</v>
      </c>
      <c r="B4453" t="s">
        <v>40</v>
      </c>
      <c r="C4453" t="s">
        <v>66</v>
      </c>
      <c r="D4453">
        <v>5540</v>
      </c>
      <c r="E4453">
        <v>2913</v>
      </c>
      <c r="F4453">
        <v>1543</v>
      </c>
      <c r="G4453">
        <v>1634</v>
      </c>
      <c r="H4453">
        <v>11631</v>
      </c>
      <c r="I4453" s="1">
        <v>45901</v>
      </c>
      <c r="J4453">
        <v>3177</v>
      </c>
      <c r="K4453" t="s">
        <v>26</v>
      </c>
    </row>
    <row r="4454" spans="1:11">
      <c r="A4454" s="1">
        <v>45925</v>
      </c>
      <c r="B4454" t="s">
        <v>40</v>
      </c>
      <c r="C4454" t="s">
        <v>57</v>
      </c>
      <c r="D4454">
        <v>1508</v>
      </c>
      <c r="E4454">
        <v>304</v>
      </c>
      <c r="F4454">
        <v>81</v>
      </c>
      <c r="G4454">
        <v>70</v>
      </c>
      <c r="H4454">
        <v>1963</v>
      </c>
      <c r="I4454" s="1">
        <v>45901</v>
      </c>
      <c r="J4454">
        <v>151</v>
      </c>
      <c r="K4454" t="s">
        <v>26</v>
      </c>
    </row>
    <row r="4455" spans="1:11">
      <c r="A4455" s="1">
        <v>45925</v>
      </c>
      <c r="B4455" t="s">
        <v>40</v>
      </c>
      <c r="C4455" t="s">
        <v>68</v>
      </c>
      <c r="D4455">
        <v>5928</v>
      </c>
      <c r="E4455">
        <v>1695</v>
      </c>
      <c r="F4455">
        <v>866</v>
      </c>
      <c r="G4455">
        <v>1405</v>
      </c>
      <c r="H4455">
        <v>9894</v>
      </c>
      <c r="I4455" s="1">
        <v>45901</v>
      </c>
      <c r="J4455">
        <v>2271</v>
      </c>
      <c r="K4455" t="s">
        <v>26</v>
      </c>
    </row>
    <row r="4456" spans="1:11">
      <c r="A4456" s="1">
        <v>45925</v>
      </c>
      <c r="B4456" t="s">
        <v>40</v>
      </c>
      <c r="C4456" t="s">
        <v>47</v>
      </c>
      <c r="D4456">
        <v>967</v>
      </c>
      <c r="E4456">
        <v>143</v>
      </c>
      <c r="F4456">
        <v>32</v>
      </c>
      <c r="G4456">
        <v>8</v>
      </c>
      <c r="H4456">
        <v>1150</v>
      </c>
      <c r="I4456" s="1">
        <v>45901</v>
      </c>
      <c r="J4456">
        <v>40</v>
      </c>
      <c r="K4456" t="s">
        <v>26</v>
      </c>
    </row>
    <row r="4457" spans="1:11">
      <c r="A4457" s="1">
        <v>45925</v>
      </c>
      <c r="B4457" t="s">
        <v>40</v>
      </c>
      <c r="C4457" t="s">
        <v>25</v>
      </c>
      <c r="D4457">
        <v>707</v>
      </c>
      <c r="E4457">
        <v>192</v>
      </c>
      <c r="F4457">
        <v>16</v>
      </c>
      <c r="G4457">
        <v>15</v>
      </c>
      <c r="H4457">
        <v>931</v>
      </c>
      <c r="I4457" s="1">
        <v>45901</v>
      </c>
      <c r="J4457">
        <v>31</v>
      </c>
      <c r="K4457" t="s">
        <v>26</v>
      </c>
    </row>
    <row r="4458" spans="1:11">
      <c r="A4458" s="1">
        <v>45925</v>
      </c>
      <c r="B4458" t="s">
        <v>40</v>
      </c>
      <c r="C4458" t="s">
        <v>45</v>
      </c>
      <c r="D4458">
        <v>222</v>
      </c>
      <c r="E4458">
        <v>51</v>
      </c>
      <c r="F4458">
        <v>26</v>
      </c>
      <c r="G4458">
        <v>15</v>
      </c>
      <c r="H4458">
        <v>313</v>
      </c>
      <c r="I4458" s="1">
        <v>45901</v>
      </c>
      <c r="J4458">
        <v>41</v>
      </c>
      <c r="K4458" t="s">
        <v>26</v>
      </c>
    </row>
    <row r="4459" spans="1:11">
      <c r="A4459" s="1">
        <v>45925</v>
      </c>
      <c r="B4459" t="s">
        <v>40</v>
      </c>
      <c r="C4459" t="s">
        <v>43</v>
      </c>
      <c r="D4459">
        <v>1177</v>
      </c>
      <c r="E4459">
        <v>500</v>
      </c>
      <c r="F4459">
        <v>179</v>
      </c>
      <c r="G4459">
        <v>17</v>
      </c>
      <c r="H4459">
        <v>1874</v>
      </c>
      <c r="I4459" s="1">
        <v>45901</v>
      </c>
      <c r="J4459">
        <v>196</v>
      </c>
      <c r="K4459" t="s">
        <v>26</v>
      </c>
    </row>
    <row r="4460" spans="1:11">
      <c r="A4460" s="1">
        <v>45925</v>
      </c>
      <c r="B4460" t="s">
        <v>40</v>
      </c>
      <c r="C4460" t="s">
        <v>38</v>
      </c>
      <c r="D4460">
        <v>219</v>
      </c>
      <c r="E4460">
        <v>87</v>
      </c>
      <c r="F4460">
        <v>48</v>
      </c>
      <c r="G4460">
        <v>64</v>
      </c>
      <c r="H4460">
        <v>418</v>
      </c>
      <c r="I4460" s="1">
        <v>45901</v>
      </c>
      <c r="J4460">
        <v>112</v>
      </c>
      <c r="K4460" t="s">
        <v>26</v>
      </c>
    </row>
    <row r="4461" spans="1:11">
      <c r="A4461" s="1">
        <v>45925</v>
      </c>
      <c r="B4461" t="s">
        <v>40</v>
      </c>
      <c r="C4461" t="s">
        <v>54</v>
      </c>
      <c r="D4461">
        <v>1622</v>
      </c>
      <c r="E4461">
        <v>389</v>
      </c>
      <c r="F4461">
        <v>60</v>
      </c>
      <c r="G4461">
        <v>1</v>
      </c>
      <c r="H4461">
        <v>2072</v>
      </c>
      <c r="I4461" s="1">
        <v>45901</v>
      </c>
      <c r="J4461">
        <v>61</v>
      </c>
      <c r="K4461" t="s">
        <v>26</v>
      </c>
    </row>
    <row r="4462" spans="1:11">
      <c r="A4462" s="1">
        <v>45925</v>
      </c>
      <c r="B4462" t="s">
        <v>40</v>
      </c>
      <c r="C4462" t="s">
        <v>35</v>
      </c>
      <c r="D4462">
        <v>1126</v>
      </c>
      <c r="E4462">
        <v>404</v>
      </c>
      <c r="F4462">
        <v>200</v>
      </c>
      <c r="G4462">
        <v>4</v>
      </c>
      <c r="H4462">
        <v>1734</v>
      </c>
      <c r="I4462" s="1">
        <v>45901</v>
      </c>
      <c r="J4462">
        <v>204</v>
      </c>
      <c r="K4462" t="s">
        <v>26</v>
      </c>
    </row>
    <row r="4463" spans="1:11">
      <c r="A4463" s="1">
        <v>45925</v>
      </c>
      <c r="B4463" t="s">
        <v>40</v>
      </c>
      <c r="C4463" t="s">
        <v>52</v>
      </c>
      <c r="D4463">
        <v>591</v>
      </c>
      <c r="E4463">
        <v>284</v>
      </c>
      <c r="F4463">
        <v>150</v>
      </c>
      <c r="G4463">
        <v>77</v>
      </c>
      <c r="H4463">
        <v>1103</v>
      </c>
      <c r="I4463" s="1">
        <v>45901</v>
      </c>
      <c r="J4463">
        <v>227</v>
      </c>
      <c r="K4463" t="s">
        <v>26</v>
      </c>
    </row>
    <row r="4464" spans="1:11">
      <c r="A4464" s="1">
        <v>45925</v>
      </c>
      <c r="B4464" t="s">
        <v>40</v>
      </c>
      <c r="C4464" t="s">
        <v>46</v>
      </c>
      <c r="D4464">
        <v>397</v>
      </c>
      <c r="E4464">
        <v>92</v>
      </c>
      <c r="F4464">
        <v>53</v>
      </c>
      <c r="G4464">
        <v>8</v>
      </c>
      <c r="H4464">
        <v>550</v>
      </c>
      <c r="I4464" s="1">
        <v>45901</v>
      </c>
      <c r="J4464">
        <v>61</v>
      </c>
      <c r="K4464" t="s">
        <v>26</v>
      </c>
    </row>
    <row r="4465" spans="1:11">
      <c r="A4465" s="1">
        <v>45925</v>
      </c>
      <c r="B4465" t="s">
        <v>40</v>
      </c>
      <c r="C4465" t="s">
        <v>31</v>
      </c>
      <c r="D4465">
        <v>382</v>
      </c>
      <c r="E4465">
        <v>102</v>
      </c>
      <c r="F4465">
        <v>38</v>
      </c>
      <c r="G4465">
        <v>77</v>
      </c>
      <c r="H4465">
        <v>600</v>
      </c>
      <c r="I4465" s="1">
        <v>45901</v>
      </c>
      <c r="J4465">
        <v>115</v>
      </c>
      <c r="K4465" t="s">
        <v>26</v>
      </c>
    </row>
    <row r="4466" spans="1:11">
      <c r="A4466" s="1">
        <v>45925</v>
      </c>
      <c r="B4466" t="s">
        <v>40</v>
      </c>
      <c r="C4466" t="s">
        <v>34</v>
      </c>
      <c r="D4466">
        <v>426</v>
      </c>
      <c r="E4466">
        <v>69</v>
      </c>
      <c r="F4466">
        <v>9</v>
      </c>
      <c r="G4466">
        <v>9</v>
      </c>
      <c r="H4466">
        <v>513</v>
      </c>
      <c r="I4466" s="1">
        <v>45901</v>
      </c>
      <c r="J4466">
        <v>18</v>
      </c>
      <c r="K4466" t="s">
        <v>26</v>
      </c>
    </row>
    <row r="4467" spans="1:11">
      <c r="A4467" s="1">
        <v>45925</v>
      </c>
      <c r="B4467" t="s">
        <v>40</v>
      </c>
      <c r="C4467" t="s">
        <v>63</v>
      </c>
      <c r="D4467">
        <v>2192</v>
      </c>
      <c r="E4467">
        <v>436</v>
      </c>
      <c r="F4467">
        <v>228</v>
      </c>
      <c r="G4467">
        <v>273</v>
      </c>
      <c r="H4467">
        <v>3129</v>
      </c>
      <c r="I4467" s="1">
        <v>45901</v>
      </c>
      <c r="J4467">
        <v>501</v>
      </c>
      <c r="K4467" t="s">
        <v>26</v>
      </c>
    </row>
    <row r="4468" spans="1:11">
      <c r="A4468" s="1">
        <v>45925</v>
      </c>
      <c r="B4468" t="s">
        <v>40</v>
      </c>
      <c r="C4468" t="s">
        <v>60</v>
      </c>
      <c r="D4468">
        <v>1604</v>
      </c>
      <c r="E4468">
        <v>510</v>
      </c>
      <c r="F4468">
        <v>304</v>
      </c>
      <c r="G4468">
        <v>303</v>
      </c>
      <c r="H4468">
        <v>2721</v>
      </c>
      <c r="I4468" s="1">
        <v>45901</v>
      </c>
      <c r="J4468">
        <v>607</v>
      </c>
      <c r="K4468" t="s">
        <v>26</v>
      </c>
    </row>
    <row r="4469" spans="1:11">
      <c r="A4469" s="1">
        <v>45925</v>
      </c>
      <c r="B4469" t="s">
        <v>40</v>
      </c>
      <c r="C4469" t="s">
        <v>61</v>
      </c>
      <c r="D4469">
        <v>2713</v>
      </c>
      <c r="E4469">
        <v>731</v>
      </c>
      <c r="F4469">
        <v>482</v>
      </c>
      <c r="G4469">
        <v>534</v>
      </c>
      <c r="H4469">
        <v>4460</v>
      </c>
      <c r="I4469" s="1">
        <v>45901</v>
      </c>
      <c r="J4469">
        <v>1016</v>
      </c>
      <c r="K4469" t="s">
        <v>26</v>
      </c>
    </row>
    <row r="4470" spans="1:11">
      <c r="A4470" s="1">
        <v>45925</v>
      </c>
      <c r="B4470" t="s">
        <v>40</v>
      </c>
      <c r="C4470" t="s">
        <v>62</v>
      </c>
      <c r="D4470">
        <v>346</v>
      </c>
      <c r="E4470">
        <v>52</v>
      </c>
      <c r="F4470">
        <v>10</v>
      </c>
      <c r="G4470">
        <v>21</v>
      </c>
      <c r="H4470">
        <v>429</v>
      </c>
      <c r="I4470" s="1">
        <v>45901</v>
      </c>
      <c r="J4470">
        <v>31</v>
      </c>
      <c r="K4470" t="s">
        <v>26</v>
      </c>
    </row>
    <row r="4471" spans="1:11">
      <c r="A4471" s="1">
        <v>45925</v>
      </c>
      <c r="B4471" t="s">
        <v>40</v>
      </c>
      <c r="C4471" t="s">
        <v>69</v>
      </c>
      <c r="D4471">
        <v>3605</v>
      </c>
      <c r="E4471">
        <v>1183</v>
      </c>
      <c r="F4471">
        <v>508</v>
      </c>
      <c r="G4471">
        <v>484</v>
      </c>
      <c r="H4471">
        <v>5780</v>
      </c>
      <c r="I4471" s="1">
        <v>45901</v>
      </c>
      <c r="J4471">
        <v>992</v>
      </c>
      <c r="K4471" t="s">
        <v>26</v>
      </c>
    </row>
    <row r="4472" spans="1:11">
      <c r="A4472" s="1">
        <v>45925</v>
      </c>
      <c r="B4472" t="s">
        <v>40</v>
      </c>
      <c r="C4472" t="s">
        <v>29</v>
      </c>
      <c r="D4472">
        <v>581</v>
      </c>
      <c r="E4472">
        <v>125</v>
      </c>
      <c r="F4472">
        <v>67</v>
      </c>
      <c r="G4472">
        <v>37</v>
      </c>
      <c r="H4472">
        <v>810</v>
      </c>
      <c r="I4472" s="1">
        <v>45901</v>
      </c>
      <c r="J4472">
        <v>104</v>
      </c>
      <c r="K4472" t="s">
        <v>26</v>
      </c>
    </row>
    <row r="4473" spans="1:11">
      <c r="A4473" s="1">
        <v>45925</v>
      </c>
      <c r="B4473" t="s">
        <v>40</v>
      </c>
      <c r="C4473" t="s">
        <v>70</v>
      </c>
      <c r="D4473">
        <v>835</v>
      </c>
      <c r="E4473">
        <v>234</v>
      </c>
      <c r="F4473">
        <v>90</v>
      </c>
      <c r="G4473">
        <v>13</v>
      </c>
      <c r="H4473">
        <v>1173</v>
      </c>
      <c r="I4473" s="1">
        <v>45901</v>
      </c>
      <c r="J4473">
        <v>103</v>
      </c>
      <c r="K4473" t="s">
        <v>26</v>
      </c>
    </row>
    <row r="4474" spans="1:11">
      <c r="A4474" s="1">
        <v>45925</v>
      </c>
      <c r="B4474" t="s">
        <v>40</v>
      </c>
      <c r="C4474" t="s">
        <v>71</v>
      </c>
      <c r="D4474">
        <v>2526</v>
      </c>
      <c r="E4474">
        <v>735</v>
      </c>
      <c r="F4474">
        <v>260</v>
      </c>
      <c r="G4474">
        <v>179</v>
      </c>
      <c r="H4474">
        <v>3700</v>
      </c>
      <c r="I4474" s="1">
        <v>45901</v>
      </c>
      <c r="J4474">
        <v>439</v>
      </c>
      <c r="K4474" t="s">
        <v>26</v>
      </c>
    </row>
    <row r="4475" spans="1:11">
      <c r="A4475" s="1">
        <v>45925</v>
      </c>
      <c r="B4475" t="s">
        <v>40</v>
      </c>
      <c r="C4475" t="s">
        <v>36</v>
      </c>
      <c r="D4475">
        <v>3071</v>
      </c>
      <c r="E4475">
        <v>941</v>
      </c>
      <c r="F4475">
        <v>470</v>
      </c>
      <c r="G4475">
        <v>327</v>
      </c>
      <c r="H4475">
        <v>4809</v>
      </c>
      <c r="I4475" s="1">
        <v>45901</v>
      </c>
      <c r="J4475">
        <v>797</v>
      </c>
      <c r="K4475" t="s">
        <v>26</v>
      </c>
    </row>
    <row r="4476" spans="1:11">
      <c r="A4476" s="1">
        <v>45925</v>
      </c>
      <c r="B4476" t="s">
        <v>40</v>
      </c>
      <c r="C4476" t="s">
        <v>59</v>
      </c>
      <c r="D4476">
        <v>1672</v>
      </c>
      <c r="E4476">
        <v>995</v>
      </c>
      <c r="F4476">
        <v>381</v>
      </c>
      <c r="G4476">
        <v>286</v>
      </c>
      <c r="H4476">
        <v>3334</v>
      </c>
      <c r="I4476" s="1">
        <v>45901</v>
      </c>
      <c r="J4476">
        <v>667</v>
      </c>
      <c r="K4476" t="s">
        <v>26</v>
      </c>
    </row>
    <row r="4477" spans="1:11">
      <c r="A4477" s="1">
        <v>45925</v>
      </c>
      <c r="B4477" t="s">
        <v>40</v>
      </c>
      <c r="C4477" t="s">
        <v>67</v>
      </c>
      <c r="D4477">
        <v>2981</v>
      </c>
      <c r="E4477">
        <v>827</v>
      </c>
      <c r="F4477">
        <v>363</v>
      </c>
      <c r="G4477">
        <v>818</v>
      </c>
      <c r="H4477">
        <v>4989</v>
      </c>
      <c r="I4477" s="1">
        <v>45901</v>
      </c>
      <c r="J4477">
        <v>1181</v>
      </c>
      <c r="K4477" t="s">
        <v>26</v>
      </c>
    </row>
    <row r="4478" spans="1:11">
      <c r="A4478" s="1">
        <v>45925</v>
      </c>
      <c r="B4478" t="s">
        <v>40</v>
      </c>
      <c r="C4478" t="s">
        <v>49</v>
      </c>
      <c r="D4478">
        <v>694</v>
      </c>
      <c r="E4478">
        <v>288</v>
      </c>
      <c r="F4478">
        <v>18</v>
      </c>
      <c r="G4478">
        <v>20</v>
      </c>
      <c r="H4478">
        <v>1020</v>
      </c>
      <c r="I4478" s="1">
        <v>45901</v>
      </c>
      <c r="J4478">
        <v>38</v>
      </c>
      <c r="K4478" t="s">
        <v>26</v>
      </c>
    </row>
    <row r="4479" spans="1:11">
      <c r="A4479" s="1">
        <v>45960</v>
      </c>
      <c r="B4479" t="s">
        <v>40</v>
      </c>
      <c r="C4479" t="s">
        <v>48</v>
      </c>
      <c r="D4479">
        <v>5398</v>
      </c>
      <c r="E4479">
        <v>2926</v>
      </c>
      <c r="F4479">
        <v>1593</v>
      </c>
      <c r="G4479">
        <v>1310</v>
      </c>
      <c r="H4479">
        <v>11228</v>
      </c>
      <c r="I4479" s="1">
        <v>45931</v>
      </c>
      <c r="J4479">
        <v>2903</v>
      </c>
      <c r="K4479" t="s">
        <v>26</v>
      </c>
    </row>
    <row r="4480" spans="1:11">
      <c r="A4480" s="1">
        <v>45960</v>
      </c>
      <c r="B4480" t="s">
        <v>40</v>
      </c>
      <c r="C4480" t="s">
        <v>65</v>
      </c>
      <c r="D4480">
        <v>966</v>
      </c>
      <c r="E4480">
        <v>317</v>
      </c>
      <c r="F4480">
        <v>152</v>
      </c>
      <c r="G4480">
        <v>60</v>
      </c>
      <c r="H4480">
        <v>1495</v>
      </c>
      <c r="I4480" s="1">
        <v>45931</v>
      </c>
      <c r="J4480">
        <v>212</v>
      </c>
      <c r="K4480" t="s">
        <v>26</v>
      </c>
    </row>
    <row r="4481" spans="1:11">
      <c r="A4481" s="1">
        <v>45960</v>
      </c>
      <c r="B4481" t="s">
        <v>40</v>
      </c>
      <c r="C4481" t="s">
        <v>66</v>
      </c>
      <c r="D4481">
        <v>5333</v>
      </c>
      <c r="E4481">
        <v>2829</v>
      </c>
      <c r="F4481">
        <v>1651</v>
      </c>
      <c r="G4481">
        <v>1601</v>
      </c>
      <c r="H4481">
        <v>11414</v>
      </c>
      <c r="I4481" s="1">
        <v>45931</v>
      </c>
      <c r="J4481">
        <v>3252</v>
      </c>
      <c r="K4481" t="s">
        <v>26</v>
      </c>
    </row>
    <row r="4482" spans="1:11">
      <c r="A4482" s="1">
        <v>45960</v>
      </c>
      <c r="B4482" t="s">
        <v>40</v>
      </c>
      <c r="C4482" t="s">
        <v>57</v>
      </c>
      <c r="D4482">
        <v>1828</v>
      </c>
      <c r="E4482">
        <v>299</v>
      </c>
      <c r="F4482">
        <v>85</v>
      </c>
      <c r="G4482">
        <v>56</v>
      </c>
      <c r="H4482">
        <v>2268</v>
      </c>
      <c r="I4482" s="1">
        <v>45931</v>
      </c>
      <c r="J4482">
        <v>141</v>
      </c>
      <c r="K4482" t="s">
        <v>26</v>
      </c>
    </row>
    <row r="4483" spans="1:11">
      <c r="A4483" s="1">
        <v>45960</v>
      </c>
      <c r="B4483" t="s">
        <v>40</v>
      </c>
      <c r="C4483" t="s">
        <v>28</v>
      </c>
      <c r="D4483">
        <v>296</v>
      </c>
      <c r="E4483">
        <v>83</v>
      </c>
      <c r="F4483">
        <v>8</v>
      </c>
      <c r="G4483">
        <v>5</v>
      </c>
      <c r="H4483">
        <v>393</v>
      </c>
      <c r="I4483" s="1">
        <v>45931</v>
      </c>
      <c r="J4483">
        <v>13</v>
      </c>
      <c r="K4483" t="s">
        <v>26</v>
      </c>
    </row>
    <row r="4484" spans="1:11">
      <c r="A4484" s="1">
        <v>45960</v>
      </c>
      <c r="B4484" t="s">
        <v>40</v>
      </c>
      <c r="C4484" t="s">
        <v>68</v>
      </c>
      <c r="D4484">
        <v>6042</v>
      </c>
      <c r="E4484">
        <v>1769</v>
      </c>
      <c r="F4484">
        <v>875</v>
      </c>
      <c r="G4484">
        <v>1397</v>
      </c>
      <c r="H4484">
        <v>10084</v>
      </c>
      <c r="I4484" s="1">
        <v>45931</v>
      </c>
      <c r="J4484">
        <v>2272</v>
      </c>
      <c r="K4484" t="s">
        <v>26</v>
      </c>
    </row>
    <row r="4485" spans="1:11">
      <c r="A4485" s="1">
        <v>45960</v>
      </c>
      <c r="B4485" t="s">
        <v>40</v>
      </c>
      <c r="C4485" t="s">
        <v>47</v>
      </c>
      <c r="D4485">
        <v>960</v>
      </c>
      <c r="E4485">
        <v>185</v>
      </c>
      <c r="F4485">
        <v>29</v>
      </c>
      <c r="G4485">
        <v>9</v>
      </c>
      <c r="H4485">
        <v>1184</v>
      </c>
      <c r="I4485" s="1">
        <v>45931</v>
      </c>
      <c r="J4485">
        <v>38</v>
      </c>
      <c r="K4485" t="s">
        <v>26</v>
      </c>
    </row>
    <row r="4486" spans="1:11">
      <c r="A4486" s="1">
        <v>45960</v>
      </c>
      <c r="B4486" t="s">
        <v>40</v>
      </c>
      <c r="C4486" t="s">
        <v>25</v>
      </c>
      <c r="D4486">
        <v>716</v>
      </c>
      <c r="E4486">
        <v>237</v>
      </c>
      <c r="F4486">
        <v>28</v>
      </c>
      <c r="G4486">
        <v>14</v>
      </c>
      <c r="H4486">
        <v>994</v>
      </c>
      <c r="I4486" s="1">
        <v>45931</v>
      </c>
      <c r="J4486">
        <v>42</v>
      </c>
      <c r="K4486" t="s">
        <v>26</v>
      </c>
    </row>
    <row r="4487" spans="1:11">
      <c r="A4487" s="1">
        <v>45960</v>
      </c>
      <c r="B4487" t="s">
        <v>40</v>
      </c>
      <c r="C4487" t="s">
        <v>45</v>
      </c>
      <c r="D4487">
        <v>197</v>
      </c>
      <c r="E4487">
        <v>46</v>
      </c>
      <c r="F4487">
        <v>32</v>
      </c>
      <c r="G4487">
        <v>13</v>
      </c>
      <c r="H4487">
        <v>288</v>
      </c>
      <c r="I4487" s="1">
        <v>45931</v>
      </c>
      <c r="J4487">
        <v>45</v>
      </c>
      <c r="K4487" t="s">
        <v>26</v>
      </c>
    </row>
    <row r="4488" spans="1:11">
      <c r="A4488" s="1">
        <v>45960</v>
      </c>
      <c r="B4488" t="s">
        <v>40</v>
      </c>
      <c r="C4488" t="s">
        <v>43</v>
      </c>
      <c r="D4488">
        <v>1224</v>
      </c>
      <c r="E4488">
        <v>551</v>
      </c>
      <c r="F4488">
        <v>217</v>
      </c>
      <c r="G4488">
        <v>37</v>
      </c>
      <c r="H4488">
        <v>2030</v>
      </c>
      <c r="I4488" s="1">
        <v>45931</v>
      </c>
      <c r="J4488">
        <v>254</v>
      </c>
      <c r="K4488" t="s">
        <v>26</v>
      </c>
    </row>
    <row r="4489" spans="1:11">
      <c r="A4489" s="1">
        <v>45960</v>
      </c>
      <c r="B4489" t="s">
        <v>40</v>
      </c>
      <c r="C4489" t="s">
        <v>38</v>
      </c>
      <c r="D4489">
        <v>233</v>
      </c>
      <c r="E4489">
        <v>98</v>
      </c>
      <c r="F4489">
        <v>45</v>
      </c>
      <c r="G4489">
        <v>66</v>
      </c>
      <c r="H4489">
        <v>442</v>
      </c>
      <c r="I4489" s="1">
        <v>45931</v>
      </c>
      <c r="J4489">
        <v>111</v>
      </c>
      <c r="K4489" t="s">
        <v>26</v>
      </c>
    </row>
    <row r="4490" spans="1:11">
      <c r="A4490" s="1">
        <v>45960</v>
      </c>
      <c r="B4490" t="s">
        <v>40</v>
      </c>
      <c r="C4490" t="s">
        <v>54</v>
      </c>
      <c r="D4490">
        <v>1696</v>
      </c>
      <c r="E4490">
        <v>379</v>
      </c>
      <c r="F4490">
        <v>74</v>
      </c>
      <c r="G4490">
        <v>3</v>
      </c>
      <c r="H4490">
        <v>2152</v>
      </c>
      <c r="I4490" s="1">
        <v>45931</v>
      </c>
      <c r="J4490">
        <v>77</v>
      </c>
      <c r="K4490" t="s">
        <v>26</v>
      </c>
    </row>
    <row r="4491" spans="1:11">
      <c r="A4491" s="1">
        <v>45960</v>
      </c>
      <c r="B4491" t="s">
        <v>40</v>
      </c>
      <c r="C4491" t="s">
        <v>35</v>
      </c>
      <c r="D4491">
        <v>968</v>
      </c>
      <c r="E4491">
        <v>486</v>
      </c>
      <c r="F4491">
        <v>194</v>
      </c>
      <c r="G4491">
        <v>5</v>
      </c>
      <c r="H4491">
        <v>1652</v>
      </c>
      <c r="I4491" s="1">
        <v>45931</v>
      </c>
      <c r="J4491">
        <v>199</v>
      </c>
      <c r="K4491" t="s">
        <v>26</v>
      </c>
    </row>
    <row r="4492" spans="1:11">
      <c r="A4492" s="1">
        <v>45960</v>
      </c>
      <c r="B4492" t="s">
        <v>40</v>
      </c>
      <c r="C4492" t="s">
        <v>52</v>
      </c>
      <c r="D4492">
        <v>586</v>
      </c>
      <c r="E4492">
        <v>247</v>
      </c>
      <c r="F4492">
        <v>144</v>
      </c>
      <c r="G4492">
        <v>83</v>
      </c>
      <c r="H4492">
        <v>1060</v>
      </c>
      <c r="I4492" s="1">
        <v>45931</v>
      </c>
      <c r="J4492">
        <v>227</v>
      </c>
      <c r="K4492" t="s">
        <v>26</v>
      </c>
    </row>
    <row r="4493" spans="1:11">
      <c r="A4493" s="1">
        <v>45960</v>
      </c>
      <c r="B4493" t="s">
        <v>40</v>
      </c>
      <c r="C4493" t="s">
        <v>22</v>
      </c>
      <c r="D4493">
        <v>584</v>
      </c>
      <c r="E4493">
        <v>84</v>
      </c>
      <c r="F4493">
        <v>11</v>
      </c>
      <c r="G4493">
        <v>3</v>
      </c>
      <c r="H4493">
        <v>682</v>
      </c>
      <c r="I4493" s="1">
        <v>45931</v>
      </c>
      <c r="J4493">
        <v>14</v>
      </c>
      <c r="K4493" t="s">
        <v>26</v>
      </c>
    </row>
    <row r="4494" spans="1:11">
      <c r="A4494" s="1">
        <v>45960</v>
      </c>
      <c r="B4494" t="s">
        <v>40</v>
      </c>
      <c r="C4494" t="s">
        <v>46</v>
      </c>
      <c r="D4494">
        <v>438</v>
      </c>
      <c r="E4494">
        <v>66</v>
      </c>
      <c r="F4494">
        <v>39</v>
      </c>
      <c r="G4494">
        <v>13</v>
      </c>
      <c r="H4494">
        <v>556</v>
      </c>
      <c r="I4494" s="1">
        <v>45931</v>
      </c>
      <c r="J4494">
        <v>52</v>
      </c>
      <c r="K4494" t="s">
        <v>26</v>
      </c>
    </row>
    <row r="4495" spans="1:11">
      <c r="A4495" s="1">
        <v>45960</v>
      </c>
      <c r="B4495" t="s">
        <v>40</v>
      </c>
      <c r="C4495" t="s">
        <v>31</v>
      </c>
      <c r="D4495">
        <v>399</v>
      </c>
      <c r="E4495">
        <v>92</v>
      </c>
      <c r="F4495">
        <v>44</v>
      </c>
      <c r="G4495">
        <v>82</v>
      </c>
      <c r="H4495">
        <v>616</v>
      </c>
      <c r="I4495" s="1">
        <v>45931</v>
      </c>
      <c r="J4495">
        <v>126</v>
      </c>
      <c r="K4495" t="s">
        <v>26</v>
      </c>
    </row>
    <row r="4496" spans="1:11">
      <c r="A4496" s="1">
        <v>45960</v>
      </c>
      <c r="B4496" t="s">
        <v>40</v>
      </c>
      <c r="C4496" t="s">
        <v>34</v>
      </c>
      <c r="D4496">
        <v>395</v>
      </c>
      <c r="E4496">
        <v>69</v>
      </c>
      <c r="F4496">
        <v>11</v>
      </c>
      <c r="G4496">
        <v>10</v>
      </c>
      <c r="H4496">
        <v>485</v>
      </c>
      <c r="I4496" s="1">
        <v>45931</v>
      </c>
      <c r="J4496">
        <v>21</v>
      </c>
      <c r="K4496" t="s">
        <v>26</v>
      </c>
    </row>
    <row r="4497" spans="1:11">
      <c r="A4497" s="1">
        <v>45960</v>
      </c>
      <c r="B4497" t="s">
        <v>40</v>
      </c>
      <c r="C4497" t="s">
        <v>63</v>
      </c>
      <c r="D4497">
        <v>2209</v>
      </c>
      <c r="E4497">
        <v>490</v>
      </c>
      <c r="F4497">
        <v>210</v>
      </c>
      <c r="G4497">
        <v>284</v>
      </c>
      <c r="H4497">
        <v>3193</v>
      </c>
      <c r="I4497" s="1">
        <v>45931</v>
      </c>
      <c r="J4497">
        <v>494</v>
      </c>
      <c r="K4497" t="s">
        <v>26</v>
      </c>
    </row>
    <row r="4498" spans="1:11">
      <c r="A4498" s="1">
        <v>45960</v>
      </c>
      <c r="B4498" t="s">
        <v>40</v>
      </c>
      <c r="C4498" t="s">
        <v>60</v>
      </c>
      <c r="D4498">
        <v>1700</v>
      </c>
      <c r="E4498">
        <v>508</v>
      </c>
      <c r="F4498">
        <v>312</v>
      </c>
      <c r="G4498">
        <v>313</v>
      </c>
      <c r="H4498">
        <v>2832</v>
      </c>
      <c r="I4498" s="1">
        <v>45931</v>
      </c>
      <c r="J4498">
        <v>625</v>
      </c>
      <c r="K4498" t="s">
        <v>26</v>
      </c>
    </row>
    <row r="4499" spans="1:11">
      <c r="A4499" s="1">
        <v>45960</v>
      </c>
      <c r="B4499" t="s">
        <v>40</v>
      </c>
      <c r="C4499" t="s">
        <v>61</v>
      </c>
      <c r="D4499">
        <v>3010</v>
      </c>
      <c r="E4499">
        <v>774</v>
      </c>
      <c r="F4499">
        <v>458</v>
      </c>
      <c r="G4499">
        <v>548</v>
      </c>
      <c r="H4499">
        <v>4791</v>
      </c>
      <c r="I4499" s="1">
        <v>45931</v>
      </c>
      <c r="J4499">
        <v>1006</v>
      </c>
      <c r="K4499" t="s">
        <v>26</v>
      </c>
    </row>
    <row r="4500" spans="1:11">
      <c r="A4500" s="1">
        <v>45960</v>
      </c>
      <c r="B4500" t="s">
        <v>40</v>
      </c>
      <c r="C4500" t="s">
        <v>62</v>
      </c>
      <c r="D4500">
        <v>371</v>
      </c>
      <c r="E4500">
        <v>54</v>
      </c>
      <c r="F4500">
        <v>9</v>
      </c>
      <c r="G4500">
        <v>24</v>
      </c>
      <c r="H4500">
        <v>459</v>
      </c>
      <c r="I4500" s="1">
        <v>45931</v>
      </c>
      <c r="J4500">
        <v>33</v>
      </c>
      <c r="K4500" t="s">
        <v>26</v>
      </c>
    </row>
    <row r="4501" spans="1:11">
      <c r="A4501" s="1">
        <v>45960</v>
      </c>
      <c r="B4501" t="s">
        <v>40</v>
      </c>
      <c r="C4501" t="s">
        <v>69</v>
      </c>
      <c r="D4501">
        <v>3916</v>
      </c>
      <c r="E4501">
        <v>1221</v>
      </c>
      <c r="F4501">
        <v>501</v>
      </c>
      <c r="G4501">
        <v>491</v>
      </c>
      <c r="H4501">
        <v>6129</v>
      </c>
      <c r="I4501" s="1">
        <v>45931</v>
      </c>
      <c r="J4501">
        <v>992</v>
      </c>
      <c r="K4501" t="s">
        <v>26</v>
      </c>
    </row>
    <row r="4502" spans="1:11">
      <c r="A4502" s="1">
        <v>45960</v>
      </c>
      <c r="B4502" t="s">
        <v>40</v>
      </c>
      <c r="C4502" t="s">
        <v>29</v>
      </c>
      <c r="D4502">
        <v>704</v>
      </c>
      <c r="E4502">
        <v>130</v>
      </c>
      <c r="F4502">
        <v>57</v>
      </c>
      <c r="G4502">
        <v>33</v>
      </c>
      <c r="H4502">
        <v>924</v>
      </c>
      <c r="I4502" s="1">
        <v>45931</v>
      </c>
      <c r="J4502">
        <v>90</v>
      </c>
      <c r="K4502" t="s">
        <v>26</v>
      </c>
    </row>
    <row r="4503" spans="1:11">
      <c r="A4503" s="1">
        <v>45960</v>
      </c>
      <c r="B4503" t="s">
        <v>40</v>
      </c>
      <c r="C4503" t="s">
        <v>70</v>
      </c>
      <c r="D4503">
        <v>748</v>
      </c>
      <c r="E4503">
        <v>205</v>
      </c>
      <c r="F4503">
        <v>100</v>
      </c>
      <c r="G4503">
        <v>16</v>
      </c>
      <c r="H4503">
        <v>1069</v>
      </c>
      <c r="I4503" s="1">
        <v>45931</v>
      </c>
      <c r="J4503">
        <v>116</v>
      </c>
      <c r="K4503" t="s">
        <v>26</v>
      </c>
    </row>
    <row r="4504" spans="1:11">
      <c r="A4504" s="1">
        <v>45960</v>
      </c>
      <c r="B4504" t="s">
        <v>40</v>
      </c>
      <c r="C4504" t="s">
        <v>71</v>
      </c>
      <c r="D4504">
        <v>2769</v>
      </c>
      <c r="E4504">
        <v>651</v>
      </c>
      <c r="F4504">
        <v>283</v>
      </c>
      <c r="G4504">
        <v>201</v>
      </c>
      <c r="H4504">
        <v>3904</v>
      </c>
      <c r="I4504" s="1">
        <v>45931</v>
      </c>
      <c r="J4504">
        <v>484</v>
      </c>
      <c r="K4504" t="s">
        <v>26</v>
      </c>
    </row>
    <row r="4505" spans="1:11">
      <c r="A4505" s="1">
        <v>45960</v>
      </c>
      <c r="B4505" t="s">
        <v>40</v>
      </c>
      <c r="C4505" t="s">
        <v>36</v>
      </c>
      <c r="D4505">
        <v>3175</v>
      </c>
      <c r="E4505">
        <v>918</v>
      </c>
      <c r="F4505">
        <v>516</v>
      </c>
      <c r="G4505">
        <v>342</v>
      </c>
      <c r="H4505">
        <v>4950</v>
      </c>
      <c r="I4505" s="1">
        <v>45931</v>
      </c>
      <c r="J4505">
        <v>858</v>
      </c>
      <c r="K4505" t="s">
        <v>26</v>
      </c>
    </row>
    <row r="4506" spans="1:11">
      <c r="A4506" s="1">
        <v>45960</v>
      </c>
      <c r="B4506" t="s">
        <v>40</v>
      </c>
      <c r="C4506" t="s">
        <v>59</v>
      </c>
      <c r="D4506">
        <v>1655</v>
      </c>
      <c r="E4506">
        <v>981</v>
      </c>
      <c r="F4506">
        <v>380</v>
      </c>
      <c r="G4506">
        <v>301</v>
      </c>
      <c r="H4506">
        <v>3317</v>
      </c>
      <c r="I4506" s="1">
        <v>45931</v>
      </c>
      <c r="J4506">
        <v>681</v>
      </c>
      <c r="K4506" t="s">
        <v>26</v>
      </c>
    </row>
    <row r="4507" spans="1:11">
      <c r="A4507" s="1">
        <v>45960</v>
      </c>
      <c r="B4507" t="s">
        <v>40</v>
      </c>
      <c r="C4507" t="s">
        <v>67</v>
      </c>
      <c r="D4507">
        <v>3138</v>
      </c>
      <c r="E4507">
        <v>885</v>
      </c>
      <c r="F4507">
        <v>415</v>
      </c>
      <c r="G4507">
        <v>801</v>
      </c>
      <c r="H4507">
        <v>5239</v>
      </c>
      <c r="I4507" s="1">
        <v>45931</v>
      </c>
      <c r="J4507">
        <v>1216</v>
      </c>
      <c r="K4507" t="s">
        <v>26</v>
      </c>
    </row>
    <row r="4508" spans="1:11">
      <c r="A4508" s="1">
        <v>45960</v>
      </c>
      <c r="B4508" t="s">
        <v>40</v>
      </c>
      <c r="C4508" t="s">
        <v>49</v>
      </c>
      <c r="D4508">
        <v>800</v>
      </c>
      <c r="E4508">
        <v>307</v>
      </c>
      <c r="F4508">
        <v>29</v>
      </c>
      <c r="G4508">
        <v>22</v>
      </c>
      <c r="H4508">
        <v>1158</v>
      </c>
      <c r="I4508" s="1">
        <v>45931</v>
      </c>
      <c r="J4508">
        <v>51</v>
      </c>
      <c r="K4508" t="s">
        <v>26</v>
      </c>
    </row>
    <row r="4509" spans="1:11">
      <c r="A4509" s="1">
        <v>45988</v>
      </c>
      <c r="B4509" t="s">
        <v>40</v>
      </c>
      <c r="C4509" t="s">
        <v>48</v>
      </c>
      <c r="D4509">
        <v>5420</v>
      </c>
      <c r="E4509">
        <v>3028</v>
      </c>
      <c r="F4509">
        <v>1625</v>
      </c>
      <c r="G4509">
        <v>1145</v>
      </c>
      <c r="H4509">
        <v>11218</v>
      </c>
      <c r="I4509" s="1">
        <v>45962</v>
      </c>
      <c r="J4509">
        <v>2770</v>
      </c>
      <c r="K4509" t="s">
        <v>26</v>
      </c>
    </row>
    <row r="4510" spans="1:11">
      <c r="A4510" s="1">
        <v>45988</v>
      </c>
      <c r="B4510" t="s">
        <v>40</v>
      </c>
      <c r="C4510" t="s">
        <v>65</v>
      </c>
      <c r="D4510">
        <v>973</v>
      </c>
      <c r="E4510">
        <v>331</v>
      </c>
      <c r="F4510">
        <v>188</v>
      </c>
      <c r="G4510">
        <v>54</v>
      </c>
      <c r="H4510">
        <v>1546</v>
      </c>
      <c r="I4510" s="1">
        <v>45962</v>
      </c>
      <c r="J4510">
        <v>242</v>
      </c>
      <c r="K4510" t="s">
        <v>26</v>
      </c>
    </row>
    <row r="4511" spans="1:11">
      <c r="A4511" s="1">
        <v>45988</v>
      </c>
      <c r="B4511" t="s">
        <v>40</v>
      </c>
      <c r="C4511" t="s">
        <v>66</v>
      </c>
      <c r="D4511">
        <v>5474</v>
      </c>
      <c r="E4511">
        <v>2695</v>
      </c>
      <c r="F4511">
        <v>1615</v>
      </c>
      <c r="G4511">
        <v>1650</v>
      </c>
      <c r="H4511">
        <v>11435</v>
      </c>
      <c r="I4511" s="1">
        <v>45962</v>
      </c>
      <c r="J4511">
        <v>3265</v>
      </c>
      <c r="K4511" t="s">
        <v>26</v>
      </c>
    </row>
    <row r="4512" spans="1:11">
      <c r="A4512" s="1">
        <v>45988</v>
      </c>
      <c r="B4512" t="s">
        <v>40</v>
      </c>
      <c r="C4512" t="s">
        <v>57</v>
      </c>
      <c r="D4512">
        <v>1921</v>
      </c>
      <c r="E4512">
        <v>309</v>
      </c>
      <c r="F4512">
        <v>86</v>
      </c>
      <c r="G4512">
        <v>41</v>
      </c>
      <c r="H4512">
        <v>2358</v>
      </c>
      <c r="I4512" s="1">
        <v>45962</v>
      </c>
      <c r="J4512">
        <v>127</v>
      </c>
      <c r="K4512" t="s">
        <v>26</v>
      </c>
    </row>
    <row r="4513" spans="1:11">
      <c r="A4513" s="1">
        <v>45988</v>
      </c>
      <c r="B4513" t="s">
        <v>40</v>
      </c>
      <c r="C4513" t="s">
        <v>68</v>
      </c>
      <c r="D4513">
        <v>6236</v>
      </c>
      <c r="E4513">
        <v>1847</v>
      </c>
      <c r="F4513">
        <v>854</v>
      </c>
      <c r="G4513">
        <v>1393</v>
      </c>
      <c r="H4513">
        <v>10330</v>
      </c>
      <c r="I4513" s="1">
        <v>45962</v>
      </c>
      <c r="J4513">
        <v>2247</v>
      </c>
      <c r="K4513" t="s">
        <v>26</v>
      </c>
    </row>
    <row r="4514" spans="1:11">
      <c r="A4514" s="1">
        <v>45988</v>
      </c>
      <c r="B4514" t="s">
        <v>40</v>
      </c>
      <c r="C4514" t="s">
        <v>25</v>
      </c>
      <c r="D4514">
        <v>752</v>
      </c>
      <c r="E4514">
        <v>266</v>
      </c>
      <c r="F4514">
        <v>33</v>
      </c>
      <c r="G4514">
        <v>9</v>
      </c>
      <c r="H4514">
        <v>1061</v>
      </c>
      <c r="I4514" s="1">
        <v>45962</v>
      </c>
      <c r="J4514">
        <v>42</v>
      </c>
      <c r="K4514" t="s">
        <v>26</v>
      </c>
    </row>
    <row r="4515" spans="1:11">
      <c r="A4515" s="1">
        <v>45988</v>
      </c>
      <c r="B4515" t="s">
        <v>40</v>
      </c>
      <c r="C4515" t="s">
        <v>45</v>
      </c>
      <c r="D4515">
        <v>220</v>
      </c>
      <c r="E4515">
        <v>36</v>
      </c>
      <c r="F4515">
        <v>38</v>
      </c>
      <c r="G4515">
        <v>9</v>
      </c>
      <c r="H4515">
        <v>304</v>
      </c>
      <c r="I4515" s="1">
        <v>45962</v>
      </c>
      <c r="J4515">
        <v>47</v>
      </c>
      <c r="K4515" t="s">
        <v>26</v>
      </c>
    </row>
    <row r="4516" spans="1:11">
      <c r="A4516" s="1">
        <v>45988</v>
      </c>
      <c r="B4516" t="s">
        <v>40</v>
      </c>
      <c r="C4516" t="s">
        <v>43</v>
      </c>
      <c r="D4516">
        <v>1273</v>
      </c>
      <c r="E4516">
        <v>561</v>
      </c>
      <c r="F4516">
        <v>257</v>
      </c>
      <c r="G4516">
        <v>44</v>
      </c>
      <c r="H4516">
        <v>2134</v>
      </c>
      <c r="I4516" s="1">
        <v>45962</v>
      </c>
      <c r="J4516">
        <v>301</v>
      </c>
      <c r="K4516" t="s">
        <v>26</v>
      </c>
    </row>
    <row r="4517" spans="1:11">
      <c r="A4517" s="1">
        <v>45988</v>
      </c>
      <c r="B4517" t="s">
        <v>40</v>
      </c>
      <c r="C4517" t="s">
        <v>38</v>
      </c>
      <c r="D4517">
        <v>287</v>
      </c>
      <c r="E4517">
        <v>103</v>
      </c>
      <c r="F4517">
        <v>48</v>
      </c>
      <c r="G4517">
        <v>71</v>
      </c>
      <c r="H4517">
        <v>509</v>
      </c>
      <c r="I4517" s="1">
        <v>45962</v>
      </c>
      <c r="J4517">
        <v>119</v>
      </c>
      <c r="K4517" t="s">
        <v>26</v>
      </c>
    </row>
    <row r="4518" spans="1:11">
      <c r="A4518" s="1">
        <v>45988</v>
      </c>
      <c r="B4518" t="s">
        <v>40</v>
      </c>
      <c r="C4518" t="s">
        <v>54</v>
      </c>
      <c r="D4518">
        <v>1565</v>
      </c>
      <c r="E4518">
        <v>373</v>
      </c>
      <c r="F4518">
        <v>73</v>
      </c>
      <c r="G4518">
        <v>9</v>
      </c>
      <c r="H4518">
        <v>2020</v>
      </c>
      <c r="I4518" s="1">
        <v>45962</v>
      </c>
      <c r="J4518">
        <v>82</v>
      </c>
      <c r="K4518" t="s">
        <v>26</v>
      </c>
    </row>
    <row r="4519" spans="1:11">
      <c r="A4519" s="1">
        <v>45988</v>
      </c>
      <c r="B4519" t="s">
        <v>40</v>
      </c>
      <c r="C4519" t="s">
        <v>35</v>
      </c>
      <c r="D4519">
        <v>1022</v>
      </c>
      <c r="E4519">
        <v>462</v>
      </c>
      <c r="F4519">
        <v>198</v>
      </c>
      <c r="G4519">
        <v>20</v>
      </c>
      <c r="H4519">
        <v>1702</v>
      </c>
      <c r="I4519" s="1">
        <v>45962</v>
      </c>
      <c r="J4519">
        <v>218</v>
      </c>
      <c r="K4519" t="s">
        <v>26</v>
      </c>
    </row>
    <row r="4520" spans="1:11">
      <c r="A4520" s="1">
        <v>45988</v>
      </c>
      <c r="B4520" t="s">
        <v>40</v>
      </c>
      <c r="C4520" t="s">
        <v>52</v>
      </c>
      <c r="D4520">
        <v>643</v>
      </c>
      <c r="E4520">
        <v>211</v>
      </c>
      <c r="F4520">
        <v>88</v>
      </c>
      <c r="G4520">
        <v>32</v>
      </c>
      <c r="H4520">
        <v>975</v>
      </c>
      <c r="I4520" s="1">
        <v>45962</v>
      </c>
      <c r="J4520">
        <v>120</v>
      </c>
      <c r="K4520" t="s">
        <v>26</v>
      </c>
    </row>
    <row r="4521" spans="1:11">
      <c r="A4521" s="1">
        <v>45988</v>
      </c>
      <c r="B4521" t="s">
        <v>40</v>
      </c>
      <c r="C4521" t="s">
        <v>46</v>
      </c>
      <c r="D4521">
        <v>392</v>
      </c>
      <c r="E4521">
        <v>68</v>
      </c>
      <c r="F4521">
        <v>39</v>
      </c>
      <c r="G4521">
        <v>15</v>
      </c>
      <c r="H4521">
        <v>514</v>
      </c>
      <c r="I4521" s="1">
        <v>45962</v>
      </c>
      <c r="J4521">
        <v>54</v>
      </c>
      <c r="K4521" t="s">
        <v>26</v>
      </c>
    </row>
    <row r="4522" spans="1:11">
      <c r="A4522" s="1">
        <v>45988</v>
      </c>
      <c r="B4522" t="s">
        <v>40</v>
      </c>
      <c r="C4522" t="s">
        <v>31</v>
      </c>
      <c r="D4522">
        <v>457</v>
      </c>
      <c r="E4522">
        <v>89</v>
      </c>
      <c r="F4522">
        <v>45</v>
      </c>
      <c r="G4522">
        <v>83</v>
      </c>
      <c r="H4522">
        <v>674</v>
      </c>
      <c r="I4522" s="1">
        <v>45962</v>
      </c>
      <c r="J4522">
        <v>128</v>
      </c>
      <c r="K4522" t="s">
        <v>26</v>
      </c>
    </row>
    <row r="4523" spans="1:11">
      <c r="A4523" s="1">
        <v>45988</v>
      </c>
      <c r="B4523" t="s">
        <v>40</v>
      </c>
      <c r="C4523" t="s">
        <v>34</v>
      </c>
      <c r="D4523">
        <v>452</v>
      </c>
      <c r="E4523">
        <v>96</v>
      </c>
      <c r="F4523">
        <v>9</v>
      </c>
      <c r="G4523">
        <v>9</v>
      </c>
      <c r="H4523">
        <v>566</v>
      </c>
      <c r="I4523" s="1">
        <v>45962</v>
      </c>
      <c r="J4523">
        <v>18</v>
      </c>
      <c r="K4523" t="s">
        <v>26</v>
      </c>
    </row>
    <row r="4524" spans="1:11">
      <c r="A4524" s="1">
        <v>45988</v>
      </c>
      <c r="B4524" t="s">
        <v>40</v>
      </c>
      <c r="C4524" t="s">
        <v>63</v>
      </c>
      <c r="D4524">
        <v>2360</v>
      </c>
      <c r="E4524">
        <v>578</v>
      </c>
      <c r="F4524">
        <v>228</v>
      </c>
      <c r="G4524">
        <v>275</v>
      </c>
      <c r="H4524">
        <v>3441</v>
      </c>
      <c r="I4524" s="1">
        <v>45962</v>
      </c>
      <c r="J4524">
        <v>503</v>
      </c>
      <c r="K4524" t="s">
        <v>26</v>
      </c>
    </row>
    <row r="4525" spans="1:11">
      <c r="A4525" s="1">
        <v>45988</v>
      </c>
      <c r="B4525" t="s">
        <v>40</v>
      </c>
      <c r="C4525" t="s">
        <v>60</v>
      </c>
      <c r="D4525">
        <v>1834</v>
      </c>
      <c r="E4525">
        <v>537</v>
      </c>
      <c r="F4525">
        <v>305</v>
      </c>
      <c r="G4525">
        <v>315</v>
      </c>
      <c r="H4525">
        <v>2991</v>
      </c>
      <c r="I4525" s="1">
        <v>45962</v>
      </c>
      <c r="J4525">
        <v>620</v>
      </c>
      <c r="K4525" t="s">
        <v>26</v>
      </c>
    </row>
    <row r="4526" spans="1:11">
      <c r="A4526" s="1">
        <v>45988</v>
      </c>
      <c r="B4526" t="s">
        <v>40</v>
      </c>
      <c r="C4526" t="s">
        <v>61</v>
      </c>
      <c r="D4526">
        <v>2944</v>
      </c>
      <c r="E4526">
        <v>840</v>
      </c>
      <c r="F4526">
        <v>362</v>
      </c>
      <c r="G4526">
        <v>471</v>
      </c>
      <c r="H4526">
        <v>4617</v>
      </c>
      <c r="I4526" s="1">
        <v>45962</v>
      </c>
      <c r="J4526">
        <v>833</v>
      </c>
      <c r="K4526" t="s">
        <v>26</v>
      </c>
    </row>
    <row r="4527" spans="1:11">
      <c r="A4527" s="1">
        <v>45988</v>
      </c>
      <c r="B4527" t="s">
        <v>40</v>
      </c>
      <c r="C4527" t="s">
        <v>62</v>
      </c>
      <c r="D4527">
        <v>365</v>
      </c>
      <c r="E4527">
        <v>64</v>
      </c>
      <c r="F4527">
        <v>7</v>
      </c>
      <c r="G4527">
        <v>21</v>
      </c>
      <c r="H4527">
        <v>457</v>
      </c>
      <c r="I4527" s="1">
        <v>45962</v>
      </c>
      <c r="J4527">
        <v>28</v>
      </c>
      <c r="K4527" t="s">
        <v>26</v>
      </c>
    </row>
    <row r="4528" spans="1:11">
      <c r="A4528" s="1">
        <v>45988</v>
      </c>
      <c r="B4528" t="s">
        <v>40</v>
      </c>
      <c r="C4528" t="s">
        <v>69</v>
      </c>
      <c r="D4528">
        <v>4077</v>
      </c>
      <c r="E4528">
        <v>1306</v>
      </c>
      <c r="F4528">
        <v>463</v>
      </c>
      <c r="G4528">
        <v>456</v>
      </c>
      <c r="H4528">
        <v>6302</v>
      </c>
      <c r="I4528" s="1">
        <v>45962</v>
      </c>
      <c r="J4528">
        <v>919</v>
      </c>
      <c r="K4528" t="s">
        <v>26</v>
      </c>
    </row>
    <row r="4529" spans="1:11">
      <c r="A4529" s="1">
        <v>45988</v>
      </c>
      <c r="B4529" t="s">
        <v>40</v>
      </c>
      <c r="C4529" t="s">
        <v>29</v>
      </c>
      <c r="D4529">
        <v>603</v>
      </c>
      <c r="E4529">
        <v>121</v>
      </c>
      <c r="F4529">
        <v>48</v>
      </c>
      <c r="G4529">
        <v>27</v>
      </c>
      <c r="H4529">
        <v>799</v>
      </c>
      <c r="I4529" s="1">
        <v>45962</v>
      </c>
      <c r="J4529">
        <v>75</v>
      </c>
      <c r="K4529" t="s">
        <v>26</v>
      </c>
    </row>
    <row r="4530" spans="1:11">
      <c r="A4530" s="1">
        <v>45988</v>
      </c>
      <c r="B4530" t="s">
        <v>40</v>
      </c>
      <c r="C4530" t="s">
        <v>70</v>
      </c>
      <c r="D4530">
        <v>875</v>
      </c>
      <c r="E4530">
        <v>203</v>
      </c>
      <c r="F4530">
        <v>83</v>
      </c>
      <c r="G4530">
        <v>22</v>
      </c>
      <c r="H4530">
        <v>1183</v>
      </c>
      <c r="I4530" s="1">
        <v>45962</v>
      </c>
      <c r="J4530">
        <v>105</v>
      </c>
      <c r="K4530" t="s">
        <v>26</v>
      </c>
    </row>
    <row r="4531" spans="1:11">
      <c r="A4531" s="1">
        <v>45988</v>
      </c>
      <c r="B4531" t="s">
        <v>40</v>
      </c>
      <c r="C4531" t="s">
        <v>71</v>
      </c>
      <c r="D4531">
        <v>2916</v>
      </c>
      <c r="E4531">
        <v>636</v>
      </c>
      <c r="F4531">
        <v>314</v>
      </c>
      <c r="G4531">
        <v>197</v>
      </c>
      <c r="H4531">
        <v>4062</v>
      </c>
      <c r="I4531" s="1">
        <v>45962</v>
      </c>
      <c r="J4531">
        <v>511</v>
      </c>
      <c r="K4531" t="s">
        <v>26</v>
      </c>
    </row>
    <row r="4532" spans="1:11">
      <c r="A4532" s="1">
        <v>45988</v>
      </c>
      <c r="B4532" t="s">
        <v>40</v>
      </c>
      <c r="C4532" t="s">
        <v>36</v>
      </c>
      <c r="D4532">
        <v>3249</v>
      </c>
      <c r="E4532">
        <v>935</v>
      </c>
      <c r="F4532">
        <v>541</v>
      </c>
      <c r="G4532">
        <v>362</v>
      </c>
      <c r="H4532">
        <v>5086</v>
      </c>
      <c r="I4532" s="1">
        <v>45962</v>
      </c>
      <c r="J4532">
        <v>903</v>
      </c>
      <c r="K4532" t="s">
        <v>26</v>
      </c>
    </row>
    <row r="4533" spans="1:11">
      <c r="A4533" s="1">
        <v>45988</v>
      </c>
      <c r="B4533" t="s">
        <v>40</v>
      </c>
      <c r="C4533" t="s">
        <v>59</v>
      </c>
      <c r="D4533">
        <v>1628</v>
      </c>
      <c r="E4533">
        <v>871</v>
      </c>
      <c r="F4533">
        <v>492</v>
      </c>
      <c r="G4533">
        <v>236</v>
      </c>
      <c r="H4533">
        <v>3226</v>
      </c>
      <c r="I4533" s="1">
        <v>45962</v>
      </c>
      <c r="J4533">
        <v>728</v>
      </c>
      <c r="K4533" t="s">
        <v>26</v>
      </c>
    </row>
    <row r="4534" spans="1:11">
      <c r="A4534" s="1">
        <v>45988</v>
      </c>
      <c r="B4534" t="s">
        <v>40</v>
      </c>
      <c r="C4534" t="s">
        <v>67</v>
      </c>
      <c r="D4534">
        <v>3194</v>
      </c>
      <c r="E4534">
        <v>957</v>
      </c>
      <c r="F4534">
        <v>413</v>
      </c>
      <c r="G4534">
        <v>775</v>
      </c>
      <c r="H4534">
        <v>5338</v>
      </c>
      <c r="I4534" s="1">
        <v>45962</v>
      </c>
      <c r="J4534">
        <v>1188</v>
      </c>
      <c r="K4534" t="s">
        <v>26</v>
      </c>
    </row>
    <row r="4535" spans="1:11">
      <c r="A4535" s="1">
        <v>45988</v>
      </c>
      <c r="B4535" t="s">
        <v>40</v>
      </c>
      <c r="C4535" t="s">
        <v>49</v>
      </c>
      <c r="D4535">
        <v>769</v>
      </c>
      <c r="E4535">
        <v>311</v>
      </c>
      <c r="F4535">
        <v>50</v>
      </c>
      <c r="G4535">
        <v>24</v>
      </c>
      <c r="H4535">
        <v>1154</v>
      </c>
      <c r="I4535" s="1">
        <v>45962</v>
      </c>
      <c r="J4535">
        <v>74</v>
      </c>
      <c r="K4535" t="s">
        <v>26</v>
      </c>
    </row>
    <row r="4536" spans="1:11">
      <c r="A4536" s="1">
        <v>46009</v>
      </c>
      <c r="B4536" t="s">
        <v>40</v>
      </c>
      <c r="C4536" t="s">
        <v>48</v>
      </c>
      <c r="D4536">
        <v>5752</v>
      </c>
      <c r="E4536">
        <v>2771</v>
      </c>
      <c r="F4536">
        <v>1509</v>
      </c>
      <c r="G4536">
        <v>1025</v>
      </c>
      <c r="H4536">
        <v>11057</v>
      </c>
      <c r="I4536" s="1">
        <v>45992</v>
      </c>
      <c r="J4536">
        <v>2534</v>
      </c>
      <c r="K4536" t="s">
        <v>26</v>
      </c>
    </row>
    <row r="4537" spans="1:11">
      <c r="A4537" s="1">
        <v>46009</v>
      </c>
      <c r="B4537" t="s">
        <v>40</v>
      </c>
      <c r="C4537" t="s">
        <v>65</v>
      </c>
      <c r="D4537">
        <v>988</v>
      </c>
      <c r="E4537">
        <v>347</v>
      </c>
      <c r="F4537">
        <v>200</v>
      </c>
      <c r="G4537">
        <v>47</v>
      </c>
      <c r="H4537">
        <v>1581</v>
      </c>
      <c r="I4537" s="1">
        <v>45992</v>
      </c>
      <c r="J4537">
        <v>247</v>
      </c>
      <c r="K4537" t="s">
        <v>26</v>
      </c>
    </row>
    <row r="4538" spans="1:11">
      <c r="A4538" s="1">
        <v>46009</v>
      </c>
      <c r="B4538" t="s">
        <v>40</v>
      </c>
      <c r="C4538" t="s">
        <v>30</v>
      </c>
      <c r="D4538">
        <v>592</v>
      </c>
      <c r="E4538">
        <v>83</v>
      </c>
      <c r="F4538">
        <v>3</v>
      </c>
      <c r="G4538">
        <v>3</v>
      </c>
      <c r="H4538">
        <v>681</v>
      </c>
      <c r="I4538" s="1">
        <v>45992</v>
      </c>
      <c r="J4538">
        <v>6</v>
      </c>
      <c r="K4538" t="s">
        <v>26</v>
      </c>
    </row>
    <row r="4539" spans="1:11">
      <c r="A4539" s="1">
        <v>46009</v>
      </c>
      <c r="B4539" t="s">
        <v>40</v>
      </c>
      <c r="C4539" t="s">
        <v>66</v>
      </c>
      <c r="D4539">
        <v>6158</v>
      </c>
      <c r="E4539">
        <v>2508</v>
      </c>
      <c r="F4539">
        <v>1664</v>
      </c>
      <c r="G4539">
        <v>1672</v>
      </c>
      <c r="H4539">
        <v>12003</v>
      </c>
      <c r="I4539" s="1">
        <v>45992</v>
      </c>
      <c r="J4539">
        <v>3336</v>
      </c>
      <c r="K4539" t="s">
        <v>26</v>
      </c>
    </row>
    <row r="4540" spans="1:11">
      <c r="A4540" s="1">
        <v>46009</v>
      </c>
      <c r="B4540" t="s">
        <v>40</v>
      </c>
      <c r="C4540" t="s">
        <v>57</v>
      </c>
      <c r="D4540">
        <v>2155</v>
      </c>
      <c r="E4540">
        <v>252</v>
      </c>
      <c r="F4540">
        <v>41</v>
      </c>
      <c r="G4540">
        <v>29</v>
      </c>
      <c r="H4540">
        <v>2478</v>
      </c>
      <c r="I4540" s="1">
        <v>45992</v>
      </c>
      <c r="J4540">
        <v>70</v>
      </c>
      <c r="K4540" t="s">
        <v>26</v>
      </c>
    </row>
    <row r="4541" spans="1:11">
      <c r="A4541" s="1">
        <v>46009</v>
      </c>
      <c r="B4541" t="s">
        <v>40</v>
      </c>
      <c r="C4541" t="s">
        <v>28</v>
      </c>
      <c r="D4541">
        <v>334</v>
      </c>
      <c r="E4541">
        <v>68</v>
      </c>
      <c r="F4541">
        <v>1</v>
      </c>
      <c r="G4541">
        <v>1</v>
      </c>
      <c r="H4541">
        <v>405</v>
      </c>
      <c r="I4541" s="1">
        <v>45992</v>
      </c>
      <c r="J4541">
        <v>2</v>
      </c>
      <c r="K4541" t="s">
        <v>26</v>
      </c>
    </row>
    <row r="4542" spans="1:11">
      <c r="A4542" s="1">
        <v>46009</v>
      </c>
      <c r="B4542" t="s">
        <v>40</v>
      </c>
      <c r="C4542" t="s">
        <v>68</v>
      </c>
      <c r="D4542">
        <v>6135</v>
      </c>
      <c r="E4542">
        <v>1929</v>
      </c>
      <c r="F4542">
        <v>877</v>
      </c>
      <c r="G4542">
        <v>1413</v>
      </c>
      <c r="H4542">
        <v>10353</v>
      </c>
      <c r="I4542" s="1">
        <v>45992</v>
      </c>
      <c r="J4542">
        <v>2290</v>
      </c>
      <c r="K4542" t="s">
        <v>26</v>
      </c>
    </row>
    <row r="4543" spans="1:11">
      <c r="A4543" s="1">
        <v>46009</v>
      </c>
      <c r="B4543" t="s">
        <v>40</v>
      </c>
      <c r="C4543" t="s">
        <v>47</v>
      </c>
      <c r="D4543">
        <v>1027</v>
      </c>
      <c r="E4543">
        <v>180</v>
      </c>
      <c r="F4543">
        <v>18</v>
      </c>
      <c r="G4543">
        <v>4</v>
      </c>
      <c r="H4543">
        <v>1228</v>
      </c>
      <c r="I4543" s="1">
        <v>45992</v>
      </c>
      <c r="J4543">
        <v>22</v>
      </c>
      <c r="K4543" t="s">
        <v>26</v>
      </c>
    </row>
    <row r="4544" spans="1:11">
      <c r="A4544" s="1">
        <v>46009</v>
      </c>
      <c r="B4544" t="s">
        <v>40</v>
      </c>
      <c r="C4544" t="s">
        <v>25</v>
      </c>
      <c r="D4544">
        <v>818</v>
      </c>
      <c r="E4544">
        <v>266</v>
      </c>
      <c r="F4544">
        <v>31</v>
      </c>
      <c r="G4544">
        <v>5</v>
      </c>
      <c r="H4544">
        <v>1119</v>
      </c>
      <c r="I4544" s="1">
        <v>45992</v>
      </c>
      <c r="J4544">
        <v>36</v>
      </c>
      <c r="K4544" t="s">
        <v>26</v>
      </c>
    </row>
    <row r="4545" spans="1:11">
      <c r="A4545" s="1">
        <v>46009</v>
      </c>
      <c r="B4545" t="s">
        <v>40</v>
      </c>
      <c r="C4545" t="s">
        <v>45</v>
      </c>
      <c r="D4545">
        <v>255</v>
      </c>
      <c r="E4545">
        <v>42</v>
      </c>
      <c r="F4545">
        <v>30</v>
      </c>
      <c r="G4545">
        <v>11</v>
      </c>
      <c r="H4545">
        <v>338</v>
      </c>
      <c r="I4545" s="1">
        <v>45992</v>
      </c>
      <c r="J4545">
        <v>41</v>
      </c>
      <c r="K4545" t="s">
        <v>26</v>
      </c>
    </row>
    <row r="4546" spans="1:11">
      <c r="A4546" s="1">
        <v>46009</v>
      </c>
      <c r="B4546" t="s">
        <v>40</v>
      </c>
      <c r="C4546" t="s">
        <v>43</v>
      </c>
      <c r="D4546">
        <v>1317</v>
      </c>
      <c r="E4546">
        <v>548</v>
      </c>
      <c r="F4546">
        <v>239</v>
      </c>
      <c r="G4546">
        <v>51</v>
      </c>
      <c r="H4546">
        <v>2155</v>
      </c>
      <c r="I4546" s="1">
        <v>45992</v>
      </c>
      <c r="J4546">
        <v>290</v>
      </c>
      <c r="K4546" t="s">
        <v>26</v>
      </c>
    </row>
    <row r="4547" spans="1:11">
      <c r="A4547" s="1">
        <v>46009</v>
      </c>
      <c r="B4547" t="s">
        <v>40</v>
      </c>
      <c r="C4547" t="s">
        <v>38</v>
      </c>
      <c r="D4547">
        <v>313</v>
      </c>
      <c r="E4547">
        <v>109</v>
      </c>
      <c r="F4547">
        <v>52</v>
      </c>
      <c r="G4547">
        <v>70</v>
      </c>
      <c r="H4547">
        <v>544</v>
      </c>
      <c r="I4547" s="1">
        <v>45992</v>
      </c>
      <c r="J4547">
        <v>122</v>
      </c>
      <c r="K4547" t="s">
        <v>26</v>
      </c>
    </row>
    <row r="4548" spans="1:11">
      <c r="A4548" s="1">
        <v>46009</v>
      </c>
      <c r="B4548" t="s">
        <v>40</v>
      </c>
      <c r="C4548" t="s">
        <v>54</v>
      </c>
      <c r="D4548">
        <v>1694</v>
      </c>
      <c r="E4548">
        <v>372</v>
      </c>
      <c r="F4548">
        <v>66</v>
      </c>
      <c r="G4548">
        <v>6</v>
      </c>
      <c r="H4548">
        <v>2138</v>
      </c>
      <c r="I4548" s="1">
        <v>45992</v>
      </c>
      <c r="J4548">
        <v>72</v>
      </c>
      <c r="K4548" t="s">
        <v>26</v>
      </c>
    </row>
    <row r="4549" spans="1:11">
      <c r="A4549" s="1">
        <v>46009</v>
      </c>
      <c r="B4549" t="s">
        <v>40</v>
      </c>
      <c r="C4549" t="s">
        <v>35</v>
      </c>
      <c r="D4549">
        <v>1132</v>
      </c>
      <c r="E4549">
        <v>442</v>
      </c>
      <c r="F4549">
        <v>187</v>
      </c>
      <c r="G4549">
        <v>3</v>
      </c>
      <c r="H4549">
        <v>1763</v>
      </c>
      <c r="I4549" s="1">
        <v>45992</v>
      </c>
      <c r="J4549">
        <v>190</v>
      </c>
      <c r="K4549" t="s">
        <v>26</v>
      </c>
    </row>
    <row r="4550" spans="1:11">
      <c r="A4550" s="1">
        <v>46009</v>
      </c>
      <c r="B4550" t="s">
        <v>40</v>
      </c>
      <c r="C4550" t="s">
        <v>52</v>
      </c>
      <c r="D4550">
        <v>674</v>
      </c>
      <c r="E4550">
        <v>217</v>
      </c>
      <c r="F4550">
        <v>85</v>
      </c>
      <c r="G4550">
        <v>21</v>
      </c>
      <c r="H4550">
        <v>998</v>
      </c>
      <c r="I4550" s="1">
        <v>45992</v>
      </c>
      <c r="J4550">
        <v>106</v>
      </c>
      <c r="K4550" t="s">
        <v>26</v>
      </c>
    </row>
    <row r="4551" spans="1:11">
      <c r="A4551" s="1">
        <v>46009</v>
      </c>
      <c r="B4551" t="s">
        <v>40</v>
      </c>
      <c r="C4551" t="s">
        <v>46</v>
      </c>
      <c r="D4551">
        <v>442</v>
      </c>
      <c r="E4551">
        <v>69</v>
      </c>
      <c r="F4551">
        <v>43</v>
      </c>
      <c r="G4551">
        <v>13</v>
      </c>
      <c r="H4551">
        <v>567</v>
      </c>
      <c r="I4551" s="1">
        <v>45992</v>
      </c>
      <c r="J4551">
        <v>56</v>
      </c>
      <c r="K4551" t="s">
        <v>26</v>
      </c>
    </row>
    <row r="4552" spans="1:11">
      <c r="A4552" s="1">
        <v>46009</v>
      </c>
      <c r="B4552" t="s">
        <v>40</v>
      </c>
      <c r="C4552" t="s">
        <v>31</v>
      </c>
      <c r="D4552">
        <v>516</v>
      </c>
      <c r="E4552">
        <v>114</v>
      </c>
      <c r="F4552">
        <v>47</v>
      </c>
      <c r="G4552">
        <v>71</v>
      </c>
      <c r="H4552">
        <v>747</v>
      </c>
      <c r="I4552" s="1">
        <v>45992</v>
      </c>
      <c r="J4552">
        <v>118</v>
      </c>
      <c r="K4552" t="s">
        <v>26</v>
      </c>
    </row>
    <row r="4553" spans="1:11">
      <c r="A4553" s="1">
        <v>46009</v>
      </c>
      <c r="B4553" t="s">
        <v>40</v>
      </c>
      <c r="C4553" t="s">
        <v>34</v>
      </c>
      <c r="D4553">
        <v>476</v>
      </c>
      <c r="E4553">
        <v>103</v>
      </c>
      <c r="F4553">
        <v>9</v>
      </c>
      <c r="G4553">
        <v>8</v>
      </c>
      <c r="H4553">
        <v>596</v>
      </c>
      <c r="I4553" s="1">
        <v>45992</v>
      </c>
      <c r="J4553">
        <v>17</v>
      </c>
      <c r="K4553" t="s">
        <v>26</v>
      </c>
    </row>
    <row r="4554" spans="1:11">
      <c r="A4554" s="1">
        <v>46009</v>
      </c>
      <c r="B4554" t="s">
        <v>40</v>
      </c>
      <c r="C4554" t="s">
        <v>63</v>
      </c>
      <c r="D4554">
        <v>2525</v>
      </c>
      <c r="E4554">
        <v>607</v>
      </c>
      <c r="F4554">
        <v>230</v>
      </c>
      <c r="G4554">
        <v>264</v>
      </c>
      <c r="H4554">
        <v>3626</v>
      </c>
      <c r="I4554" s="1">
        <v>45992</v>
      </c>
      <c r="J4554">
        <v>494</v>
      </c>
      <c r="K4554" t="s">
        <v>26</v>
      </c>
    </row>
    <row r="4555" spans="1:11">
      <c r="A4555" s="1">
        <v>46009</v>
      </c>
      <c r="B4555" t="s">
        <v>40</v>
      </c>
      <c r="C4555" t="s">
        <v>60</v>
      </c>
      <c r="D4555">
        <v>1998</v>
      </c>
      <c r="E4555">
        <v>534</v>
      </c>
      <c r="F4555">
        <v>316</v>
      </c>
      <c r="G4555">
        <v>278</v>
      </c>
      <c r="H4555">
        <v>3126</v>
      </c>
      <c r="I4555" s="1">
        <v>45992</v>
      </c>
      <c r="J4555">
        <v>594</v>
      </c>
      <c r="K4555" t="s">
        <v>26</v>
      </c>
    </row>
    <row r="4556" spans="1:11">
      <c r="A4556" s="1">
        <v>46009</v>
      </c>
      <c r="B4556" t="s">
        <v>40</v>
      </c>
      <c r="C4556" t="s">
        <v>61</v>
      </c>
      <c r="D4556">
        <v>3162</v>
      </c>
      <c r="E4556">
        <v>853</v>
      </c>
      <c r="F4556">
        <v>358</v>
      </c>
      <c r="G4556">
        <v>458</v>
      </c>
      <c r="H4556">
        <v>4829</v>
      </c>
      <c r="I4556" s="1">
        <v>45992</v>
      </c>
      <c r="J4556">
        <v>816</v>
      </c>
      <c r="K4556" t="s">
        <v>26</v>
      </c>
    </row>
    <row r="4557" spans="1:11">
      <c r="A4557" s="1">
        <v>46009</v>
      </c>
      <c r="B4557" t="s">
        <v>40</v>
      </c>
      <c r="C4557" t="s">
        <v>69</v>
      </c>
      <c r="D4557">
        <v>4063</v>
      </c>
      <c r="E4557">
        <v>1234</v>
      </c>
      <c r="F4557">
        <v>381</v>
      </c>
      <c r="G4557">
        <v>407</v>
      </c>
      <c r="H4557">
        <v>6085</v>
      </c>
      <c r="I4557" s="1">
        <v>45992</v>
      </c>
      <c r="J4557">
        <v>788</v>
      </c>
      <c r="K4557" t="s">
        <v>26</v>
      </c>
    </row>
    <row r="4558" spans="1:11">
      <c r="A4558" s="1">
        <v>46009</v>
      </c>
      <c r="B4558" t="s">
        <v>40</v>
      </c>
      <c r="C4558" t="s">
        <v>29</v>
      </c>
      <c r="D4558">
        <v>447</v>
      </c>
      <c r="E4558">
        <v>109</v>
      </c>
      <c r="F4558">
        <v>34</v>
      </c>
      <c r="G4558">
        <v>18</v>
      </c>
      <c r="H4558">
        <v>608</v>
      </c>
      <c r="I4558" s="1">
        <v>45992</v>
      </c>
      <c r="J4558">
        <v>52</v>
      </c>
      <c r="K4558" t="s">
        <v>26</v>
      </c>
    </row>
    <row r="4559" spans="1:11">
      <c r="A4559" s="1">
        <v>46009</v>
      </c>
      <c r="B4559" t="s">
        <v>40</v>
      </c>
      <c r="C4559" t="s">
        <v>70</v>
      </c>
      <c r="D4559">
        <v>966</v>
      </c>
      <c r="E4559">
        <v>219</v>
      </c>
      <c r="F4559">
        <v>92</v>
      </c>
      <c r="G4559">
        <v>30</v>
      </c>
      <c r="H4559">
        <v>1306</v>
      </c>
      <c r="I4559" s="1">
        <v>45992</v>
      </c>
      <c r="J4559">
        <v>122</v>
      </c>
      <c r="K4559" t="s">
        <v>26</v>
      </c>
    </row>
    <row r="4560" spans="1:11">
      <c r="A4560" s="1">
        <v>46009</v>
      </c>
      <c r="B4560" t="s">
        <v>40</v>
      </c>
      <c r="C4560" t="s">
        <v>71</v>
      </c>
      <c r="D4560">
        <v>3038</v>
      </c>
      <c r="E4560">
        <v>628</v>
      </c>
      <c r="F4560">
        <v>347</v>
      </c>
      <c r="G4560">
        <v>196</v>
      </c>
      <c r="H4560">
        <v>4210</v>
      </c>
      <c r="I4560" s="1">
        <v>45992</v>
      </c>
      <c r="J4560">
        <v>543</v>
      </c>
      <c r="K4560" t="s">
        <v>26</v>
      </c>
    </row>
    <row r="4561" spans="1:11">
      <c r="A4561" s="1">
        <v>46009</v>
      </c>
      <c r="B4561" t="s">
        <v>40</v>
      </c>
      <c r="C4561" t="s">
        <v>36</v>
      </c>
      <c r="D4561">
        <v>3320</v>
      </c>
      <c r="E4561">
        <v>936</v>
      </c>
      <c r="F4561">
        <v>544</v>
      </c>
      <c r="G4561">
        <v>377</v>
      </c>
      <c r="H4561">
        <v>5178</v>
      </c>
      <c r="I4561" s="1">
        <v>45992</v>
      </c>
      <c r="J4561">
        <v>921</v>
      </c>
      <c r="K4561" t="s">
        <v>26</v>
      </c>
    </row>
    <row r="4562" spans="1:11">
      <c r="A4562" s="1">
        <v>46009</v>
      </c>
      <c r="B4562" t="s">
        <v>40</v>
      </c>
      <c r="C4562" t="s">
        <v>59</v>
      </c>
      <c r="D4562">
        <v>1656</v>
      </c>
      <c r="E4562">
        <v>885</v>
      </c>
      <c r="F4562">
        <v>497</v>
      </c>
      <c r="G4562">
        <v>245</v>
      </c>
      <c r="H4562">
        <v>3284</v>
      </c>
      <c r="I4562" s="1">
        <v>45992</v>
      </c>
      <c r="J4562">
        <v>742</v>
      </c>
      <c r="K4562" t="s">
        <v>26</v>
      </c>
    </row>
    <row r="4563" spans="1:11">
      <c r="A4563" s="1">
        <v>46009</v>
      </c>
      <c r="B4563" t="s">
        <v>40</v>
      </c>
      <c r="C4563" t="s">
        <v>67</v>
      </c>
      <c r="D4563">
        <v>3360</v>
      </c>
      <c r="E4563">
        <v>1006</v>
      </c>
      <c r="F4563">
        <v>433</v>
      </c>
      <c r="G4563">
        <v>786</v>
      </c>
      <c r="H4563">
        <v>5584</v>
      </c>
      <c r="I4563" s="1">
        <v>45992</v>
      </c>
      <c r="J4563">
        <v>1219</v>
      </c>
      <c r="K4563" t="s">
        <v>26</v>
      </c>
    </row>
    <row r="4564" spans="1:11">
      <c r="A4564" s="1">
        <v>46009</v>
      </c>
      <c r="B4564" t="s">
        <v>40</v>
      </c>
      <c r="C4564" t="s">
        <v>49</v>
      </c>
      <c r="D4564">
        <v>762</v>
      </c>
      <c r="E4564">
        <v>180</v>
      </c>
      <c r="F4564">
        <v>45</v>
      </c>
      <c r="G4564">
        <v>26</v>
      </c>
      <c r="H4564">
        <v>1013</v>
      </c>
      <c r="I4564" s="1">
        <v>45992</v>
      </c>
      <c r="J4564">
        <v>71</v>
      </c>
      <c r="K4564" t="s">
        <v>26</v>
      </c>
    </row>
    <row r="4565" spans="1:11">
      <c r="A4565" s="1">
        <v>46051</v>
      </c>
      <c r="B4565" t="s">
        <v>40</v>
      </c>
      <c r="C4565" t="s">
        <v>48</v>
      </c>
      <c r="D4565">
        <v>5434</v>
      </c>
      <c r="E4565">
        <v>3130</v>
      </c>
      <c r="F4565">
        <v>1577</v>
      </c>
      <c r="G4565">
        <v>1322</v>
      </c>
      <c r="H4565">
        <v>11462</v>
      </c>
      <c r="I4565" s="1">
        <v>46023</v>
      </c>
      <c r="J4565">
        <v>2899</v>
      </c>
      <c r="K4565" t="s">
        <v>26</v>
      </c>
    </row>
    <row r="4566" spans="1:11">
      <c r="A4566" s="1">
        <v>46051</v>
      </c>
      <c r="B4566" t="s">
        <v>40</v>
      </c>
      <c r="C4566" t="s">
        <v>65</v>
      </c>
      <c r="D4566">
        <v>985</v>
      </c>
      <c r="E4566">
        <v>410</v>
      </c>
      <c r="F4566">
        <v>203</v>
      </c>
      <c r="G4566">
        <v>59</v>
      </c>
      <c r="H4566">
        <v>1657</v>
      </c>
      <c r="I4566" s="1">
        <v>46023</v>
      </c>
      <c r="J4566">
        <v>262</v>
      </c>
      <c r="K4566" t="s">
        <v>26</v>
      </c>
    </row>
    <row r="4567" spans="1:11">
      <c r="A4567" s="1">
        <v>46051</v>
      </c>
      <c r="B4567" t="s">
        <v>40</v>
      </c>
      <c r="C4567" t="s">
        <v>30</v>
      </c>
      <c r="D4567">
        <v>693</v>
      </c>
      <c r="E4567">
        <v>102</v>
      </c>
      <c r="F4567">
        <v>5</v>
      </c>
      <c r="G4567">
        <v>1</v>
      </c>
      <c r="H4567">
        <v>801</v>
      </c>
      <c r="I4567" s="1">
        <v>46023</v>
      </c>
      <c r="J4567">
        <v>6</v>
      </c>
      <c r="K4567" t="s">
        <v>26</v>
      </c>
    </row>
    <row r="4568" spans="1:11">
      <c r="A4568" s="1">
        <v>46051</v>
      </c>
      <c r="B4568" t="s">
        <v>40</v>
      </c>
      <c r="C4568" t="s">
        <v>66</v>
      </c>
      <c r="D4568">
        <v>6580</v>
      </c>
      <c r="E4568">
        <v>2729</v>
      </c>
      <c r="F4568">
        <v>1671</v>
      </c>
      <c r="G4568">
        <v>1864</v>
      </c>
      <c r="H4568">
        <v>12844</v>
      </c>
      <c r="I4568" s="1">
        <v>46023</v>
      </c>
      <c r="J4568">
        <v>3535</v>
      </c>
      <c r="K4568" t="s">
        <v>26</v>
      </c>
    </row>
    <row r="4569" spans="1:11">
      <c r="A4569" s="1">
        <v>46051</v>
      </c>
      <c r="B4569" t="s">
        <v>40</v>
      </c>
      <c r="C4569" t="s">
        <v>57</v>
      </c>
      <c r="D4569">
        <v>2549</v>
      </c>
      <c r="E4569">
        <v>379</v>
      </c>
      <c r="F4569">
        <v>104</v>
      </c>
      <c r="G4569">
        <v>58</v>
      </c>
      <c r="H4569">
        <v>3089</v>
      </c>
      <c r="I4569" s="1">
        <v>46023</v>
      </c>
      <c r="J4569">
        <v>162</v>
      </c>
      <c r="K4569" t="s">
        <v>26</v>
      </c>
    </row>
    <row r="4570" spans="1:11">
      <c r="A4570" s="1">
        <v>46051</v>
      </c>
      <c r="B4570" t="s">
        <v>40</v>
      </c>
      <c r="C4570" t="s">
        <v>68</v>
      </c>
      <c r="D4570">
        <v>5757</v>
      </c>
      <c r="E4570">
        <v>2241</v>
      </c>
      <c r="F4570">
        <v>894</v>
      </c>
      <c r="G4570">
        <v>1468</v>
      </c>
      <c r="H4570">
        <v>10360</v>
      </c>
      <c r="I4570" s="1">
        <v>46023</v>
      </c>
      <c r="J4570">
        <v>2362</v>
      </c>
      <c r="K4570" t="s">
        <v>26</v>
      </c>
    </row>
    <row r="4571" spans="1:11">
      <c r="A4571" s="1">
        <v>46051</v>
      </c>
      <c r="B4571" t="s">
        <v>40</v>
      </c>
      <c r="C4571" t="s">
        <v>47</v>
      </c>
      <c r="D4571">
        <v>983</v>
      </c>
      <c r="E4571">
        <v>207</v>
      </c>
      <c r="F4571">
        <v>33</v>
      </c>
      <c r="G4571">
        <v>8</v>
      </c>
      <c r="H4571">
        <v>1231</v>
      </c>
      <c r="I4571" s="1">
        <v>46023</v>
      </c>
      <c r="J4571">
        <v>41</v>
      </c>
      <c r="K4571" t="s">
        <v>26</v>
      </c>
    </row>
    <row r="4572" spans="1:11">
      <c r="A4572" s="1">
        <v>46051</v>
      </c>
      <c r="B4572" t="s">
        <v>40</v>
      </c>
      <c r="C4572" t="s">
        <v>25</v>
      </c>
      <c r="D4572">
        <v>810</v>
      </c>
      <c r="E4572">
        <v>291</v>
      </c>
      <c r="F4572">
        <v>42</v>
      </c>
      <c r="G4572">
        <v>10</v>
      </c>
      <c r="H4572">
        <v>1152</v>
      </c>
      <c r="I4572" s="1">
        <v>46023</v>
      </c>
      <c r="J4572">
        <v>52</v>
      </c>
      <c r="K4572" t="s">
        <v>26</v>
      </c>
    </row>
    <row r="4573" spans="1:11">
      <c r="A4573" s="1">
        <v>46051</v>
      </c>
      <c r="B4573" t="s">
        <v>40</v>
      </c>
      <c r="C4573" t="s">
        <v>45</v>
      </c>
      <c r="D4573">
        <v>243</v>
      </c>
      <c r="E4573">
        <v>54</v>
      </c>
      <c r="F4573">
        <v>40</v>
      </c>
      <c r="G4573">
        <v>11</v>
      </c>
      <c r="H4573">
        <v>347</v>
      </c>
      <c r="I4573" s="1">
        <v>46023</v>
      </c>
      <c r="J4573">
        <v>51</v>
      </c>
      <c r="K4573" t="s">
        <v>26</v>
      </c>
    </row>
    <row r="4574" spans="1:11">
      <c r="A4574" s="1">
        <v>46051</v>
      </c>
      <c r="B4574" t="s">
        <v>40</v>
      </c>
      <c r="C4574" t="s">
        <v>43</v>
      </c>
      <c r="D4574">
        <v>1425</v>
      </c>
      <c r="E4574">
        <v>653</v>
      </c>
      <c r="F4574">
        <v>265</v>
      </c>
      <c r="G4574">
        <v>95</v>
      </c>
      <c r="H4574">
        <v>2437</v>
      </c>
      <c r="I4574" s="1">
        <v>46023</v>
      </c>
      <c r="J4574">
        <v>360</v>
      </c>
      <c r="K4574" t="s">
        <v>26</v>
      </c>
    </row>
    <row r="4575" spans="1:11">
      <c r="A4575" s="1">
        <v>46051</v>
      </c>
      <c r="B4575" t="s">
        <v>40</v>
      </c>
      <c r="C4575" t="s">
        <v>38</v>
      </c>
      <c r="D4575">
        <v>287</v>
      </c>
      <c r="E4575">
        <v>111</v>
      </c>
      <c r="F4575">
        <v>58</v>
      </c>
      <c r="G4575">
        <v>61</v>
      </c>
      <c r="H4575">
        <v>517</v>
      </c>
      <c r="I4575" s="1">
        <v>46023</v>
      </c>
      <c r="J4575">
        <v>119</v>
      </c>
      <c r="K4575" t="s">
        <v>26</v>
      </c>
    </row>
    <row r="4576" spans="1:11">
      <c r="A4576" s="1">
        <v>46051</v>
      </c>
      <c r="B4576" t="s">
        <v>40</v>
      </c>
      <c r="C4576" t="s">
        <v>35</v>
      </c>
      <c r="D4576">
        <v>1211</v>
      </c>
      <c r="E4576">
        <v>518</v>
      </c>
      <c r="F4576">
        <v>225</v>
      </c>
      <c r="G4576">
        <v>5</v>
      </c>
      <c r="H4576">
        <v>1959</v>
      </c>
      <c r="I4576" s="1">
        <v>46023</v>
      </c>
      <c r="J4576">
        <v>230</v>
      </c>
      <c r="K4576" t="s">
        <v>26</v>
      </c>
    </row>
    <row r="4577" spans="1:11">
      <c r="A4577" s="1">
        <v>46051</v>
      </c>
      <c r="B4577" t="s">
        <v>40</v>
      </c>
      <c r="C4577" t="s">
        <v>52</v>
      </c>
      <c r="D4577">
        <v>605</v>
      </c>
      <c r="E4577">
        <v>233</v>
      </c>
      <c r="F4577">
        <v>108</v>
      </c>
      <c r="G4577">
        <v>40</v>
      </c>
      <c r="H4577">
        <v>986</v>
      </c>
      <c r="I4577" s="1">
        <v>46023</v>
      </c>
      <c r="J4577">
        <v>148</v>
      </c>
      <c r="K4577" t="s">
        <v>26</v>
      </c>
    </row>
    <row r="4578" spans="1:11">
      <c r="A4578" s="1">
        <v>46051</v>
      </c>
      <c r="B4578" t="s">
        <v>40</v>
      </c>
      <c r="C4578" t="s">
        <v>46</v>
      </c>
      <c r="D4578">
        <v>425</v>
      </c>
      <c r="E4578">
        <v>77</v>
      </c>
      <c r="F4578">
        <v>34</v>
      </c>
      <c r="G4578">
        <v>11</v>
      </c>
      <c r="H4578">
        <v>548</v>
      </c>
      <c r="I4578" s="1">
        <v>46023</v>
      </c>
      <c r="J4578">
        <v>45</v>
      </c>
      <c r="K4578" t="s">
        <v>26</v>
      </c>
    </row>
    <row r="4579" spans="1:11">
      <c r="A4579" s="1">
        <v>46051</v>
      </c>
      <c r="B4579" t="s">
        <v>40</v>
      </c>
      <c r="C4579" t="s">
        <v>31</v>
      </c>
      <c r="D4579">
        <v>618</v>
      </c>
      <c r="E4579">
        <v>101</v>
      </c>
      <c r="F4579">
        <v>31</v>
      </c>
      <c r="G4579">
        <v>79</v>
      </c>
      <c r="H4579">
        <v>829</v>
      </c>
      <c r="I4579" s="1">
        <v>46023</v>
      </c>
      <c r="J4579">
        <v>110</v>
      </c>
      <c r="K4579" t="s">
        <v>26</v>
      </c>
    </row>
    <row r="4580" spans="1:11">
      <c r="A4580" s="1">
        <v>46051</v>
      </c>
      <c r="B4580" t="s">
        <v>40</v>
      </c>
      <c r="C4580" t="s">
        <v>34</v>
      </c>
      <c r="D4580">
        <v>403</v>
      </c>
      <c r="E4580">
        <v>88</v>
      </c>
      <c r="F4580">
        <v>9</v>
      </c>
      <c r="G4580">
        <v>7</v>
      </c>
      <c r="H4580">
        <v>507</v>
      </c>
      <c r="I4580" s="1">
        <v>46023</v>
      </c>
      <c r="J4580">
        <v>16</v>
      </c>
      <c r="K4580" t="s">
        <v>26</v>
      </c>
    </row>
    <row r="4581" spans="1:11">
      <c r="A4581" s="1">
        <v>46051</v>
      </c>
      <c r="B4581" t="s">
        <v>40</v>
      </c>
      <c r="C4581" t="s">
        <v>63</v>
      </c>
      <c r="D4581">
        <v>2269</v>
      </c>
      <c r="E4581">
        <v>805</v>
      </c>
      <c r="F4581">
        <v>245</v>
      </c>
      <c r="G4581">
        <v>284</v>
      </c>
      <c r="H4581">
        <v>3603</v>
      </c>
      <c r="I4581" s="1">
        <v>46023</v>
      </c>
      <c r="J4581">
        <v>529</v>
      </c>
      <c r="K4581" t="s">
        <v>26</v>
      </c>
    </row>
    <row r="4582" spans="1:11">
      <c r="A4582" s="1">
        <v>46051</v>
      </c>
      <c r="B4582" t="s">
        <v>40</v>
      </c>
      <c r="C4582" t="s">
        <v>60</v>
      </c>
      <c r="D4582">
        <v>2079</v>
      </c>
      <c r="E4582">
        <v>608</v>
      </c>
      <c r="F4582">
        <v>311</v>
      </c>
      <c r="G4582">
        <v>273</v>
      </c>
      <c r="H4582">
        <v>3270</v>
      </c>
      <c r="I4582" s="1">
        <v>46023</v>
      </c>
      <c r="J4582">
        <v>584</v>
      </c>
      <c r="K4582" t="s">
        <v>26</v>
      </c>
    </row>
    <row r="4583" spans="1:11">
      <c r="A4583" s="1">
        <v>46051</v>
      </c>
      <c r="B4583" t="s">
        <v>40</v>
      </c>
      <c r="C4583" t="s">
        <v>61</v>
      </c>
      <c r="D4583">
        <v>3148</v>
      </c>
      <c r="E4583">
        <v>949</v>
      </c>
      <c r="F4583">
        <v>405</v>
      </c>
      <c r="G4583">
        <v>477</v>
      </c>
      <c r="H4583">
        <v>4979</v>
      </c>
      <c r="I4583" s="1">
        <v>46023</v>
      </c>
      <c r="J4583">
        <v>882</v>
      </c>
      <c r="K4583" t="s">
        <v>26</v>
      </c>
    </row>
    <row r="4584" spans="1:11">
      <c r="A4584" s="1">
        <v>46051</v>
      </c>
      <c r="B4584" t="s">
        <v>40</v>
      </c>
      <c r="C4584" t="s">
        <v>62</v>
      </c>
      <c r="D4584">
        <v>361</v>
      </c>
      <c r="E4584">
        <v>98</v>
      </c>
      <c r="F4584">
        <v>15</v>
      </c>
      <c r="G4584">
        <v>5</v>
      </c>
      <c r="H4584">
        <v>479</v>
      </c>
      <c r="I4584" s="1">
        <v>46023</v>
      </c>
      <c r="J4584">
        <v>20</v>
      </c>
      <c r="K4584" t="s">
        <v>26</v>
      </c>
    </row>
    <row r="4585" spans="1:11">
      <c r="A4585" s="1">
        <v>46051</v>
      </c>
      <c r="B4585" t="s">
        <v>40</v>
      </c>
      <c r="C4585" t="s">
        <v>69</v>
      </c>
      <c r="D4585">
        <v>4087</v>
      </c>
      <c r="E4585">
        <v>1466</v>
      </c>
      <c r="F4585">
        <v>391</v>
      </c>
      <c r="G4585">
        <v>437</v>
      </c>
      <c r="H4585">
        <v>6381</v>
      </c>
      <c r="I4585" s="1">
        <v>46023</v>
      </c>
      <c r="J4585">
        <v>828</v>
      </c>
      <c r="K4585" t="s">
        <v>26</v>
      </c>
    </row>
    <row r="4586" spans="1:11">
      <c r="A4586" s="1">
        <v>46051</v>
      </c>
      <c r="B4586" t="s">
        <v>40</v>
      </c>
      <c r="C4586" t="s">
        <v>29</v>
      </c>
      <c r="D4586">
        <v>429</v>
      </c>
      <c r="E4586">
        <v>129</v>
      </c>
      <c r="F4586">
        <v>26</v>
      </c>
      <c r="G4586">
        <v>18</v>
      </c>
      <c r="H4586">
        <v>602</v>
      </c>
      <c r="I4586" s="1">
        <v>46023</v>
      </c>
      <c r="J4586">
        <v>44</v>
      </c>
      <c r="K4586" t="s">
        <v>26</v>
      </c>
    </row>
    <row r="4587" spans="1:11">
      <c r="A4587" s="1">
        <v>46051</v>
      </c>
      <c r="B4587" t="s">
        <v>40</v>
      </c>
      <c r="C4587" t="s">
        <v>70</v>
      </c>
      <c r="D4587">
        <v>947</v>
      </c>
      <c r="E4587">
        <v>294</v>
      </c>
      <c r="F4587">
        <v>86</v>
      </c>
      <c r="G4587">
        <v>45</v>
      </c>
      <c r="H4587">
        <v>1372</v>
      </c>
      <c r="I4587" s="1">
        <v>46023</v>
      </c>
      <c r="J4587">
        <v>131</v>
      </c>
      <c r="K4587" t="s">
        <v>26</v>
      </c>
    </row>
    <row r="4588" spans="1:11">
      <c r="A4588" s="1">
        <v>46051</v>
      </c>
      <c r="B4588" t="s">
        <v>40</v>
      </c>
      <c r="C4588" t="s">
        <v>71</v>
      </c>
      <c r="D4588">
        <v>3251</v>
      </c>
      <c r="E4588">
        <v>712</v>
      </c>
      <c r="F4588">
        <v>358</v>
      </c>
      <c r="G4588">
        <v>221</v>
      </c>
      <c r="H4588">
        <v>4543</v>
      </c>
      <c r="I4588" s="1">
        <v>46023</v>
      </c>
      <c r="J4588">
        <v>579</v>
      </c>
      <c r="K4588" t="s">
        <v>26</v>
      </c>
    </row>
    <row r="4589" spans="1:11">
      <c r="A4589" s="1">
        <v>46051</v>
      </c>
      <c r="B4589" t="s">
        <v>40</v>
      </c>
      <c r="C4589" t="s">
        <v>36</v>
      </c>
      <c r="D4589">
        <v>3426</v>
      </c>
      <c r="E4589">
        <v>1111</v>
      </c>
      <c r="F4589">
        <v>573</v>
      </c>
      <c r="G4589">
        <v>446</v>
      </c>
      <c r="H4589">
        <v>5556</v>
      </c>
      <c r="I4589" s="1">
        <v>46023</v>
      </c>
      <c r="J4589">
        <v>1019</v>
      </c>
      <c r="K4589" t="s">
        <v>26</v>
      </c>
    </row>
    <row r="4590" spans="1:11">
      <c r="A4590" s="1">
        <v>46051</v>
      </c>
      <c r="B4590" t="s">
        <v>40</v>
      </c>
      <c r="C4590" t="s">
        <v>59</v>
      </c>
      <c r="D4590">
        <v>1805</v>
      </c>
      <c r="E4590">
        <v>879</v>
      </c>
      <c r="F4590">
        <v>459</v>
      </c>
      <c r="G4590">
        <v>269</v>
      </c>
      <c r="H4590">
        <v>3411</v>
      </c>
      <c r="I4590" s="1">
        <v>46023</v>
      </c>
      <c r="J4590">
        <v>728</v>
      </c>
      <c r="K4590" t="s">
        <v>26</v>
      </c>
    </row>
    <row r="4591" spans="1:11">
      <c r="A4591" s="1">
        <v>46051</v>
      </c>
      <c r="B4591" t="s">
        <v>40</v>
      </c>
      <c r="C4591" t="s">
        <v>67</v>
      </c>
      <c r="D4591">
        <v>3337</v>
      </c>
      <c r="E4591">
        <v>1107</v>
      </c>
      <c r="F4591">
        <v>401</v>
      </c>
      <c r="G4591">
        <v>795</v>
      </c>
      <c r="H4591">
        <v>5641</v>
      </c>
      <c r="I4591" s="1">
        <v>46023</v>
      </c>
      <c r="J4591">
        <v>1196</v>
      </c>
      <c r="K4591" t="s">
        <v>26</v>
      </c>
    </row>
    <row r="4592" spans="1:11">
      <c r="A4592" s="1">
        <v>46051</v>
      </c>
      <c r="B4592" t="s">
        <v>40</v>
      </c>
      <c r="C4592" t="s">
        <v>49</v>
      </c>
      <c r="D4592">
        <v>735</v>
      </c>
      <c r="E4592">
        <v>183</v>
      </c>
      <c r="F4592">
        <v>45</v>
      </c>
      <c r="G4592">
        <v>30</v>
      </c>
      <c r="H4592">
        <v>992</v>
      </c>
      <c r="I4592" s="1">
        <v>46023</v>
      </c>
      <c r="J4592">
        <v>75</v>
      </c>
      <c r="K4592" t="s">
        <v>26</v>
      </c>
    </row>
    <row r="4593" spans="1:11">
      <c r="A4593" s="1">
        <v>46079</v>
      </c>
      <c r="B4593" t="s">
        <v>40</v>
      </c>
      <c r="C4593" t="s">
        <v>48</v>
      </c>
      <c r="D4593">
        <v>5618</v>
      </c>
      <c r="E4593">
        <v>3332</v>
      </c>
      <c r="F4593">
        <v>1683</v>
      </c>
      <c r="G4593">
        <v>1394</v>
      </c>
      <c r="H4593">
        <v>12026</v>
      </c>
      <c r="I4593" s="1">
        <v>46054</v>
      </c>
      <c r="J4593">
        <v>3077</v>
      </c>
      <c r="K4593" t="s">
        <v>26</v>
      </c>
    </row>
    <row r="4594" spans="1:11">
      <c r="A4594" s="1">
        <v>46079</v>
      </c>
      <c r="B4594" t="s">
        <v>40</v>
      </c>
      <c r="C4594" t="s">
        <v>55</v>
      </c>
      <c r="D4594">
        <v>1575</v>
      </c>
      <c r="E4594">
        <v>331</v>
      </c>
      <c r="F4594">
        <v>31</v>
      </c>
      <c r="G4594">
        <v>8</v>
      </c>
      <c r="H4594">
        <v>1944</v>
      </c>
      <c r="I4594" s="1">
        <v>46054</v>
      </c>
      <c r="J4594">
        <v>39</v>
      </c>
      <c r="K4594" t="s">
        <v>26</v>
      </c>
    </row>
    <row r="4595" spans="1:11">
      <c r="A4595" s="1">
        <v>46079</v>
      </c>
      <c r="B4595" t="s">
        <v>40</v>
      </c>
      <c r="C4595" t="s">
        <v>65</v>
      </c>
      <c r="D4595">
        <v>1131</v>
      </c>
      <c r="E4595">
        <v>413</v>
      </c>
      <c r="F4595">
        <v>203</v>
      </c>
      <c r="G4595">
        <v>73</v>
      </c>
      <c r="H4595">
        <v>1819</v>
      </c>
      <c r="I4595" s="1">
        <v>46054</v>
      </c>
      <c r="J4595">
        <v>276</v>
      </c>
      <c r="K4595" t="s">
        <v>26</v>
      </c>
    </row>
    <row r="4596" spans="1:11">
      <c r="A4596" s="1">
        <v>46079</v>
      </c>
      <c r="B4596" t="s">
        <v>40</v>
      </c>
      <c r="C4596" t="s">
        <v>66</v>
      </c>
      <c r="D4596">
        <v>7101</v>
      </c>
      <c r="E4596">
        <v>2703</v>
      </c>
      <c r="F4596">
        <v>1640</v>
      </c>
      <c r="G4596">
        <v>1920</v>
      </c>
      <c r="H4596">
        <v>13364</v>
      </c>
      <c r="I4596" s="1">
        <v>46054</v>
      </c>
      <c r="J4596">
        <v>3560</v>
      </c>
      <c r="K4596" t="s">
        <v>26</v>
      </c>
    </row>
    <row r="4597" spans="1:11">
      <c r="A4597" s="1">
        <v>46079</v>
      </c>
      <c r="B4597" t="s">
        <v>40</v>
      </c>
      <c r="C4597" t="s">
        <v>57</v>
      </c>
      <c r="D4597">
        <v>2709</v>
      </c>
      <c r="E4597">
        <v>479</v>
      </c>
      <c r="F4597">
        <v>141</v>
      </c>
      <c r="G4597">
        <v>68</v>
      </c>
      <c r="H4597">
        <v>3397</v>
      </c>
      <c r="I4597" s="1">
        <v>46054</v>
      </c>
      <c r="J4597">
        <v>209</v>
      </c>
      <c r="K4597" t="s">
        <v>26</v>
      </c>
    </row>
    <row r="4598" spans="1:11">
      <c r="A4598" s="1">
        <v>46079</v>
      </c>
      <c r="B4598" t="s">
        <v>40</v>
      </c>
      <c r="C4598" t="s">
        <v>68</v>
      </c>
      <c r="D4598">
        <v>5884</v>
      </c>
      <c r="E4598">
        <v>2391</v>
      </c>
      <c r="F4598">
        <v>944</v>
      </c>
      <c r="G4598">
        <v>1491</v>
      </c>
      <c r="H4598">
        <v>10711</v>
      </c>
      <c r="I4598" s="1">
        <v>46054</v>
      </c>
      <c r="J4598">
        <v>2435</v>
      </c>
      <c r="K4598" t="s">
        <v>26</v>
      </c>
    </row>
    <row r="4599" spans="1:11">
      <c r="A4599" s="1">
        <v>46079</v>
      </c>
      <c r="B4599" t="s">
        <v>40</v>
      </c>
      <c r="C4599" t="s">
        <v>47</v>
      </c>
      <c r="D4599">
        <v>981</v>
      </c>
      <c r="E4599">
        <v>192</v>
      </c>
      <c r="F4599">
        <v>44</v>
      </c>
      <c r="G4599">
        <v>15</v>
      </c>
      <c r="H4599">
        <v>1231</v>
      </c>
      <c r="I4599" s="1">
        <v>46054</v>
      </c>
      <c r="J4599">
        <v>59</v>
      </c>
      <c r="K4599" t="s">
        <v>26</v>
      </c>
    </row>
    <row r="4600" spans="1:11">
      <c r="A4600" s="1">
        <v>46079</v>
      </c>
      <c r="B4600" t="s">
        <v>40</v>
      </c>
      <c r="C4600" t="s">
        <v>25</v>
      </c>
      <c r="D4600">
        <v>827</v>
      </c>
      <c r="E4600">
        <v>300</v>
      </c>
      <c r="F4600">
        <v>52</v>
      </c>
      <c r="G4600">
        <v>12</v>
      </c>
      <c r="H4600">
        <v>1191</v>
      </c>
      <c r="I4600" s="1">
        <v>46054</v>
      </c>
      <c r="J4600">
        <v>64</v>
      </c>
      <c r="K4600" t="s">
        <v>26</v>
      </c>
    </row>
    <row r="4601" spans="1:11">
      <c r="A4601" s="1">
        <v>46079</v>
      </c>
      <c r="B4601" t="s">
        <v>40</v>
      </c>
      <c r="C4601" t="s">
        <v>45</v>
      </c>
      <c r="D4601">
        <v>202</v>
      </c>
      <c r="E4601">
        <v>55</v>
      </c>
      <c r="F4601">
        <v>32</v>
      </c>
      <c r="G4601">
        <v>14</v>
      </c>
      <c r="H4601">
        <v>302</v>
      </c>
      <c r="I4601" s="1">
        <v>46054</v>
      </c>
      <c r="J4601">
        <v>46</v>
      </c>
      <c r="K4601" t="s">
        <v>26</v>
      </c>
    </row>
    <row r="4602" spans="1:11">
      <c r="A4602" s="1">
        <v>46079</v>
      </c>
      <c r="B4602" t="s">
        <v>40</v>
      </c>
      <c r="C4602" t="s">
        <v>43</v>
      </c>
      <c r="D4602">
        <v>1425</v>
      </c>
      <c r="E4602">
        <v>657</v>
      </c>
      <c r="F4602">
        <v>282</v>
      </c>
      <c r="G4602">
        <v>109</v>
      </c>
      <c r="H4602">
        <v>2473</v>
      </c>
      <c r="I4602" s="1">
        <v>46054</v>
      </c>
      <c r="J4602">
        <v>391</v>
      </c>
      <c r="K4602" t="s">
        <v>26</v>
      </c>
    </row>
    <row r="4603" spans="1:11">
      <c r="A4603" s="1">
        <v>46079</v>
      </c>
      <c r="B4603" t="s">
        <v>40</v>
      </c>
      <c r="C4603" t="s">
        <v>38</v>
      </c>
      <c r="D4603">
        <v>329</v>
      </c>
      <c r="E4603">
        <v>108</v>
      </c>
      <c r="F4603">
        <v>58</v>
      </c>
      <c r="G4603">
        <v>52</v>
      </c>
      <c r="H4603">
        <v>547</v>
      </c>
      <c r="I4603" s="1">
        <v>46054</v>
      </c>
      <c r="J4603">
        <v>110</v>
      </c>
      <c r="K4603" t="s">
        <v>26</v>
      </c>
    </row>
    <row r="4604" spans="1:11">
      <c r="A4604" s="1">
        <v>46079</v>
      </c>
      <c r="B4604" t="s">
        <v>40</v>
      </c>
      <c r="C4604" t="s">
        <v>35</v>
      </c>
      <c r="D4604">
        <v>977</v>
      </c>
      <c r="E4604">
        <v>705</v>
      </c>
      <c r="F4604">
        <v>192</v>
      </c>
      <c r="G4604">
        <v>6</v>
      </c>
      <c r="H4604">
        <v>1879</v>
      </c>
      <c r="I4604" s="1">
        <v>46054</v>
      </c>
      <c r="J4604">
        <v>198</v>
      </c>
      <c r="K4604" t="s">
        <v>26</v>
      </c>
    </row>
    <row r="4605" spans="1:11">
      <c r="A4605" s="1">
        <v>46079</v>
      </c>
      <c r="B4605" t="s">
        <v>40</v>
      </c>
      <c r="C4605" t="s">
        <v>52</v>
      </c>
      <c r="D4605">
        <v>597</v>
      </c>
      <c r="E4605">
        <v>219</v>
      </c>
      <c r="F4605">
        <v>121</v>
      </c>
      <c r="G4605">
        <v>52</v>
      </c>
      <c r="H4605">
        <v>990</v>
      </c>
      <c r="I4605" s="1">
        <v>46054</v>
      </c>
      <c r="J4605">
        <v>173</v>
      </c>
      <c r="K4605" t="s">
        <v>26</v>
      </c>
    </row>
    <row r="4606" spans="1:11">
      <c r="A4606" s="1">
        <v>46079</v>
      </c>
      <c r="B4606" t="s">
        <v>40</v>
      </c>
      <c r="C4606" t="s">
        <v>46</v>
      </c>
      <c r="D4606">
        <v>417</v>
      </c>
      <c r="E4606">
        <v>69</v>
      </c>
      <c r="F4606">
        <v>26</v>
      </c>
      <c r="G4606">
        <v>12</v>
      </c>
      <c r="H4606">
        <v>524</v>
      </c>
      <c r="I4606" s="1">
        <v>46054</v>
      </c>
      <c r="J4606">
        <v>38</v>
      </c>
      <c r="K4606" t="s">
        <v>26</v>
      </c>
    </row>
    <row r="4607" spans="1:11">
      <c r="A4607" s="1">
        <v>46079</v>
      </c>
      <c r="B4607" t="s">
        <v>40</v>
      </c>
      <c r="C4607" t="s">
        <v>31</v>
      </c>
      <c r="D4607">
        <v>632</v>
      </c>
      <c r="E4607">
        <v>101</v>
      </c>
      <c r="F4607">
        <v>35</v>
      </c>
      <c r="G4607">
        <v>77</v>
      </c>
      <c r="H4607">
        <v>846</v>
      </c>
      <c r="I4607" s="1">
        <v>46054</v>
      </c>
      <c r="J4607">
        <v>112</v>
      </c>
      <c r="K4607" t="s">
        <v>26</v>
      </c>
    </row>
    <row r="4608" spans="1:11">
      <c r="A4608" s="1">
        <v>46079</v>
      </c>
      <c r="B4608" t="s">
        <v>40</v>
      </c>
      <c r="C4608" t="s">
        <v>34</v>
      </c>
      <c r="D4608">
        <v>441</v>
      </c>
      <c r="E4608">
        <v>93</v>
      </c>
      <c r="F4608">
        <v>8</v>
      </c>
      <c r="G4608">
        <v>5</v>
      </c>
      <c r="H4608">
        <v>547</v>
      </c>
      <c r="I4608" s="1">
        <v>46054</v>
      </c>
      <c r="J4608">
        <v>13</v>
      </c>
      <c r="K4608" t="s">
        <v>26</v>
      </c>
    </row>
    <row r="4609" spans="1:11">
      <c r="A4609" s="1">
        <v>46079</v>
      </c>
      <c r="B4609" t="s">
        <v>40</v>
      </c>
      <c r="C4609" t="s">
        <v>63</v>
      </c>
      <c r="D4609">
        <v>2196</v>
      </c>
      <c r="E4609">
        <v>985</v>
      </c>
      <c r="F4609">
        <v>244</v>
      </c>
      <c r="G4609">
        <v>321</v>
      </c>
      <c r="H4609">
        <v>3746</v>
      </c>
      <c r="I4609" s="1">
        <v>46054</v>
      </c>
      <c r="J4609">
        <v>565</v>
      </c>
      <c r="K4609" t="s">
        <v>26</v>
      </c>
    </row>
    <row r="4610" spans="1:11">
      <c r="A4610" s="1">
        <v>46079</v>
      </c>
      <c r="B4610" t="s">
        <v>40</v>
      </c>
      <c r="C4610" t="s">
        <v>60</v>
      </c>
      <c r="D4610">
        <v>2063</v>
      </c>
      <c r="E4610">
        <v>646</v>
      </c>
      <c r="F4610">
        <v>292</v>
      </c>
      <c r="G4610">
        <v>272</v>
      </c>
      <c r="H4610">
        <v>3274</v>
      </c>
      <c r="I4610" s="1">
        <v>46054</v>
      </c>
      <c r="J4610">
        <v>564</v>
      </c>
      <c r="K4610" t="s">
        <v>26</v>
      </c>
    </row>
    <row r="4611" spans="1:11">
      <c r="A4611" s="1">
        <v>46079</v>
      </c>
      <c r="B4611" t="s">
        <v>40</v>
      </c>
      <c r="C4611" t="s">
        <v>61</v>
      </c>
      <c r="D4611">
        <v>3092</v>
      </c>
      <c r="E4611">
        <v>910</v>
      </c>
      <c r="F4611">
        <v>456</v>
      </c>
      <c r="G4611">
        <v>384</v>
      </c>
      <c r="H4611">
        <v>4841</v>
      </c>
      <c r="I4611" s="1">
        <v>46054</v>
      </c>
      <c r="J4611">
        <v>840</v>
      </c>
      <c r="K4611" t="s">
        <v>26</v>
      </c>
    </row>
    <row r="4612" spans="1:11">
      <c r="A4612" s="1">
        <v>46079</v>
      </c>
      <c r="B4612" t="s">
        <v>40</v>
      </c>
      <c r="C4612" t="s">
        <v>69</v>
      </c>
      <c r="D4612">
        <v>4254</v>
      </c>
      <c r="E4612">
        <v>1510</v>
      </c>
      <c r="F4612">
        <v>470</v>
      </c>
      <c r="G4612">
        <v>471</v>
      </c>
      <c r="H4612">
        <v>6706</v>
      </c>
      <c r="I4612" s="1">
        <v>46054</v>
      </c>
      <c r="J4612">
        <v>941</v>
      </c>
      <c r="K4612" t="s">
        <v>26</v>
      </c>
    </row>
    <row r="4613" spans="1:11">
      <c r="A4613" s="1">
        <v>46079</v>
      </c>
      <c r="B4613" t="s">
        <v>40</v>
      </c>
      <c r="C4613" t="s">
        <v>24</v>
      </c>
      <c r="D4613">
        <v>674</v>
      </c>
      <c r="E4613">
        <v>299</v>
      </c>
      <c r="F4613">
        <v>17</v>
      </c>
      <c r="G4613">
        <v>5</v>
      </c>
      <c r="H4613">
        <v>995</v>
      </c>
      <c r="I4613" s="1">
        <v>46054</v>
      </c>
      <c r="J4613">
        <v>22</v>
      </c>
      <c r="K4613" t="s">
        <v>26</v>
      </c>
    </row>
    <row r="4614" spans="1:11">
      <c r="A4614" s="1">
        <v>46079</v>
      </c>
      <c r="B4614" t="s">
        <v>40</v>
      </c>
      <c r="C4614" t="s">
        <v>29</v>
      </c>
      <c r="D4614">
        <v>454</v>
      </c>
      <c r="E4614">
        <v>139</v>
      </c>
      <c r="F4614">
        <v>31</v>
      </c>
      <c r="G4614">
        <v>19</v>
      </c>
      <c r="H4614">
        <v>643</v>
      </c>
      <c r="I4614" s="1">
        <v>46054</v>
      </c>
      <c r="J4614">
        <v>50</v>
      </c>
      <c r="K4614" t="s">
        <v>26</v>
      </c>
    </row>
    <row r="4615" spans="1:11">
      <c r="A4615" s="1">
        <v>46079</v>
      </c>
      <c r="B4615" t="s">
        <v>40</v>
      </c>
      <c r="C4615" t="s">
        <v>70</v>
      </c>
      <c r="D4615">
        <v>1059</v>
      </c>
      <c r="E4615">
        <v>321</v>
      </c>
      <c r="F4615">
        <v>107</v>
      </c>
      <c r="G4615">
        <v>54</v>
      </c>
      <c r="H4615">
        <v>1540</v>
      </c>
      <c r="I4615" s="1">
        <v>46054</v>
      </c>
      <c r="J4615">
        <v>161</v>
      </c>
      <c r="K4615" t="s">
        <v>26</v>
      </c>
    </row>
    <row r="4616" spans="1:11">
      <c r="A4616" s="1">
        <v>46079</v>
      </c>
      <c r="B4616" t="s">
        <v>40</v>
      </c>
      <c r="C4616" t="s">
        <v>71</v>
      </c>
      <c r="D4616">
        <v>3299</v>
      </c>
      <c r="E4616">
        <v>782</v>
      </c>
      <c r="F4616">
        <v>349</v>
      </c>
      <c r="G4616">
        <v>227</v>
      </c>
      <c r="H4616">
        <v>4657</v>
      </c>
      <c r="I4616" s="1">
        <v>46054</v>
      </c>
      <c r="J4616">
        <v>576</v>
      </c>
      <c r="K4616" t="s">
        <v>26</v>
      </c>
    </row>
    <row r="4617" spans="1:11">
      <c r="A4617" s="1">
        <v>46079</v>
      </c>
      <c r="B4617" t="s">
        <v>40</v>
      </c>
      <c r="C4617" t="s">
        <v>36</v>
      </c>
      <c r="D4617">
        <v>3345</v>
      </c>
      <c r="E4617">
        <v>1096</v>
      </c>
      <c r="F4617">
        <v>600</v>
      </c>
      <c r="G4617">
        <v>485</v>
      </c>
      <c r="H4617">
        <v>5526</v>
      </c>
      <c r="I4617" s="1">
        <v>46054</v>
      </c>
      <c r="J4617">
        <v>1085</v>
      </c>
      <c r="K4617" t="s">
        <v>26</v>
      </c>
    </row>
    <row r="4618" spans="1:11">
      <c r="A4618" s="1">
        <v>46079</v>
      </c>
      <c r="B4618" t="s">
        <v>40</v>
      </c>
      <c r="C4618" t="s">
        <v>59</v>
      </c>
      <c r="D4618">
        <v>1669</v>
      </c>
      <c r="E4618">
        <v>895</v>
      </c>
      <c r="F4618">
        <v>474</v>
      </c>
      <c r="G4618">
        <v>249</v>
      </c>
      <c r="H4618">
        <v>3287</v>
      </c>
      <c r="I4618" s="1">
        <v>46054</v>
      </c>
      <c r="J4618">
        <v>723</v>
      </c>
      <c r="K4618" t="s">
        <v>26</v>
      </c>
    </row>
    <row r="4619" spans="1:11">
      <c r="A4619" s="1">
        <v>46079</v>
      </c>
      <c r="B4619" t="s">
        <v>40</v>
      </c>
      <c r="C4619" t="s">
        <v>67</v>
      </c>
      <c r="D4619">
        <v>3393</v>
      </c>
      <c r="E4619">
        <v>1055</v>
      </c>
      <c r="F4619">
        <v>461</v>
      </c>
      <c r="G4619">
        <v>781</v>
      </c>
      <c r="H4619">
        <v>5690</v>
      </c>
      <c r="I4619" s="1">
        <v>46054</v>
      </c>
      <c r="J4619">
        <v>1242</v>
      </c>
      <c r="K4619" t="s">
        <v>26</v>
      </c>
    </row>
    <row r="4620" spans="1:11">
      <c r="A4620" s="1">
        <v>46079</v>
      </c>
      <c r="B4620" t="s">
        <v>40</v>
      </c>
      <c r="C4620" t="s">
        <v>49</v>
      </c>
      <c r="D4620">
        <v>755</v>
      </c>
      <c r="E4620">
        <v>193</v>
      </c>
      <c r="F4620">
        <v>59</v>
      </c>
      <c r="G4620">
        <v>27</v>
      </c>
      <c r="H4620">
        <v>1033</v>
      </c>
      <c r="I4620" s="1">
        <v>46054</v>
      </c>
      <c r="J4620">
        <v>86</v>
      </c>
      <c r="K4620" t="s">
        <v>26</v>
      </c>
    </row>
    <row r="4621" spans="1:11">
      <c r="A4621" s="1">
        <v>46107</v>
      </c>
      <c r="B4621" t="s">
        <v>40</v>
      </c>
      <c r="C4621" t="s">
        <v>48</v>
      </c>
      <c r="D4621">
        <v>5774</v>
      </c>
      <c r="E4621">
        <v>3397</v>
      </c>
      <c r="F4621">
        <v>1766</v>
      </c>
      <c r="G4621">
        <v>1714</v>
      </c>
      <c r="H4621">
        <v>12650</v>
      </c>
      <c r="I4621" s="1">
        <v>46082</v>
      </c>
      <c r="J4621">
        <v>3480</v>
      </c>
      <c r="K4621" t="s">
        <v>26</v>
      </c>
    </row>
    <row r="4622" spans="1:11">
      <c r="A4622" s="1">
        <v>46107</v>
      </c>
      <c r="B4622" t="s">
        <v>40</v>
      </c>
      <c r="C4622" t="s">
        <v>41</v>
      </c>
      <c r="D4622">
        <v>314</v>
      </c>
      <c r="E4622">
        <v>20</v>
      </c>
      <c r="F4622">
        <v>1</v>
      </c>
      <c r="G4622">
        <v>1</v>
      </c>
      <c r="H4622">
        <v>337</v>
      </c>
      <c r="I4622" s="1">
        <v>46082</v>
      </c>
      <c r="J4622">
        <v>2</v>
      </c>
      <c r="K4622" t="s">
        <v>26</v>
      </c>
    </row>
    <row r="4623" spans="1:11">
      <c r="A4623" s="1">
        <v>46107</v>
      </c>
      <c r="B4623" t="s">
        <v>40</v>
      </c>
      <c r="C4623" t="s">
        <v>55</v>
      </c>
      <c r="D4623">
        <v>1574</v>
      </c>
      <c r="E4623">
        <v>391</v>
      </c>
      <c r="F4623">
        <v>41</v>
      </c>
      <c r="G4623">
        <v>4</v>
      </c>
      <c r="H4623">
        <v>2010</v>
      </c>
      <c r="I4623" s="1">
        <v>46082</v>
      </c>
      <c r="J4623">
        <v>45</v>
      </c>
      <c r="K4623" t="s">
        <v>26</v>
      </c>
    </row>
    <row r="4624" spans="1:11">
      <c r="A4624" s="1">
        <v>46107</v>
      </c>
      <c r="B4624" t="s">
        <v>40</v>
      </c>
      <c r="C4624" t="s">
        <v>65</v>
      </c>
      <c r="D4624">
        <v>1144</v>
      </c>
      <c r="E4624">
        <v>421</v>
      </c>
      <c r="F4624">
        <v>194</v>
      </c>
      <c r="G4624">
        <v>92</v>
      </c>
      <c r="H4624">
        <v>1851</v>
      </c>
      <c r="I4624" s="1">
        <v>46082</v>
      </c>
      <c r="J4624">
        <v>286</v>
      </c>
      <c r="K4624" t="s">
        <v>26</v>
      </c>
    </row>
    <row r="4625" spans="1:11">
      <c r="A4625" s="1">
        <v>46107</v>
      </c>
      <c r="B4625" t="s">
        <v>40</v>
      </c>
      <c r="C4625" t="s">
        <v>66</v>
      </c>
      <c r="D4625">
        <v>7148</v>
      </c>
      <c r="E4625">
        <v>2513</v>
      </c>
      <c r="F4625">
        <v>1575</v>
      </c>
      <c r="G4625">
        <v>1992</v>
      </c>
      <c r="H4625">
        <v>13227</v>
      </c>
      <c r="I4625" s="1">
        <v>46082</v>
      </c>
      <c r="J4625">
        <v>3567</v>
      </c>
      <c r="K4625" t="s">
        <v>26</v>
      </c>
    </row>
    <row r="4626" spans="1:11">
      <c r="A4626" s="1">
        <v>46107</v>
      </c>
      <c r="B4626" t="s">
        <v>40</v>
      </c>
      <c r="C4626" t="s">
        <v>57</v>
      </c>
      <c r="D4626">
        <v>2707</v>
      </c>
      <c r="E4626">
        <v>508</v>
      </c>
      <c r="F4626">
        <v>136</v>
      </c>
      <c r="G4626">
        <v>40</v>
      </c>
      <c r="H4626">
        <v>3391</v>
      </c>
      <c r="I4626" s="1">
        <v>46082</v>
      </c>
      <c r="J4626">
        <v>176</v>
      </c>
      <c r="K4626" t="s">
        <v>26</v>
      </c>
    </row>
    <row r="4627" spans="1:11">
      <c r="A4627" s="1">
        <v>46107</v>
      </c>
      <c r="B4627" t="s">
        <v>40</v>
      </c>
      <c r="C4627" t="s">
        <v>68</v>
      </c>
      <c r="D4627">
        <v>5817</v>
      </c>
      <c r="E4627">
        <v>2414</v>
      </c>
      <c r="F4627">
        <v>985</v>
      </c>
      <c r="G4627">
        <v>1458</v>
      </c>
      <c r="H4627">
        <v>10674</v>
      </c>
      <c r="I4627" s="1">
        <v>46082</v>
      </c>
      <c r="J4627">
        <v>2443</v>
      </c>
      <c r="K4627" t="s">
        <v>26</v>
      </c>
    </row>
    <row r="4628" spans="1:11">
      <c r="A4628" s="1">
        <v>46107</v>
      </c>
      <c r="B4628" t="s">
        <v>40</v>
      </c>
      <c r="C4628" t="s">
        <v>47</v>
      </c>
      <c r="D4628">
        <v>977</v>
      </c>
      <c r="E4628">
        <v>226</v>
      </c>
      <c r="F4628">
        <v>39</v>
      </c>
      <c r="G4628">
        <v>12</v>
      </c>
      <c r="H4628">
        <v>1253</v>
      </c>
      <c r="I4628" s="1">
        <v>46082</v>
      </c>
      <c r="J4628">
        <v>51</v>
      </c>
      <c r="K4628" t="s">
        <v>26</v>
      </c>
    </row>
    <row r="4629" spans="1:11">
      <c r="A4629" s="1">
        <v>46107</v>
      </c>
      <c r="B4629" t="s">
        <v>40</v>
      </c>
      <c r="C4629" t="s">
        <v>25</v>
      </c>
      <c r="D4629">
        <v>893</v>
      </c>
      <c r="E4629">
        <v>299</v>
      </c>
      <c r="F4629">
        <v>70</v>
      </c>
      <c r="G4629">
        <v>10</v>
      </c>
      <c r="H4629">
        <v>1271</v>
      </c>
      <c r="I4629" s="1">
        <v>46082</v>
      </c>
      <c r="J4629">
        <v>80</v>
      </c>
      <c r="K4629" t="s">
        <v>26</v>
      </c>
    </row>
    <row r="4630" spans="1:11">
      <c r="A4630" s="1">
        <v>46107</v>
      </c>
      <c r="B4630" t="s">
        <v>40</v>
      </c>
      <c r="C4630" t="s">
        <v>45</v>
      </c>
      <c r="D4630">
        <v>212</v>
      </c>
      <c r="E4630">
        <v>67</v>
      </c>
      <c r="F4630">
        <v>18</v>
      </c>
      <c r="G4630">
        <v>14</v>
      </c>
      <c r="H4630">
        <v>312</v>
      </c>
      <c r="I4630" s="1">
        <v>46082</v>
      </c>
      <c r="J4630">
        <v>32</v>
      </c>
      <c r="K4630" t="s">
        <v>26</v>
      </c>
    </row>
    <row r="4631" spans="1:11">
      <c r="A4631" s="1">
        <v>46107</v>
      </c>
      <c r="B4631" t="s">
        <v>40</v>
      </c>
      <c r="C4631" t="s">
        <v>43</v>
      </c>
      <c r="D4631">
        <v>1414</v>
      </c>
      <c r="E4631">
        <v>746</v>
      </c>
      <c r="F4631">
        <v>279</v>
      </c>
      <c r="G4631">
        <v>138</v>
      </c>
      <c r="H4631">
        <v>2577</v>
      </c>
      <c r="I4631" s="1">
        <v>46082</v>
      </c>
      <c r="J4631">
        <v>417</v>
      </c>
      <c r="K4631" t="s">
        <v>26</v>
      </c>
    </row>
    <row r="4632" spans="1:11">
      <c r="A4632" s="1">
        <v>46107</v>
      </c>
      <c r="B4632" t="s">
        <v>40</v>
      </c>
      <c r="C4632" t="s">
        <v>38</v>
      </c>
      <c r="D4632">
        <v>353</v>
      </c>
      <c r="E4632">
        <v>113</v>
      </c>
      <c r="F4632">
        <v>51</v>
      </c>
      <c r="G4632">
        <v>57</v>
      </c>
      <c r="H4632">
        <v>574</v>
      </c>
      <c r="I4632" s="1">
        <v>46082</v>
      </c>
      <c r="J4632">
        <v>108</v>
      </c>
      <c r="K4632" t="s">
        <v>26</v>
      </c>
    </row>
    <row r="4633" spans="1:11">
      <c r="A4633" s="1">
        <v>46107</v>
      </c>
      <c r="B4633" t="s">
        <v>40</v>
      </c>
      <c r="C4633" t="s">
        <v>35</v>
      </c>
      <c r="D4633">
        <v>957</v>
      </c>
      <c r="E4633">
        <v>735</v>
      </c>
      <c r="F4633">
        <v>155</v>
      </c>
      <c r="G4633">
        <v>4</v>
      </c>
      <c r="H4633">
        <v>1851</v>
      </c>
      <c r="I4633" s="1">
        <v>46082</v>
      </c>
      <c r="J4633">
        <v>159</v>
      </c>
      <c r="K4633" t="s">
        <v>26</v>
      </c>
    </row>
    <row r="4634" spans="1:11">
      <c r="A4634" s="1">
        <v>46107</v>
      </c>
      <c r="B4634" t="s">
        <v>40</v>
      </c>
      <c r="C4634" t="s">
        <v>52</v>
      </c>
      <c r="D4634">
        <v>596</v>
      </c>
      <c r="E4634">
        <v>194</v>
      </c>
      <c r="F4634">
        <v>66</v>
      </c>
      <c r="G4634">
        <v>22</v>
      </c>
      <c r="H4634">
        <v>878</v>
      </c>
      <c r="I4634" s="1">
        <v>46082</v>
      </c>
      <c r="J4634">
        <v>88</v>
      </c>
      <c r="K4634" t="s">
        <v>26</v>
      </c>
    </row>
    <row r="4635" spans="1:11">
      <c r="A4635" s="1">
        <v>46107</v>
      </c>
      <c r="B4635" t="s">
        <v>40</v>
      </c>
      <c r="C4635" t="s">
        <v>46</v>
      </c>
      <c r="D4635">
        <v>411</v>
      </c>
      <c r="E4635">
        <v>65</v>
      </c>
      <c r="F4635">
        <v>33</v>
      </c>
      <c r="G4635">
        <v>5</v>
      </c>
      <c r="H4635">
        <v>513</v>
      </c>
      <c r="I4635" s="1">
        <v>46082</v>
      </c>
      <c r="J4635">
        <v>38</v>
      </c>
      <c r="K4635" t="s">
        <v>26</v>
      </c>
    </row>
    <row r="4636" spans="1:11">
      <c r="A4636" s="1">
        <v>46107</v>
      </c>
      <c r="B4636" t="s">
        <v>40</v>
      </c>
      <c r="C4636" t="s">
        <v>31</v>
      </c>
      <c r="D4636">
        <v>618</v>
      </c>
      <c r="E4636">
        <v>88</v>
      </c>
      <c r="F4636">
        <v>33</v>
      </c>
      <c r="G4636">
        <v>74</v>
      </c>
      <c r="H4636">
        <v>814</v>
      </c>
      <c r="I4636" s="1">
        <v>46082</v>
      </c>
      <c r="J4636">
        <v>107</v>
      </c>
      <c r="K4636" t="s">
        <v>26</v>
      </c>
    </row>
    <row r="4637" spans="1:11">
      <c r="A4637" s="1">
        <v>46107</v>
      </c>
      <c r="B4637" t="s">
        <v>40</v>
      </c>
      <c r="C4637" t="s">
        <v>34</v>
      </c>
      <c r="D4637">
        <v>431</v>
      </c>
      <c r="E4637">
        <v>106</v>
      </c>
      <c r="F4637">
        <v>12</v>
      </c>
      <c r="G4637">
        <v>8</v>
      </c>
      <c r="H4637">
        <v>557</v>
      </c>
      <c r="I4637" s="1">
        <v>46082</v>
      </c>
      <c r="J4637">
        <v>20</v>
      </c>
      <c r="K4637" t="s">
        <v>26</v>
      </c>
    </row>
    <row r="4638" spans="1:11">
      <c r="A4638" s="1">
        <v>46107</v>
      </c>
      <c r="B4638" t="s">
        <v>40</v>
      </c>
      <c r="C4638" t="s">
        <v>63</v>
      </c>
      <c r="D4638">
        <v>1896</v>
      </c>
      <c r="E4638">
        <v>1027</v>
      </c>
      <c r="F4638">
        <v>271</v>
      </c>
      <c r="G4638">
        <v>346</v>
      </c>
      <c r="H4638">
        <v>3540</v>
      </c>
      <c r="I4638" s="1">
        <v>46082</v>
      </c>
      <c r="J4638">
        <v>617</v>
      </c>
      <c r="K4638" t="s">
        <v>26</v>
      </c>
    </row>
    <row r="4639" spans="1:11">
      <c r="A4639" s="1">
        <v>46107</v>
      </c>
      <c r="B4639" t="s">
        <v>40</v>
      </c>
      <c r="C4639" t="s">
        <v>60</v>
      </c>
      <c r="D4639">
        <v>2055</v>
      </c>
      <c r="E4639">
        <v>597</v>
      </c>
      <c r="F4639">
        <v>302</v>
      </c>
      <c r="G4639">
        <v>250</v>
      </c>
      <c r="H4639">
        <v>3204</v>
      </c>
      <c r="I4639" s="1">
        <v>46082</v>
      </c>
      <c r="J4639">
        <v>552</v>
      </c>
      <c r="K4639" t="s">
        <v>26</v>
      </c>
    </row>
    <row r="4640" spans="1:11">
      <c r="A4640" s="1">
        <v>46107</v>
      </c>
      <c r="B4640" t="s">
        <v>40</v>
      </c>
      <c r="C4640" t="s">
        <v>61</v>
      </c>
      <c r="D4640">
        <v>2981</v>
      </c>
      <c r="E4640">
        <v>935</v>
      </c>
      <c r="F4640">
        <v>461</v>
      </c>
      <c r="G4640">
        <v>324</v>
      </c>
      <c r="H4640">
        <v>4701</v>
      </c>
      <c r="I4640" s="1">
        <v>46082</v>
      </c>
      <c r="J4640">
        <v>785</v>
      </c>
      <c r="K4640" t="s">
        <v>26</v>
      </c>
    </row>
    <row r="4641" spans="1:11">
      <c r="A4641" s="1">
        <v>46107</v>
      </c>
      <c r="B4641" t="s">
        <v>40</v>
      </c>
      <c r="C4641" t="s">
        <v>69</v>
      </c>
      <c r="D4641">
        <v>4347</v>
      </c>
      <c r="E4641">
        <v>1619</v>
      </c>
      <c r="F4641">
        <v>530</v>
      </c>
      <c r="G4641">
        <v>490</v>
      </c>
      <c r="H4641">
        <v>6986</v>
      </c>
      <c r="I4641" s="1">
        <v>46082</v>
      </c>
      <c r="J4641">
        <v>1020</v>
      </c>
      <c r="K4641" t="s">
        <v>26</v>
      </c>
    </row>
    <row r="4642" spans="1:11">
      <c r="A4642" s="1">
        <v>46107</v>
      </c>
      <c r="B4642" t="s">
        <v>40</v>
      </c>
      <c r="C4642" t="s">
        <v>29</v>
      </c>
      <c r="D4642">
        <v>445</v>
      </c>
      <c r="E4642">
        <v>141</v>
      </c>
      <c r="F4642">
        <v>32</v>
      </c>
      <c r="G4642">
        <v>18</v>
      </c>
      <c r="H4642">
        <v>635</v>
      </c>
      <c r="I4642" s="1">
        <v>46082</v>
      </c>
      <c r="J4642">
        <v>50</v>
      </c>
      <c r="K4642" t="s">
        <v>26</v>
      </c>
    </row>
    <row r="4643" spans="1:11">
      <c r="A4643" s="1">
        <v>46107</v>
      </c>
      <c r="B4643" t="s">
        <v>40</v>
      </c>
      <c r="C4643" t="s">
        <v>70</v>
      </c>
      <c r="D4643">
        <v>1145</v>
      </c>
      <c r="E4643">
        <v>332</v>
      </c>
      <c r="F4643">
        <v>116</v>
      </c>
      <c r="G4643">
        <v>55</v>
      </c>
      <c r="H4643">
        <v>1648</v>
      </c>
      <c r="I4643" s="1">
        <v>46082</v>
      </c>
      <c r="J4643">
        <v>171</v>
      </c>
      <c r="K4643" t="s">
        <v>26</v>
      </c>
    </row>
    <row r="4644" spans="1:11">
      <c r="A4644" s="1">
        <v>46107</v>
      </c>
      <c r="B4644" t="s">
        <v>40</v>
      </c>
      <c r="C4644" t="s">
        <v>71</v>
      </c>
      <c r="D4644">
        <v>3290</v>
      </c>
      <c r="E4644">
        <v>822</v>
      </c>
      <c r="F4644">
        <v>373</v>
      </c>
      <c r="G4644">
        <v>235</v>
      </c>
      <c r="H4644">
        <v>4720</v>
      </c>
      <c r="I4644" s="1">
        <v>46082</v>
      </c>
      <c r="J4644">
        <v>608</v>
      </c>
      <c r="K4644" t="s">
        <v>26</v>
      </c>
    </row>
    <row r="4645" spans="1:11">
      <c r="A4645" s="1">
        <v>46107</v>
      </c>
      <c r="B4645" t="s">
        <v>40</v>
      </c>
      <c r="C4645" t="s">
        <v>36</v>
      </c>
      <c r="D4645">
        <v>3252</v>
      </c>
      <c r="E4645">
        <v>1119</v>
      </c>
      <c r="F4645">
        <v>573</v>
      </c>
      <c r="G4645">
        <v>536</v>
      </c>
      <c r="H4645">
        <v>5480</v>
      </c>
      <c r="I4645" s="1">
        <v>46082</v>
      </c>
      <c r="J4645">
        <v>1109</v>
      </c>
      <c r="K4645" t="s">
        <v>26</v>
      </c>
    </row>
    <row r="4646" spans="1:11">
      <c r="A4646" s="1">
        <v>46107</v>
      </c>
      <c r="B4646" t="s">
        <v>40</v>
      </c>
      <c r="C4646" t="s">
        <v>59</v>
      </c>
      <c r="D4646">
        <v>1687</v>
      </c>
      <c r="E4646">
        <v>942</v>
      </c>
      <c r="F4646">
        <v>445</v>
      </c>
      <c r="G4646">
        <v>271</v>
      </c>
      <c r="H4646">
        <v>3345</v>
      </c>
      <c r="I4646" s="1">
        <v>46082</v>
      </c>
      <c r="J4646">
        <v>716</v>
      </c>
      <c r="K4646" t="s">
        <v>26</v>
      </c>
    </row>
    <row r="4647" spans="1:11">
      <c r="A4647" s="1">
        <v>46107</v>
      </c>
      <c r="B4647" t="s">
        <v>40</v>
      </c>
      <c r="C4647" t="s">
        <v>67</v>
      </c>
      <c r="D4647">
        <v>3511</v>
      </c>
      <c r="E4647">
        <v>1099</v>
      </c>
      <c r="F4647">
        <v>473</v>
      </c>
      <c r="G4647">
        <v>697</v>
      </c>
      <c r="H4647">
        <v>5779</v>
      </c>
      <c r="I4647" s="1">
        <v>46082</v>
      </c>
      <c r="J4647">
        <v>1170</v>
      </c>
      <c r="K4647" t="s">
        <v>26</v>
      </c>
    </row>
    <row r="4648" spans="1:11">
      <c r="A4648" s="1">
        <v>46107</v>
      </c>
      <c r="B4648" t="s">
        <v>40</v>
      </c>
      <c r="C4648" t="s">
        <v>49</v>
      </c>
      <c r="D4648">
        <v>734</v>
      </c>
      <c r="E4648">
        <v>197</v>
      </c>
      <c r="F4648">
        <v>45</v>
      </c>
      <c r="G4648">
        <v>25</v>
      </c>
      <c r="H4648">
        <v>1000</v>
      </c>
      <c r="I4648" s="1">
        <v>46082</v>
      </c>
      <c r="J4648">
        <v>70</v>
      </c>
      <c r="K4648" t="s">
        <v>26</v>
      </c>
    </row>
    <row r="4649" spans="1:11">
      <c r="A4649" s="1">
        <v>46142</v>
      </c>
      <c r="B4649" t="s">
        <v>40</v>
      </c>
      <c r="C4649" t="s">
        <v>48</v>
      </c>
      <c r="D4649">
        <v>5533</v>
      </c>
      <c r="E4649">
        <v>3404</v>
      </c>
      <c r="F4649">
        <v>1931</v>
      </c>
      <c r="G4649">
        <v>1975</v>
      </c>
      <c r="H4649">
        <v>12843</v>
      </c>
      <c r="I4649" s="1">
        <v>46113</v>
      </c>
      <c r="J4649">
        <v>3906</v>
      </c>
      <c r="K4649" t="s">
        <v>26</v>
      </c>
    </row>
    <row r="4650" spans="1:11">
      <c r="A4650" s="1">
        <v>46142</v>
      </c>
      <c r="B4650" t="s">
        <v>40</v>
      </c>
      <c r="C4650" t="s">
        <v>55</v>
      </c>
      <c r="D4650">
        <v>1608</v>
      </c>
      <c r="E4650">
        <v>534</v>
      </c>
      <c r="F4650">
        <v>55</v>
      </c>
      <c r="G4650">
        <v>7</v>
      </c>
      <c r="H4650">
        <v>2204</v>
      </c>
      <c r="I4650" s="1">
        <v>46113</v>
      </c>
      <c r="J4650">
        <v>62</v>
      </c>
      <c r="K4650" t="s">
        <v>26</v>
      </c>
    </row>
    <row r="4651" spans="1:11">
      <c r="A4651" s="1">
        <v>46142</v>
      </c>
      <c r="B4651" t="s">
        <v>40</v>
      </c>
      <c r="C4651" t="s">
        <v>65</v>
      </c>
      <c r="D4651">
        <v>1050</v>
      </c>
      <c r="E4651">
        <v>389</v>
      </c>
      <c r="F4651">
        <v>181</v>
      </c>
      <c r="G4651">
        <v>105</v>
      </c>
      <c r="H4651">
        <v>1725</v>
      </c>
      <c r="I4651" s="1">
        <v>46113</v>
      </c>
      <c r="J4651">
        <v>286</v>
      </c>
      <c r="K4651" t="s">
        <v>26</v>
      </c>
    </row>
    <row r="4652" spans="1:11">
      <c r="A4652" s="1">
        <v>46142</v>
      </c>
      <c r="B4652" t="s">
        <v>40</v>
      </c>
      <c r="C4652" t="s">
        <v>37</v>
      </c>
      <c r="D4652">
        <v>623</v>
      </c>
      <c r="E4652">
        <v>184</v>
      </c>
      <c r="F4652">
        <v>26</v>
      </c>
      <c r="G4652">
        <v>1</v>
      </c>
      <c r="H4652">
        <v>835</v>
      </c>
      <c r="I4652" s="1">
        <v>46113</v>
      </c>
      <c r="J4652">
        <v>27</v>
      </c>
      <c r="K4652" t="s">
        <v>26</v>
      </c>
    </row>
    <row r="4653" spans="1:11">
      <c r="A4653" s="1">
        <v>46142</v>
      </c>
      <c r="B4653" t="s">
        <v>40</v>
      </c>
      <c r="C4653" t="s">
        <v>66</v>
      </c>
      <c r="D4653">
        <v>6964</v>
      </c>
      <c r="E4653">
        <v>2585</v>
      </c>
      <c r="F4653">
        <v>1483</v>
      </c>
      <c r="G4653">
        <v>2173</v>
      </c>
      <c r="H4653">
        <v>13205</v>
      </c>
      <c r="I4653" s="1">
        <v>46113</v>
      </c>
      <c r="J4653">
        <v>3656</v>
      </c>
      <c r="K4653" t="s">
        <v>26</v>
      </c>
    </row>
    <row r="4654" spans="1:11">
      <c r="A4654" s="1">
        <v>46142</v>
      </c>
      <c r="B4654" t="s">
        <v>40</v>
      </c>
      <c r="C4654" t="s">
        <v>57</v>
      </c>
      <c r="D4654">
        <v>2800</v>
      </c>
      <c r="E4654">
        <v>728</v>
      </c>
      <c r="F4654">
        <v>121</v>
      </c>
      <c r="G4654">
        <v>32</v>
      </c>
      <c r="H4654">
        <v>3681</v>
      </c>
      <c r="I4654" s="1">
        <v>46113</v>
      </c>
      <c r="J4654">
        <v>153</v>
      </c>
      <c r="K4654" t="s">
        <v>26</v>
      </c>
    </row>
    <row r="4655" spans="1:11">
      <c r="A4655" s="1">
        <v>46142</v>
      </c>
      <c r="B4655" t="s">
        <v>40</v>
      </c>
      <c r="C4655" t="s">
        <v>68</v>
      </c>
      <c r="D4655">
        <v>5784</v>
      </c>
      <c r="E4655">
        <v>2564</v>
      </c>
      <c r="F4655">
        <v>1049</v>
      </c>
      <c r="G4655">
        <v>1421</v>
      </c>
      <c r="H4655">
        <v>10818</v>
      </c>
      <c r="I4655" s="1">
        <v>46113</v>
      </c>
      <c r="J4655">
        <v>2470</v>
      </c>
      <c r="K4655" t="s">
        <v>26</v>
      </c>
    </row>
    <row r="4656" spans="1:11">
      <c r="A4656" s="1">
        <v>46142</v>
      </c>
      <c r="B4656" t="s">
        <v>40</v>
      </c>
      <c r="C4656" t="s">
        <v>47</v>
      </c>
      <c r="D4656">
        <v>939</v>
      </c>
      <c r="E4656">
        <v>254</v>
      </c>
      <c r="F4656">
        <v>45</v>
      </c>
      <c r="G4656">
        <v>9</v>
      </c>
      <c r="H4656">
        <v>1248</v>
      </c>
      <c r="I4656" s="1">
        <v>46113</v>
      </c>
      <c r="J4656">
        <v>54</v>
      </c>
      <c r="K4656" t="s">
        <v>26</v>
      </c>
    </row>
    <row r="4657" spans="1:11">
      <c r="A4657" s="1">
        <v>46142</v>
      </c>
      <c r="B4657" t="s">
        <v>40</v>
      </c>
      <c r="C4657" t="s">
        <v>25</v>
      </c>
      <c r="D4657">
        <v>883</v>
      </c>
      <c r="E4657">
        <v>306</v>
      </c>
      <c r="F4657">
        <v>87</v>
      </c>
      <c r="G4657">
        <v>10</v>
      </c>
      <c r="H4657">
        <v>1286</v>
      </c>
      <c r="I4657" s="1">
        <v>46113</v>
      </c>
      <c r="J4657">
        <v>97</v>
      </c>
      <c r="K4657" t="s">
        <v>26</v>
      </c>
    </row>
    <row r="4658" spans="1:11">
      <c r="A4658" s="1">
        <v>46142</v>
      </c>
      <c r="B4658" t="s">
        <v>40</v>
      </c>
      <c r="C4658" t="s">
        <v>45</v>
      </c>
      <c r="D4658">
        <v>229</v>
      </c>
      <c r="E4658">
        <v>63</v>
      </c>
      <c r="F4658">
        <v>19</v>
      </c>
      <c r="G4658">
        <v>16</v>
      </c>
      <c r="H4658">
        <v>327</v>
      </c>
      <c r="I4658" s="1">
        <v>46113</v>
      </c>
      <c r="J4658">
        <v>35</v>
      </c>
      <c r="K4658" t="s">
        <v>26</v>
      </c>
    </row>
    <row r="4659" spans="1:11">
      <c r="A4659" s="1">
        <v>46142</v>
      </c>
      <c r="B4659" t="s">
        <v>40</v>
      </c>
      <c r="C4659" t="s">
        <v>43</v>
      </c>
      <c r="D4659">
        <v>1364</v>
      </c>
      <c r="E4659">
        <v>791</v>
      </c>
      <c r="F4659">
        <v>272</v>
      </c>
      <c r="G4659">
        <v>162</v>
      </c>
      <c r="H4659">
        <v>2588</v>
      </c>
      <c r="I4659" s="1">
        <v>46113</v>
      </c>
      <c r="J4659">
        <v>434</v>
      </c>
      <c r="K4659" t="s">
        <v>26</v>
      </c>
    </row>
    <row r="4660" spans="1:11">
      <c r="A4660" s="1">
        <v>46142</v>
      </c>
      <c r="B4660" t="s">
        <v>40</v>
      </c>
      <c r="C4660" t="s">
        <v>38</v>
      </c>
      <c r="D4660">
        <v>336</v>
      </c>
      <c r="E4660">
        <v>102</v>
      </c>
      <c r="F4660">
        <v>51</v>
      </c>
      <c r="G4660">
        <v>57</v>
      </c>
      <c r="H4660">
        <v>546</v>
      </c>
      <c r="I4660" s="1">
        <v>46113</v>
      </c>
      <c r="J4660">
        <v>108</v>
      </c>
      <c r="K4660" t="s">
        <v>26</v>
      </c>
    </row>
    <row r="4661" spans="1:11">
      <c r="A4661" s="1">
        <v>46142</v>
      </c>
      <c r="B4661" t="s">
        <v>40</v>
      </c>
      <c r="C4661" t="s">
        <v>52</v>
      </c>
      <c r="D4661">
        <v>575</v>
      </c>
      <c r="E4661">
        <v>190</v>
      </c>
      <c r="F4661">
        <v>66</v>
      </c>
      <c r="G4661">
        <v>21</v>
      </c>
      <c r="H4661">
        <v>852</v>
      </c>
      <c r="I4661" s="1">
        <v>46113</v>
      </c>
      <c r="J4661">
        <v>87</v>
      </c>
      <c r="K4661" t="s">
        <v>26</v>
      </c>
    </row>
    <row r="4662" spans="1:11">
      <c r="A4662" s="1">
        <v>46142</v>
      </c>
      <c r="B4662" t="s">
        <v>40</v>
      </c>
      <c r="C4662" t="s">
        <v>46</v>
      </c>
      <c r="D4662">
        <v>399</v>
      </c>
      <c r="E4662">
        <v>70</v>
      </c>
      <c r="F4662">
        <v>22</v>
      </c>
      <c r="G4662">
        <v>4</v>
      </c>
      <c r="H4662">
        <v>495</v>
      </c>
      <c r="I4662" s="1">
        <v>46113</v>
      </c>
      <c r="J4662">
        <v>26</v>
      </c>
      <c r="K4662" t="s">
        <v>26</v>
      </c>
    </row>
    <row r="4663" spans="1:11">
      <c r="A4663" s="1">
        <v>46142</v>
      </c>
      <c r="B4663" t="s">
        <v>40</v>
      </c>
      <c r="C4663" t="s">
        <v>31</v>
      </c>
      <c r="D4663">
        <v>599</v>
      </c>
      <c r="E4663">
        <v>126</v>
      </c>
      <c r="F4663">
        <v>33</v>
      </c>
      <c r="G4663">
        <v>79</v>
      </c>
      <c r="H4663">
        <v>837</v>
      </c>
      <c r="I4663" s="1">
        <v>46113</v>
      </c>
      <c r="J4663">
        <v>112</v>
      </c>
      <c r="K4663" t="s">
        <v>26</v>
      </c>
    </row>
    <row r="4664" spans="1:11">
      <c r="A4664" s="1">
        <v>46142</v>
      </c>
      <c r="B4664" t="s">
        <v>40</v>
      </c>
      <c r="C4664" t="s">
        <v>63</v>
      </c>
      <c r="D4664">
        <v>1868</v>
      </c>
      <c r="E4664">
        <v>976</v>
      </c>
      <c r="F4664">
        <v>324</v>
      </c>
      <c r="G4664">
        <v>357</v>
      </c>
      <c r="H4664">
        <v>3525</v>
      </c>
      <c r="I4664" s="1">
        <v>46113</v>
      </c>
      <c r="J4664">
        <v>681</v>
      </c>
      <c r="K4664" t="s">
        <v>26</v>
      </c>
    </row>
    <row r="4665" spans="1:11">
      <c r="A4665" s="1">
        <v>46142</v>
      </c>
      <c r="B4665" t="s">
        <v>40</v>
      </c>
      <c r="C4665" t="s">
        <v>60</v>
      </c>
      <c r="D4665">
        <v>1943</v>
      </c>
      <c r="E4665">
        <v>664</v>
      </c>
      <c r="F4665">
        <v>296</v>
      </c>
      <c r="G4665">
        <v>267</v>
      </c>
      <c r="H4665">
        <v>3170</v>
      </c>
      <c r="I4665" s="1">
        <v>46113</v>
      </c>
      <c r="J4665">
        <v>563</v>
      </c>
      <c r="K4665" t="s">
        <v>26</v>
      </c>
    </row>
    <row r="4666" spans="1:11">
      <c r="A4666" s="1">
        <v>46142</v>
      </c>
      <c r="B4666" t="s">
        <v>40</v>
      </c>
      <c r="C4666" t="s">
        <v>61</v>
      </c>
      <c r="D4666">
        <v>3120</v>
      </c>
      <c r="E4666">
        <v>906</v>
      </c>
      <c r="F4666">
        <v>517</v>
      </c>
      <c r="G4666">
        <v>263</v>
      </c>
      <c r="H4666">
        <v>4806</v>
      </c>
      <c r="I4666" s="1">
        <v>46113</v>
      </c>
      <c r="J4666">
        <v>780</v>
      </c>
      <c r="K4666" t="s">
        <v>26</v>
      </c>
    </row>
    <row r="4667" spans="1:11">
      <c r="A4667" s="1">
        <v>46142</v>
      </c>
      <c r="B4667" t="s">
        <v>40</v>
      </c>
      <c r="C4667" t="s">
        <v>69</v>
      </c>
      <c r="D4667">
        <v>4233</v>
      </c>
      <c r="E4667">
        <v>1732</v>
      </c>
      <c r="F4667">
        <v>555</v>
      </c>
      <c r="G4667">
        <v>458</v>
      </c>
      <c r="H4667">
        <v>6978</v>
      </c>
      <c r="I4667" s="1">
        <v>46113</v>
      </c>
      <c r="J4667">
        <v>1013</v>
      </c>
      <c r="K4667" t="s">
        <v>26</v>
      </c>
    </row>
    <row r="4668" spans="1:11">
      <c r="A4668" s="1">
        <v>46142</v>
      </c>
      <c r="B4668" t="s">
        <v>40</v>
      </c>
      <c r="C4668" t="s">
        <v>29</v>
      </c>
      <c r="D4668">
        <v>435</v>
      </c>
      <c r="E4668">
        <v>159</v>
      </c>
      <c r="F4668">
        <v>31</v>
      </c>
      <c r="G4668">
        <v>15</v>
      </c>
      <c r="H4668">
        <v>640</v>
      </c>
      <c r="I4668" s="1">
        <v>46113</v>
      </c>
      <c r="J4668">
        <v>46</v>
      </c>
      <c r="K4668" t="s">
        <v>26</v>
      </c>
    </row>
    <row r="4669" spans="1:11">
      <c r="A4669" s="1">
        <v>46142</v>
      </c>
      <c r="B4669" t="s">
        <v>40</v>
      </c>
      <c r="C4669" t="s">
        <v>70</v>
      </c>
      <c r="D4669">
        <v>1161</v>
      </c>
      <c r="E4669">
        <v>363</v>
      </c>
      <c r="F4669">
        <v>117</v>
      </c>
      <c r="G4669">
        <v>73</v>
      </c>
      <c r="H4669">
        <v>1714</v>
      </c>
      <c r="I4669" s="1">
        <v>46113</v>
      </c>
      <c r="J4669">
        <v>190</v>
      </c>
      <c r="K4669" t="s">
        <v>26</v>
      </c>
    </row>
    <row r="4670" spans="1:11">
      <c r="A4670" s="1">
        <v>46142</v>
      </c>
      <c r="B4670" t="s">
        <v>40</v>
      </c>
      <c r="C4670" t="s">
        <v>71</v>
      </c>
      <c r="D4670">
        <v>3143</v>
      </c>
      <c r="E4670">
        <v>945</v>
      </c>
      <c r="F4670">
        <v>371</v>
      </c>
      <c r="G4670">
        <v>260</v>
      </c>
      <c r="H4670">
        <v>4719</v>
      </c>
      <c r="I4670" s="1">
        <v>46113</v>
      </c>
      <c r="J4670">
        <v>631</v>
      </c>
      <c r="K4670" t="s">
        <v>26</v>
      </c>
    </row>
    <row r="4671" spans="1:11">
      <c r="A4671" s="1">
        <v>46142</v>
      </c>
      <c r="B4671" t="s">
        <v>40</v>
      </c>
      <c r="C4671" t="s">
        <v>36</v>
      </c>
      <c r="D4671">
        <v>3291</v>
      </c>
      <c r="E4671">
        <v>1205</v>
      </c>
      <c r="F4671">
        <v>527</v>
      </c>
      <c r="G4671">
        <v>574</v>
      </c>
      <c r="H4671">
        <v>5597</v>
      </c>
      <c r="I4671" s="1">
        <v>46113</v>
      </c>
      <c r="J4671">
        <v>1101</v>
      </c>
      <c r="K4671" t="s">
        <v>26</v>
      </c>
    </row>
    <row r="4672" spans="1:11">
      <c r="A4672" s="1">
        <v>46142</v>
      </c>
      <c r="B4672" t="s">
        <v>40</v>
      </c>
      <c r="C4672" t="s">
        <v>59</v>
      </c>
      <c r="D4672">
        <v>1665</v>
      </c>
      <c r="E4672">
        <v>1004</v>
      </c>
      <c r="F4672">
        <v>477</v>
      </c>
      <c r="G4672">
        <v>318</v>
      </c>
      <c r="H4672">
        <v>3464</v>
      </c>
      <c r="I4672" s="1">
        <v>46113</v>
      </c>
      <c r="J4672">
        <v>795</v>
      </c>
      <c r="K4672" t="s">
        <v>26</v>
      </c>
    </row>
    <row r="4673" spans="1:11">
      <c r="A4673" s="1">
        <v>46142</v>
      </c>
      <c r="B4673" t="s">
        <v>40</v>
      </c>
      <c r="C4673" t="s">
        <v>67</v>
      </c>
      <c r="D4673">
        <v>3434</v>
      </c>
      <c r="E4673">
        <v>1181</v>
      </c>
      <c r="F4673">
        <v>499</v>
      </c>
      <c r="G4673">
        <v>674</v>
      </c>
      <c r="H4673">
        <v>5788</v>
      </c>
      <c r="I4673" s="1">
        <v>46113</v>
      </c>
      <c r="J4673">
        <v>1173</v>
      </c>
      <c r="K4673" t="s">
        <v>26</v>
      </c>
    </row>
    <row r="4674" spans="1:11">
      <c r="A4674" s="1">
        <v>46142</v>
      </c>
      <c r="B4674" t="s">
        <v>40</v>
      </c>
      <c r="C4674" t="s">
        <v>49</v>
      </c>
      <c r="D4674">
        <v>665</v>
      </c>
      <c r="E4674">
        <v>261</v>
      </c>
      <c r="F4674">
        <v>53</v>
      </c>
      <c r="G4674">
        <v>33</v>
      </c>
      <c r="H4674">
        <v>1012</v>
      </c>
      <c r="I4674" s="1">
        <v>46113</v>
      </c>
      <c r="J4674">
        <v>86</v>
      </c>
      <c r="K4674" t="s">
        <v>26</v>
      </c>
    </row>
    <row r="4675" spans="1:11">
      <c r="A4675" s="1">
        <v>46170</v>
      </c>
      <c r="B4675" t="s">
        <v>40</v>
      </c>
      <c r="C4675" t="s">
        <v>48</v>
      </c>
      <c r="D4675">
        <v>5376</v>
      </c>
      <c r="E4675">
        <v>3346</v>
      </c>
      <c r="F4675">
        <v>1950</v>
      </c>
      <c r="G4675">
        <v>1780</v>
      </c>
      <c r="H4675">
        <v>12452</v>
      </c>
      <c r="I4675" s="1">
        <v>46143</v>
      </c>
      <c r="J4675">
        <v>3730</v>
      </c>
      <c r="K4675" t="s">
        <v>26</v>
      </c>
    </row>
    <row r="4676" spans="1:11">
      <c r="A4676" s="1">
        <v>46170</v>
      </c>
      <c r="B4676" t="s">
        <v>40</v>
      </c>
      <c r="C4676" t="s">
        <v>55</v>
      </c>
      <c r="D4676">
        <v>1519</v>
      </c>
      <c r="E4676">
        <v>499</v>
      </c>
      <c r="F4676">
        <v>36</v>
      </c>
      <c r="G4676">
        <v>9</v>
      </c>
      <c r="H4676">
        <v>2063</v>
      </c>
      <c r="I4676" s="1">
        <v>46143</v>
      </c>
      <c r="J4676">
        <v>45</v>
      </c>
      <c r="K4676" t="s">
        <v>26</v>
      </c>
    </row>
    <row r="4677" spans="1:11">
      <c r="A4677" s="1">
        <v>46170</v>
      </c>
      <c r="B4677" t="s">
        <v>40</v>
      </c>
      <c r="C4677" t="s">
        <v>65</v>
      </c>
      <c r="D4677">
        <v>984</v>
      </c>
      <c r="E4677">
        <v>368</v>
      </c>
      <c r="F4677">
        <v>204</v>
      </c>
      <c r="G4677">
        <v>124</v>
      </c>
      <c r="H4677">
        <v>1681</v>
      </c>
      <c r="I4677" s="1">
        <v>46143</v>
      </c>
      <c r="J4677">
        <v>328</v>
      </c>
      <c r="K4677" t="s">
        <v>26</v>
      </c>
    </row>
    <row r="4678" spans="1:11">
      <c r="A4678" s="1">
        <v>46170</v>
      </c>
      <c r="B4678" t="s">
        <v>40</v>
      </c>
      <c r="C4678" t="s">
        <v>66</v>
      </c>
      <c r="D4678">
        <v>6799</v>
      </c>
      <c r="E4678">
        <v>2827</v>
      </c>
      <c r="F4678">
        <v>1418</v>
      </c>
      <c r="G4678">
        <v>2223</v>
      </c>
      <c r="H4678">
        <v>13266</v>
      </c>
      <c r="I4678" s="1">
        <v>46143</v>
      </c>
      <c r="J4678">
        <v>3641</v>
      </c>
      <c r="K4678" t="s">
        <v>26</v>
      </c>
    </row>
    <row r="4679" spans="1:11">
      <c r="A4679" s="1">
        <v>46170</v>
      </c>
      <c r="B4679" t="s">
        <v>40</v>
      </c>
      <c r="C4679" t="s">
        <v>57</v>
      </c>
      <c r="D4679">
        <v>2650</v>
      </c>
      <c r="E4679">
        <v>854</v>
      </c>
      <c r="F4679">
        <v>120</v>
      </c>
      <c r="G4679">
        <v>28</v>
      </c>
      <c r="H4679">
        <v>3651</v>
      </c>
      <c r="I4679" s="1">
        <v>46143</v>
      </c>
      <c r="J4679">
        <v>148</v>
      </c>
      <c r="K4679" t="s">
        <v>26</v>
      </c>
    </row>
    <row r="4680" spans="1:11">
      <c r="A4680" s="1">
        <v>46170</v>
      </c>
      <c r="B4680" t="s">
        <v>40</v>
      </c>
      <c r="C4680" t="s">
        <v>68</v>
      </c>
      <c r="D4680">
        <v>5619</v>
      </c>
      <c r="E4680">
        <v>2635</v>
      </c>
      <c r="F4680">
        <v>1074</v>
      </c>
      <c r="G4680">
        <v>1445</v>
      </c>
      <c r="H4680">
        <v>10772</v>
      </c>
      <c r="I4680" s="1">
        <v>46143</v>
      </c>
      <c r="J4680">
        <v>2519</v>
      </c>
      <c r="K4680" t="s">
        <v>26</v>
      </c>
    </row>
    <row r="4681" spans="1:11">
      <c r="A4681" s="1">
        <v>46170</v>
      </c>
      <c r="B4681" t="s">
        <v>40</v>
      </c>
      <c r="C4681" t="s">
        <v>47</v>
      </c>
      <c r="D4681">
        <v>951</v>
      </c>
      <c r="E4681">
        <v>266</v>
      </c>
      <c r="F4681">
        <v>45</v>
      </c>
      <c r="G4681">
        <v>4</v>
      </c>
      <c r="H4681">
        <v>1266</v>
      </c>
      <c r="I4681" s="1">
        <v>46143</v>
      </c>
      <c r="J4681">
        <v>49</v>
      </c>
      <c r="K4681" t="s">
        <v>26</v>
      </c>
    </row>
    <row r="4682" spans="1:11">
      <c r="A4682" s="1">
        <v>46170</v>
      </c>
      <c r="B4682" t="s">
        <v>40</v>
      </c>
      <c r="C4682" t="s">
        <v>25</v>
      </c>
      <c r="D4682">
        <v>750</v>
      </c>
      <c r="E4682">
        <v>311</v>
      </c>
      <c r="F4682">
        <v>91</v>
      </c>
      <c r="G4682">
        <v>14</v>
      </c>
      <c r="H4682">
        <v>1166</v>
      </c>
      <c r="I4682" s="1">
        <v>46143</v>
      </c>
      <c r="J4682">
        <v>105</v>
      </c>
      <c r="K4682" t="s">
        <v>26</v>
      </c>
    </row>
    <row r="4683" spans="1:11">
      <c r="A4683" s="1">
        <v>46170</v>
      </c>
      <c r="B4683" t="s">
        <v>40</v>
      </c>
      <c r="C4683" t="s">
        <v>45</v>
      </c>
      <c r="D4683">
        <v>228</v>
      </c>
      <c r="E4683">
        <v>86</v>
      </c>
      <c r="F4683">
        <v>20</v>
      </c>
      <c r="G4683">
        <v>20</v>
      </c>
      <c r="H4683">
        <v>354</v>
      </c>
      <c r="I4683" s="1">
        <v>46143</v>
      </c>
      <c r="J4683">
        <v>40</v>
      </c>
      <c r="K4683" t="s">
        <v>26</v>
      </c>
    </row>
    <row r="4684" spans="1:11">
      <c r="A4684" s="1">
        <v>46170</v>
      </c>
      <c r="B4684" t="s">
        <v>40</v>
      </c>
      <c r="C4684" t="s">
        <v>43</v>
      </c>
      <c r="D4684">
        <v>1335</v>
      </c>
      <c r="E4684">
        <v>791</v>
      </c>
      <c r="F4684">
        <v>292</v>
      </c>
      <c r="G4684">
        <v>197</v>
      </c>
      <c r="H4684">
        <v>2615</v>
      </c>
      <c r="I4684" s="1">
        <v>46143</v>
      </c>
      <c r="J4684">
        <v>489</v>
      </c>
      <c r="K4684" t="s">
        <v>26</v>
      </c>
    </row>
    <row r="4685" spans="1:11">
      <c r="A4685" s="1">
        <v>46170</v>
      </c>
      <c r="B4685" t="s">
        <v>40</v>
      </c>
      <c r="C4685" t="s">
        <v>39</v>
      </c>
      <c r="D4685">
        <v>284</v>
      </c>
      <c r="E4685">
        <v>92</v>
      </c>
      <c r="F4685">
        <v>36</v>
      </c>
      <c r="G4685">
        <v>3</v>
      </c>
      <c r="H4685">
        <v>415</v>
      </c>
      <c r="I4685" s="1">
        <v>46143</v>
      </c>
      <c r="J4685">
        <v>39</v>
      </c>
      <c r="K4685" t="s">
        <v>26</v>
      </c>
    </row>
    <row r="4686" spans="1:11">
      <c r="A4686" s="1">
        <v>46170</v>
      </c>
      <c r="B4686" t="s">
        <v>40</v>
      </c>
      <c r="C4686" t="s">
        <v>38</v>
      </c>
      <c r="D4686">
        <v>340</v>
      </c>
      <c r="E4686">
        <v>117</v>
      </c>
      <c r="F4686">
        <v>49</v>
      </c>
      <c r="G4686">
        <v>58</v>
      </c>
      <c r="H4686">
        <v>564</v>
      </c>
      <c r="I4686" s="1">
        <v>46143</v>
      </c>
      <c r="J4686">
        <v>107</v>
      </c>
      <c r="K4686" t="s">
        <v>26</v>
      </c>
    </row>
    <row r="4687" spans="1:11">
      <c r="A4687" s="1">
        <v>46170</v>
      </c>
      <c r="B4687" t="s">
        <v>40</v>
      </c>
      <c r="C4687" t="s">
        <v>54</v>
      </c>
      <c r="D4687">
        <v>1736</v>
      </c>
      <c r="E4687">
        <v>387</v>
      </c>
      <c r="F4687">
        <v>50</v>
      </c>
      <c r="G4687">
        <v>13</v>
      </c>
      <c r="H4687">
        <v>2186</v>
      </c>
      <c r="I4687" s="1">
        <v>46143</v>
      </c>
      <c r="J4687">
        <v>63</v>
      </c>
      <c r="K4687" t="s">
        <v>26</v>
      </c>
    </row>
    <row r="4688" spans="1:11">
      <c r="A4688" s="1">
        <v>46170</v>
      </c>
      <c r="B4688" t="s">
        <v>40</v>
      </c>
      <c r="C4688" t="s">
        <v>35</v>
      </c>
      <c r="D4688">
        <v>797</v>
      </c>
      <c r="E4688">
        <v>804</v>
      </c>
      <c r="F4688">
        <v>235</v>
      </c>
      <c r="G4688">
        <v>14</v>
      </c>
      <c r="H4688">
        <v>1850</v>
      </c>
      <c r="I4688" s="1">
        <v>46143</v>
      </c>
      <c r="J4688">
        <v>249</v>
      </c>
      <c r="K4688" t="s">
        <v>26</v>
      </c>
    </row>
    <row r="4689" spans="1:11">
      <c r="A4689" s="1">
        <v>46170</v>
      </c>
      <c r="B4689" t="s">
        <v>40</v>
      </c>
      <c r="C4689" t="s">
        <v>52</v>
      </c>
      <c r="D4689">
        <v>586</v>
      </c>
      <c r="E4689">
        <v>186</v>
      </c>
      <c r="F4689">
        <v>65</v>
      </c>
      <c r="G4689">
        <v>20</v>
      </c>
      <c r="H4689">
        <v>857</v>
      </c>
      <c r="I4689" s="1">
        <v>46143</v>
      </c>
      <c r="J4689">
        <v>85</v>
      </c>
      <c r="K4689" t="s">
        <v>26</v>
      </c>
    </row>
    <row r="4690" spans="1:11">
      <c r="A4690" s="1">
        <v>46170</v>
      </c>
      <c r="B4690" t="s">
        <v>40</v>
      </c>
      <c r="C4690" t="s">
        <v>31</v>
      </c>
      <c r="D4690">
        <v>592</v>
      </c>
      <c r="E4690">
        <v>147</v>
      </c>
      <c r="F4690">
        <v>33</v>
      </c>
      <c r="G4690">
        <v>80</v>
      </c>
      <c r="H4690">
        <v>852</v>
      </c>
      <c r="I4690" s="1">
        <v>46143</v>
      </c>
      <c r="J4690">
        <v>113</v>
      </c>
      <c r="K4690" t="s">
        <v>26</v>
      </c>
    </row>
    <row r="4691" spans="1:11">
      <c r="A4691" s="1">
        <v>46170</v>
      </c>
      <c r="B4691" t="s">
        <v>40</v>
      </c>
      <c r="C4691" t="s">
        <v>63</v>
      </c>
      <c r="D4691">
        <v>1929</v>
      </c>
      <c r="E4691">
        <v>915</v>
      </c>
      <c r="F4691">
        <v>344</v>
      </c>
      <c r="G4691">
        <v>369</v>
      </c>
      <c r="H4691">
        <v>3557</v>
      </c>
      <c r="I4691" s="1">
        <v>46143</v>
      </c>
      <c r="J4691">
        <v>713</v>
      </c>
      <c r="K4691" t="s">
        <v>26</v>
      </c>
    </row>
    <row r="4692" spans="1:11">
      <c r="A4692" s="1">
        <v>46170</v>
      </c>
      <c r="B4692" t="s">
        <v>40</v>
      </c>
      <c r="C4692" t="s">
        <v>60</v>
      </c>
      <c r="D4692">
        <v>1981</v>
      </c>
      <c r="E4692">
        <v>748</v>
      </c>
      <c r="F4692">
        <v>288</v>
      </c>
      <c r="G4692">
        <v>294</v>
      </c>
      <c r="H4692">
        <v>3311</v>
      </c>
      <c r="I4692" s="1">
        <v>46143</v>
      </c>
      <c r="J4692">
        <v>582</v>
      </c>
      <c r="K4692" t="s">
        <v>26</v>
      </c>
    </row>
    <row r="4693" spans="1:11">
      <c r="A4693" s="1">
        <v>46170</v>
      </c>
      <c r="B4693" t="s">
        <v>40</v>
      </c>
      <c r="C4693" t="s">
        <v>61</v>
      </c>
      <c r="D4693">
        <v>2993</v>
      </c>
      <c r="E4693">
        <v>934</v>
      </c>
      <c r="F4693">
        <v>468</v>
      </c>
      <c r="G4693">
        <v>171</v>
      </c>
      <c r="H4693">
        <v>4566</v>
      </c>
      <c r="I4693" s="1">
        <v>46143</v>
      </c>
      <c r="J4693">
        <v>639</v>
      </c>
      <c r="K4693" t="s">
        <v>26</v>
      </c>
    </row>
    <row r="4694" spans="1:11">
      <c r="A4694" s="1">
        <v>46170</v>
      </c>
      <c r="B4694" t="s">
        <v>40</v>
      </c>
      <c r="C4694" t="s">
        <v>69</v>
      </c>
      <c r="D4694">
        <v>4184</v>
      </c>
      <c r="E4694">
        <v>1798</v>
      </c>
      <c r="F4694">
        <v>596</v>
      </c>
      <c r="G4694">
        <v>468</v>
      </c>
      <c r="H4694">
        <v>7046</v>
      </c>
      <c r="I4694" s="1">
        <v>46143</v>
      </c>
      <c r="J4694">
        <v>1064</v>
      </c>
      <c r="K4694" t="s">
        <v>26</v>
      </c>
    </row>
    <row r="4695" spans="1:11">
      <c r="A4695" s="1">
        <v>46170</v>
      </c>
      <c r="B4695" t="s">
        <v>40</v>
      </c>
      <c r="C4695" t="s">
        <v>29</v>
      </c>
      <c r="D4695">
        <v>420</v>
      </c>
      <c r="E4695">
        <v>157</v>
      </c>
      <c r="F4695">
        <v>39</v>
      </c>
      <c r="G4695">
        <v>18</v>
      </c>
      <c r="H4695">
        <v>634</v>
      </c>
      <c r="I4695" s="1">
        <v>46143</v>
      </c>
      <c r="J4695">
        <v>57</v>
      </c>
      <c r="K4695" t="s">
        <v>26</v>
      </c>
    </row>
    <row r="4696" spans="1:11">
      <c r="A4696" s="1">
        <v>46170</v>
      </c>
      <c r="B4696" t="s">
        <v>40</v>
      </c>
      <c r="C4696" t="s">
        <v>70</v>
      </c>
      <c r="D4696">
        <v>1076</v>
      </c>
      <c r="E4696">
        <v>453</v>
      </c>
      <c r="F4696">
        <v>140</v>
      </c>
      <c r="G4696">
        <v>80</v>
      </c>
      <c r="H4696">
        <v>1749</v>
      </c>
      <c r="I4696" s="1">
        <v>46143</v>
      </c>
      <c r="J4696">
        <v>220</v>
      </c>
      <c r="K4696" t="s">
        <v>26</v>
      </c>
    </row>
    <row r="4697" spans="1:11">
      <c r="A4697" s="1">
        <v>46170</v>
      </c>
      <c r="B4697" t="s">
        <v>40</v>
      </c>
      <c r="C4697" t="s">
        <v>71</v>
      </c>
      <c r="D4697">
        <v>3190</v>
      </c>
      <c r="E4697">
        <v>1064</v>
      </c>
      <c r="F4697">
        <v>363</v>
      </c>
      <c r="G4697">
        <v>257</v>
      </c>
      <c r="H4697">
        <v>4874</v>
      </c>
      <c r="I4697" s="1">
        <v>46143</v>
      </c>
      <c r="J4697">
        <v>620</v>
      </c>
      <c r="K4697" t="s">
        <v>26</v>
      </c>
    </row>
    <row r="4698" spans="1:11">
      <c r="A4698" s="1">
        <v>46170</v>
      </c>
      <c r="B4698" t="s">
        <v>40</v>
      </c>
      <c r="C4698" t="s">
        <v>36</v>
      </c>
      <c r="D4698">
        <v>3189</v>
      </c>
      <c r="E4698">
        <v>1185</v>
      </c>
      <c r="F4698">
        <v>496</v>
      </c>
      <c r="G4698">
        <v>569</v>
      </c>
      <c r="H4698">
        <v>5439</v>
      </c>
      <c r="I4698" s="1">
        <v>46143</v>
      </c>
      <c r="J4698">
        <v>1065</v>
      </c>
      <c r="K4698" t="s">
        <v>26</v>
      </c>
    </row>
    <row r="4699" spans="1:11">
      <c r="A4699" s="1">
        <v>46170</v>
      </c>
      <c r="B4699" t="s">
        <v>40</v>
      </c>
      <c r="C4699" t="s">
        <v>59</v>
      </c>
      <c r="D4699">
        <v>1690</v>
      </c>
      <c r="E4699">
        <v>1063</v>
      </c>
      <c r="F4699">
        <v>429</v>
      </c>
      <c r="G4699">
        <v>334</v>
      </c>
      <c r="H4699">
        <v>3516</v>
      </c>
      <c r="I4699" s="1">
        <v>46143</v>
      </c>
      <c r="J4699">
        <v>763</v>
      </c>
      <c r="K4699" t="s">
        <v>26</v>
      </c>
    </row>
    <row r="4700" spans="1:11">
      <c r="A4700" s="1">
        <v>46170</v>
      </c>
      <c r="B4700" t="s">
        <v>40</v>
      </c>
      <c r="C4700" t="s">
        <v>67</v>
      </c>
      <c r="D4700">
        <v>3460</v>
      </c>
      <c r="E4700">
        <v>1222</v>
      </c>
      <c r="F4700">
        <v>465</v>
      </c>
      <c r="G4700">
        <v>600</v>
      </c>
      <c r="H4700">
        <v>5747</v>
      </c>
      <c r="I4700" s="1">
        <v>46143</v>
      </c>
      <c r="J4700">
        <v>1065</v>
      </c>
      <c r="K4700" t="s">
        <v>26</v>
      </c>
    </row>
    <row r="4701" spans="1:11">
      <c r="A4701" s="1">
        <v>46170</v>
      </c>
      <c r="B4701" t="s">
        <v>40</v>
      </c>
      <c r="C4701" t="s">
        <v>49</v>
      </c>
      <c r="D4701">
        <v>678</v>
      </c>
      <c r="E4701">
        <v>276</v>
      </c>
      <c r="F4701">
        <v>60</v>
      </c>
      <c r="G4701">
        <v>37</v>
      </c>
      <c r="H4701">
        <v>1052</v>
      </c>
      <c r="I4701" s="1">
        <v>46143</v>
      </c>
      <c r="J4701">
        <v>97</v>
      </c>
      <c r="K4701" t="s">
        <v>26</v>
      </c>
    </row>
    <row r="4702" spans="1:11">
      <c r="A4702" s="1">
        <v>46198</v>
      </c>
      <c r="B4702" t="s">
        <v>40</v>
      </c>
      <c r="C4702" t="s">
        <v>48</v>
      </c>
      <c r="D4702">
        <v>5221</v>
      </c>
      <c r="E4702">
        <v>3462</v>
      </c>
      <c r="F4702">
        <v>1944</v>
      </c>
      <c r="G4702">
        <v>1909</v>
      </c>
      <c r="H4702">
        <v>12536</v>
      </c>
      <c r="I4702" s="1">
        <v>46174</v>
      </c>
      <c r="J4702">
        <v>3853</v>
      </c>
      <c r="K4702" t="s">
        <v>26</v>
      </c>
    </row>
    <row r="4703" spans="1:11">
      <c r="A4703" s="1">
        <v>46198</v>
      </c>
      <c r="B4703" t="s">
        <v>40</v>
      </c>
      <c r="C4703" t="s">
        <v>55</v>
      </c>
      <c r="D4703">
        <v>1592</v>
      </c>
      <c r="E4703">
        <v>486</v>
      </c>
      <c r="F4703">
        <v>60</v>
      </c>
      <c r="G4703">
        <v>9</v>
      </c>
      <c r="H4703">
        <v>2146</v>
      </c>
      <c r="I4703" s="1">
        <v>46174</v>
      </c>
      <c r="J4703">
        <v>69</v>
      </c>
      <c r="K4703" t="s">
        <v>26</v>
      </c>
    </row>
    <row r="4704" spans="1:11">
      <c r="A4704" s="1">
        <v>46198</v>
      </c>
      <c r="B4704" t="s">
        <v>40</v>
      </c>
      <c r="C4704" t="s">
        <v>65</v>
      </c>
      <c r="D4704">
        <v>1044</v>
      </c>
      <c r="E4704">
        <v>368</v>
      </c>
      <c r="F4704">
        <v>194</v>
      </c>
      <c r="G4704">
        <v>133</v>
      </c>
      <c r="H4704">
        <v>1739</v>
      </c>
      <c r="I4704" s="1">
        <v>46174</v>
      </c>
      <c r="J4704">
        <v>327</v>
      </c>
      <c r="K4704" t="s">
        <v>26</v>
      </c>
    </row>
    <row r="4705" spans="1:11">
      <c r="A4705" s="1">
        <v>46198</v>
      </c>
      <c r="B4705" t="s">
        <v>40</v>
      </c>
      <c r="C4705" t="s">
        <v>27</v>
      </c>
      <c r="D4705">
        <v>540</v>
      </c>
      <c r="E4705">
        <v>138</v>
      </c>
      <c r="F4705">
        <v>203</v>
      </c>
      <c r="G4705">
        <v>40</v>
      </c>
      <c r="H4705">
        <v>921</v>
      </c>
      <c r="I4705" s="1">
        <v>46174</v>
      </c>
      <c r="J4705">
        <v>243</v>
      </c>
      <c r="K4705" t="s">
        <v>26</v>
      </c>
    </row>
    <row r="4706" spans="1:11">
      <c r="A4706" s="1">
        <v>46198</v>
      </c>
      <c r="B4706" t="s">
        <v>40</v>
      </c>
      <c r="C4706" t="s">
        <v>66</v>
      </c>
      <c r="D4706">
        <v>6696</v>
      </c>
      <c r="E4706">
        <v>3342</v>
      </c>
      <c r="F4706">
        <v>1261</v>
      </c>
      <c r="G4706">
        <v>2392</v>
      </c>
      <c r="H4706">
        <v>13691</v>
      </c>
      <c r="I4706" s="1">
        <v>46174</v>
      </c>
      <c r="J4706">
        <v>3653</v>
      </c>
      <c r="K4706" t="s">
        <v>26</v>
      </c>
    </row>
    <row r="4707" spans="1:11">
      <c r="A4707" s="1">
        <v>46198</v>
      </c>
      <c r="B4707" t="s">
        <v>40</v>
      </c>
      <c r="C4707" t="s">
        <v>57</v>
      </c>
      <c r="D4707">
        <v>2539</v>
      </c>
      <c r="E4707">
        <v>1006</v>
      </c>
      <c r="F4707">
        <v>129</v>
      </c>
      <c r="G4707">
        <v>33</v>
      </c>
      <c r="H4707">
        <v>3707</v>
      </c>
      <c r="I4707" s="1">
        <v>46174</v>
      </c>
      <c r="J4707">
        <v>162</v>
      </c>
      <c r="K4707" t="s">
        <v>26</v>
      </c>
    </row>
    <row r="4708" spans="1:11">
      <c r="A4708" s="1">
        <v>46198</v>
      </c>
      <c r="B4708" t="s">
        <v>40</v>
      </c>
      <c r="C4708" t="s">
        <v>68</v>
      </c>
      <c r="D4708">
        <v>5758</v>
      </c>
      <c r="E4708">
        <v>2748</v>
      </c>
      <c r="F4708">
        <v>1143</v>
      </c>
      <c r="G4708">
        <v>1441</v>
      </c>
      <c r="H4708">
        <v>11090</v>
      </c>
      <c r="I4708" s="1">
        <v>46174</v>
      </c>
      <c r="J4708">
        <v>2584</v>
      </c>
      <c r="K4708" t="s">
        <v>26</v>
      </c>
    </row>
    <row r="4709" spans="1:11">
      <c r="A4709" s="1">
        <v>46198</v>
      </c>
      <c r="B4709" t="s">
        <v>40</v>
      </c>
      <c r="C4709" t="s">
        <v>47</v>
      </c>
      <c r="D4709">
        <v>900</v>
      </c>
      <c r="E4709">
        <v>218</v>
      </c>
      <c r="F4709">
        <v>36</v>
      </c>
      <c r="G4709">
        <v>4</v>
      </c>
      <c r="H4709">
        <v>1158</v>
      </c>
      <c r="I4709" s="1">
        <v>46174</v>
      </c>
      <c r="J4709">
        <v>40</v>
      </c>
      <c r="K4709" t="s">
        <v>26</v>
      </c>
    </row>
    <row r="4710" spans="1:11">
      <c r="A4710" s="1">
        <v>46198</v>
      </c>
      <c r="B4710" t="s">
        <v>40</v>
      </c>
      <c r="C4710" t="s">
        <v>25</v>
      </c>
      <c r="D4710">
        <v>728</v>
      </c>
      <c r="E4710">
        <v>300</v>
      </c>
      <c r="F4710">
        <v>78</v>
      </c>
      <c r="G4710">
        <v>17</v>
      </c>
      <c r="H4710">
        <v>1123</v>
      </c>
      <c r="I4710" s="1">
        <v>46174</v>
      </c>
      <c r="J4710">
        <v>95</v>
      </c>
      <c r="K4710" t="s">
        <v>26</v>
      </c>
    </row>
    <row r="4711" spans="1:11">
      <c r="A4711" s="1">
        <v>46198</v>
      </c>
      <c r="B4711" t="s">
        <v>40</v>
      </c>
      <c r="C4711" t="s">
        <v>45</v>
      </c>
      <c r="D4711">
        <v>208</v>
      </c>
      <c r="E4711">
        <v>99</v>
      </c>
      <c r="F4711">
        <v>19</v>
      </c>
      <c r="G4711">
        <v>18</v>
      </c>
      <c r="H4711">
        <v>344</v>
      </c>
      <c r="I4711" s="1">
        <v>46174</v>
      </c>
      <c r="J4711">
        <v>37</v>
      </c>
      <c r="K4711" t="s">
        <v>26</v>
      </c>
    </row>
    <row r="4712" spans="1:11">
      <c r="A4712" s="1">
        <v>46198</v>
      </c>
      <c r="B4712" t="s">
        <v>40</v>
      </c>
      <c r="C4712" t="s">
        <v>43</v>
      </c>
      <c r="D4712">
        <v>1403</v>
      </c>
      <c r="E4712">
        <v>882</v>
      </c>
      <c r="F4712">
        <v>331</v>
      </c>
      <c r="G4712">
        <v>223</v>
      </c>
      <c r="H4712">
        <v>2838</v>
      </c>
      <c r="I4712" s="1">
        <v>46174</v>
      </c>
      <c r="J4712">
        <v>554</v>
      </c>
      <c r="K4712" t="s">
        <v>26</v>
      </c>
    </row>
    <row r="4713" spans="1:11">
      <c r="A4713" s="1">
        <v>46198</v>
      </c>
      <c r="B4713" t="s">
        <v>40</v>
      </c>
      <c r="C4713" t="s">
        <v>39</v>
      </c>
      <c r="D4713">
        <v>303</v>
      </c>
      <c r="E4713">
        <v>109</v>
      </c>
      <c r="F4713">
        <v>33</v>
      </c>
      <c r="G4713">
        <v>6</v>
      </c>
      <c r="H4713">
        <v>451</v>
      </c>
      <c r="I4713" s="1">
        <v>46174</v>
      </c>
      <c r="J4713">
        <v>39</v>
      </c>
      <c r="K4713" t="s">
        <v>26</v>
      </c>
    </row>
    <row r="4714" spans="1:11">
      <c r="A4714" s="1">
        <v>46198</v>
      </c>
      <c r="B4714" t="s">
        <v>40</v>
      </c>
      <c r="C4714" t="s">
        <v>38</v>
      </c>
      <c r="D4714">
        <v>322</v>
      </c>
      <c r="E4714">
        <v>132</v>
      </c>
      <c r="F4714">
        <v>45</v>
      </c>
      <c r="G4714">
        <v>60</v>
      </c>
      <c r="H4714">
        <v>559</v>
      </c>
      <c r="I4714" s="1">
        <v>46174</v>
      </c>
      <c r="J4714">
        <v>105</v>
      </c>
      <c r="K4714" t="s">
        <v>26</v>
      </c>
    </row>
    <row r="4715" spans="1:11">
      <c r="A4715" s="1">
        <v>46198</v>
      </c>
      <c r="B4715" t="s">
        <v>40</v>
      </c>
      <c r="C4715" t="s">
        <v>54</v>
      </c>
      <c r="D4715">
        <v>1773</v>
      </c>
      <c r="E4715">
        <v>434</v>
      </c>
      <c r="F4715">
        <v>71</v>
      </c>
      <c r="G4715">
        <v>13</v>
      </c>
      <c r="H4715">
        <v>2291</v>
      </c>
      <c r="I4715" s="1">
        <v>46174</v>
      </c>
      <c r="J4715">
        <v>84</v>
      </c>
      <c r="K4715" t="s">
        <v>26</v>
      </c>
    </row>
    <row r="4716" spans="1:11">
      <c r="A4716" s="1">
        <v>46198</v>
      </c>
      <c r="B4716" t="s">
        <v>40</v>
      </c>
      <c r="C4716" t="s">
        <v>35</v>
      </c>
      <c r="D4716">
        <v>716</v>
      </c>
      <c r="E4716">
        <v>880</v>
      </c>
      <c r="F4716">
        <v>215</v>
      </c>
      <c r="G4716">
        <v>27</v>
      </c>
      <c r="H4716">
        <v>1838</v>
      </c>
      <c r="I4716" s="1">
        <v>46174</v>
      </c>
      <c r="J4716">
        <v>242</v>
      </c>
      <c r="K4716" t="s">
        <v>26</v>
      </c>
    </row>
    <row r="4717" spans="1:11">
      <c r="A4717" s="1">
        <v>46198</v>
      </c>
      <c r="B4717" t="s">
        <v>40</v>
      </c>
      <c r="C4717" t="s">
        <v>52</v>
      </c>
      <c r="D4717">
        <v>596</v>
      </c>
      <c r="E4717">
        <v>144</v>
      </c>
      <c r="F4717">
        <v>26</v>
      </c>
      <c r="G4717">
        <v>3</v>
      </c>
      <c r="H4717">
        <v>770</v>
      </c>
      <c r="I4717" s="1">
        <v>46174</v>
      </c>
      <c r="J4717">
        <v>29</v>
      </c>
      <c r="K4717" t="s">
        <v>26</v>
      </c>
    </row>
    <row r="4718" spans="1:11">
      <c r="A4718" s="1">
        <v>46198</v>
      </c>
      <c r="B4718" t="s">
        <v>40</v>
      </c>
      <c r="C4718" t="s">
        <v>31</v>
      </c>
      <c r="D4718">
        <v>635</v>
      </c>
      <c r="E4718">
        <v>159</v>
      </c>
      <c r="F4718">
        <v>34</v>
      </c>
      <c r="G4718">
        <v>81</v>
      </c>
      <c r="H4718">
        <v>909</v>
      </c>
      <c r="I4718" s="1">
        <v>46174</v>
      </c>
      <c r="J4718">
        <v>115</v>
      </c>
      <c r="K4718" t="s">
        <v>26</v>
      </c>
    </row>
    <row r="4719" spans="1:11">
      <c r="A4719" s="1">
        <v>46198</v>
      </c>
      <c r="B4719" t="s">
        <v>40</v>
      </c>
      <c r="C4719" t="s">
        <v>63</v>
      </c>
      <c r="D4719">
        <v>2009</v>
      </c>
      <c r="E4719">
        <v>898</v>
      </c>
      <c r="F4719">
        <v>381</v>
      </c>
      <c r="G4719">
        <v>392</v>
      </c>
      <c r="H4719">
        <v>3680</v>
      </c>
      <c r="I4719" s="1">
        <v>46174</v>
      </c>
      <c r="J4719">
        <v>773</v>
      </c>
      <c r="K4719" t="s">
        <v>26</v>
      </c>
    </row>
    <row r="4720" spans="1:11">
      <c r="A4720" s="1">
        <v>46198</v>
      </c>
      <c r="B4720" t="s">
        <v>40</v>
      </c>
      <c r="C4720" t="s">
        <v>60</v>
      </c>
      <c r="D4720">
        <v>1938</v>
      </c>
      <c r="E4720">
        <v>796</v>
      </c>
      <c r="F4720">
        <v>301</v>
      </c>
      <c r="G4720">
        <v>283</v>
      </c>
      <c r="H4720">
        <v>3319</v>
      </c>
      <c r="I4720" s="1">
        <v>46174</v>
      </c>
      <c r="J4720">
        <v>584</v>
      </c>
      <c r="K4720" t="s">
        <v>26</v>
      </c>
    </row>
    <row r="4721" spans="1:11">
      <c r="A4721" s="1">
        <v>46198</v>
      </c>
      <c r="B4721" t="s">
        <v>40</v>
      </c>
      <c r="C4721" t="s">
        <v>61</v>
      </c>
      <c r="D4721">
        <v>3010</v>
      </c>
      <c r="E4721">
        <v>889</v>
      </c>
      <c r="F4721">
        <v>484</v>
      </c>
      <c r="G4721">
        <v>185</v>
      </c>
      <c r="H4721">
        <v>4569</v>
      </c>
      <c r="I4721" s="1">
        <v>46174</v>
      </c>
      <c r="J4721">
        <v>669</v>
      </c>
      <c r="K4721" t="s">
        <v>26</v>
      </c>
    </row>
    <row r="4722" spans="1:11">
      <c r="A4722" s="1">
        <v>46198</v>
      </c>
      <c r="B4722" t="s">
        <v>40</v>
      </c>
      <c r="C4722" t="s">
        <v>69</v>
      </c>
      <c r="D4722">
        <v>4001</v>
      </c>
      <c r="E4722">
        <v>1791</v>
      </c>
      <c r="F4722">
        <v>644</v>
      </c>
      <c r="G4722">
        <v>459</v>
      </c>
      <c r="H4722">
        <v>6895</v>
      </c>
      <c r="I4722" s="1">
        <v>46174</v>
      </c>
      <c r="J4722">
        <v>1103</v>
      </c>
      <c r="K4722" t="s">
        <v>26</v>
      </c>
    </row>
    <row r="4723" spans="1:11">
      <c r="A4723" s="1">
        <v>46198</v>
      </c>
      <c r="B4723" t="s">
        <v>40</v>
      </c>
      <c r="C4723" t="s">
        <v>24</v>
      </c>
      <c r="D4723">
        <v>693</v>
      </c>
      <c r="E4723">
        <v>253</v>
      </c>
      <c r="F4723">
        <v>58</v>
      </c>
      <c r="G4723">
        <v>1</v>
      </c>
      <c r="H4723">
        <v>1005</v>
      </c>
      <c r="I4723" s="1">
        <v>46174</v>
      </c>
      <c r="J4723">
        <v>59</v>
      </c>
      <c r="K4723" t="s">
        <v>26</v>
      </c>
    </row>
    <row r="4724" spans="1:11">
      <c r="A4724" s="1">
        <v>46198</v>
      </c>
      <c r="B4724" t="s">
        <v>40</v>
      </c>
      <c r="C4724" t="s">
        <v>29</v>
      </c>
      <c r="D4724">
        <v>412</v>
      </c>
      <c r="E4724">
        <v>156</v>
      </c>
      <c r="F4724">
        <v>45</v>
      </c>
      <c r="G4724">
        <v>18</v>
      </c>
      <c r="H4724">
        <v>631</v>
      </c>
      <c r="I4724" s="1">
        <v>46174</v>
      </c>
      <c r="J4724">
        <v>63</v>
      </c>
      <c r="K4724" t="s">
        <v>26</v>
      </c>
    </row>
    <row r="4725" spans="1:11">
      <c r="A4725" s="1">
        <v>46198</v>
      </c>
      <c r="B4725" t="s">
        <v>40</v>
      </c>
      <c r="C4725" t="s">
        <v>70</v>
      </c>
      <c r="D4725">
        <v>966</v>
      </c>
      <c r="E4725">
        <v>516</v>
      </c>
      <c r="F4725">
        <v>146</v>
      </c>
      <c r="G4725">
        <v>92</v>
      </c>
      <c r="H4725">
        <v>1720</v>
      </c>
      <c r="I4725" s="1">
        <v>46174</v>
      </c>
      <c r="J4725">
        <v>238</v>
      </c>
      <c r="K4725" t="s">
        <v>26</v>
      </c>
    </row>
    <row r="4726" spans="1:11">
      <c r="A4726" s="1">
        <v>46198</v>
      </c>
      <c r="B4726" t="s">
        <v>40</v>
      </c>
      <c r="C4726" t="s">
        <v>71</v>
      </c>
      <c r="D4726">
        <v>3037</v>
      </c>
      <c r="E4726">
        <v>1211</v>
      </c>
      <c r="F4726">
        <v>352</v>
      </c>
      <c r="G4726">
        <v>269</v>
      </c>
      <c r="H4726">
        <v>4869</v>
      </c>
      <c r="I4726" s="1">
        <v>46174</v>
      </c>
      <c r="J4726">
        <v>621</v>
      </c>
      <c r="K4726" t="s">
        <v>26</v>
      </c>
    </row>
    <row r="4727" spans="1:11">
      <c r="A4727" s="1">
        <v>46198</v>
      </c>
      <c r="B4727" t="s">
        <v>40</v>
      </c>
      <c r="C4727" t="s">
        <v>36</v>
      </c>
      <c r="D4727">
        <v>3071</v>
      </c>
      <c r="E4727">
        <v>1187</v>
      </c>
      <c r="F4727">
        <v>501</v>
      </c>
      <c r="G4727">
        <v>500</v>
      </c>
      <c r="H4727">
        <v>5259</v>
      </c>
      <c r="I4727" s="1">
        <v>46174</v>
      </c>
      <c r="J4727">
        <v>1001</v>
      </c>
      <c r="K4727" t="s">
        <v>26</v>
      </c>
    </row>
    <row r="4728" spans="1:11">
      <c r="A4728" s="1">
        <v>46198</v>
      </c>
      <c r="B4728" t="s">
        <v>40</v>
      </c>
      <c r="C4728" t="s">
        <v>59</v>
      </c>
      <c r="D4728">
        <v>1699</v>
      </c>
      <c r="E4728">
        <v>1033</v>
      </c>
      <c r="F4728">
        <v>438</v>
      </c>
      <c r="G4728">
        <v>365</v>
      </c>
      <c r="H4728">
        <v>3535</v>
      </c>
      <c r="I4728" s="1">
        <v>46174</v>
      </c>
      <c r="J4728">
        <v>803</v>
      </c>
      <c r="K4728" t="s">
        <v>26</v>
      </c>
    </row>
    <row r="4729" spans="1:11">
      <c r="A4729" s="1">
        <v>46198</v>
      </c>
      <c r="B4729" t="s">
        <v>40</v>
      </c>
      <c r="C4729" t="s">
        <v>67</v>
      </c>
      <c r="D4729">
        <v>3448</v>
      </c>
      <c r="E4729">
        <v>1220</v>
      </c>
      <c r="F4729">
        <v>480</v>
      </c>
      <c r="G4729">
        <v>568</v>
      </c>
      <c r="H4729">
        <v>5716</v>
      </c>
      <c r="I4729" s="1">
        <v>46174</v>
      </c>
      <c r="J4729">
        <v>1048</v>
      </c>
      <c r="K4729" t="s">
        <v>26</v>
      </c>
    </row>
    <row r="4730" spans="1:11">
      <c r="A4730" s="1">
        <v>46198</v>
      </c>
      <c r="B4730" t="s">
        <v>40</v>
      </c>
      <c r="C4730" t="s">
        <v>49</v>
      </c>
      <c r="D4730">
        <v>619</v>
      </c>
      <c r="E4730">
        <v>316</v>
      </c>
      <c r="F4730">
        <v>63</v>
      </c>
      <c r="G4730">
        <v>37</v>
      </c>
      <c r="H4730">
        <v>1035</v>
      </c>
      <c r="I4730" s="1">
        <v>46174</v>
      </c>
      <c r="J4730">
        <v>100</v>
      </c>
      <c r="K4730" t="s">
        <v>26</v>
      </c>
    </row>
    <row r="4731" spans="1:11">
      <c r="A4731" s="1">
        <v>46233</v>
      </c>
      <c r="B4731" t="s">
        <v>40</v>
      </c>
      <c r="C4731" t="s">
        <v>48</v>
      </c>
      <c r="D4731">
        <v>5026</v>
      </c>
      <c r="E4731">
        <v>3098</v>
      </c>
      <c r="F4731">
        <v>1914</v>
      </c>
      <c r="G4731">
        <v>1791</v>
      </c>
      <c r="H4731">
        <v>11828</v>
      </c>
      <c r="I4731" s="1">
        <v>46204</v>
      </c>
      <c r="J4731">
        <v>3705</v>
      </c>
      <c r="K4731" t="s">
        <v>26</v>
      </c>
    </row>
    <row r="4732" spans="1:11">
      <c r="A4732" s="1">
        <v>46233</v>
      </c>
      <c r="B4732" t="s">
        <v>40</v>
      </c>
      <c r="C4732" t="s">
        <v>55</v>
      </c>
      <c r="D4732">
        <v>1503</v>
      </c>
      <c r="E4732">
        <v>305</v>
      </c>
      <c r="F4732">
        <v>55</v>
      </c>
      <c r="G4732">
        <v>7</v>
      </c>
      <c r="H4732">
        <v>1870</v>
      </c>
      <c r="I4732" s="1">
        <v>46204</v>
      </c>
      <c r="J4732">
        <v>62</v>
      </c>
      <c r="K4732" t="s">
        <v>26</v>
      </c>
    </row>
    <row r="4733" spans="1:11">
      <c r="A4733" s="1">
        <v>46233</v>
      </c>
      <c r="B4733" t="s">
        <v>40</v>
      </c>
      <c r="C4733" t="s">
        <v>65</v>
      </c>
      <c r="D4733">
        <v>1109</v>
      </c>
      <c r="E4733">
        <v>327</v>
      </c>
      <c r="F4733">
        <v>186</v>
      </c>
      <c r="G4733">
        <v>126</v>
      </c>
      <c r="H4733">
        <v>1748</v>
      </c>
      <c r="I4733" s="1">
        <v>46204</v>
      </c>
      <c r="J4733">
        <v>312</v>
      </c>
      <c r="K4733" t="s">
        <v>26</v>
      </c>
    </row>
    <row r="4734" spans="1:11">
      <c r="A4734" s="1">
        <v>46233</v>
      </c>
      <c r="B4734" t="s">
        <v>40</v>
      </c>
      <c r="C4734" t="s">
        <v>27</v>
      </c>
      <c r="D4734">
        <v>523</v>
      </c>
      <c r="E4734">
        <v>125</v>
      </c>
      <c r="F4734">
        <v>203</v>
      </c>
      <c r="G4734">
        <v>58</v>
      </c>
      <c r="H4734">
        <v>909</v>
      </c>
      <c r="I4734" s="1">
        <v>46204</v>
      </c>
      <c r="J4734">
        <v>261</v>
      </c>
      <c r="K4734" t="s">
        <v>26</v>
      </c>
    </row>
    <row r="4735" spans="1:11">
      <c r="A4735" s="1">
        <v>46233</v>
      </c>
      <c r="B4735" t="s">
        <v>40</v>
      </c>
      <c r="C4735" t="s">
        <v>66</v>
      </c>
      <c r="D4735">
        <v>6956</v>
      </c>
      <c r="E4735">
        <v>3172</v>
      </c>
      <c r="F4735">
        <v>1310</v>
      </c>
      <c r="G4735">
        <v>2291</v>
      </c>
      <c r="H4735">
        <v>13730</v>
      </c>
      <c r="I4735" s="1">
        <v>46204</v>
      </c>
      <c r="J4735">
        <v>3601</v>
      </c>
      <c r="K4735" t="s">
        <v>26</v>
      </c>
    </row>
    <row r="4736" spans="1:11">
      <c r="A4736" s="1">
        <v>46233</v>
      </c>
      <c r="B4736" t="s">
        <v>40</v>
      </c>
      <c r="C4736" t="s">
        <v>57</v>
      </c>
      <c r="D4736">
        <v>2514</v>
      </c>
      <c r="E4736">
        <v>998</v>
      </c>
      <c r="F4736">
        <v>131</v>
      </c>
      <c r="G4736">
        <v>22</v>
      </c>
      <c r="H4736">
        <v>3664</v>
      </c>
      <c r="I4736" s="1">
        <v>46204</v>
      </c>
      <c r="J4736">
        <v>153</v>
      </c>
      <c r="K4736" t="s">
        <v>26</v>
      </c>
    </row>
    <row r="4737" spans="1:11">
      <c r="A4737" s="1">
        <v>46233</v>
      </c>
      <c r="B4737" t="s">
        <v>40</v>
      </c>
      <c r="C4737" t="s">
        <v>68</v>
      </c>
      <c r="D4737">
        <v>5950</v>
      </c>
      <c r="E4737">
        <v>2612</v>
      </c>
      <c r="F4737">
        <v>1258</v>
      </c>
      <c r="G4737">
        <v>1462</v>
      </c>
      <c r="H4737">
        <v>11282</v>
      </c>
      <c r="I4737" s="1">
        <v>46204</v>
      </c>
      <c r="J4737">
        <v>2720</v>
      </c>
      <c r="K4737" t="s">
        <v>26</v>
      </c>
    </row>
    <row r="4738" spans="1:11">
      <c r="A4738" s="1">
        <v>46233</v>
      </c>
      <c r="B4738" t="s">
        <v>40</v>
      </c>
      <c r="C4738" t="s">
        <v>25</v>
      </c>
      <c r="D4738">
        <v>763</v>
      </c>
      <c r="E4738">
        <v>301</v>
      </c>
      <c r="F4738">
        <v>78</v>
      </c>
      <c r="G4738">
        <v>12</v>
      </c>
      <c r="H4738">
        <v>1154</v>
      </c>
      <c r="I4738" s="1">
        <v>46204</v>
      </c>
      <c r="J4738">
        <v>90</v>
      </c>
      <c r="K4738" t="s">
        <v>26</v>
      </c>
    </row>
    <row r="4739" spans="1:11">
      <c r="A4739" s="1">
        <v>46233</v>
      </c>
      <c r="B4739" t="s">
        <v>40</v>
      </c>
      <c r="C4739" t="s">
        <v>51</v>
      </c>
      <c r="D4739">
        <v>586</v>
      </c>
      <c r="E4739">
        <v>141</v>
      </c>
      <c r="F4739">
        <v>32</v>
      </c>
      <c r="G4739">
        <v>3</v>
      </c>
      <c r="H4739">
        <v>762</v>
      </c>
      <c r="I4739" s="1">
        <v>46204</v>
      </c>
      <c r="J4739">
        <v>35</v>
      </c>
      <c r="K4739" t="s">
        <v>26</v>
      </c>
    </row>
    <row r="4740" spans="1:11">
      <c r="A4740" s="1">
        <v>46233</v>
      </c>
      <c r="B4740" t="s">
        <v>40</v>
      </c>
      <c r="C4740" t="s">
        <v>45</v>
      </c>
      <c r="D4740">
        <v>265</v>
      </c>
      <c r="E4740">
        <v>78</v>
      </c>
      <c r="F4740">
        <v>27</v>
      </c>
      <c r="G4740">
        <v>9</v>
      </c>
      <c r="H4740">
        <v>380</v>
      </c>
      <c r="I4740" s="1">
        <v>46204</v>
      </c>
      <c r="J4740">
        <v>36</v>
      </c>
      <c r="K4740" t="s">
        <v>26</v>
      </c>
    </row>
    <row r="4741" spans="1:11">
      <c r="A4741" s="1">
        <v>46233</v>
      </c>
      <c r="B4741" t="s">
        <v>40</v>
      </c>
      <c r="C4741" t="s">
        <v>43</v>
      </c>
      <c r="D4741">
        <v>1600</v>
      </c>
      <c r="E4741">
        <v>788</v>
      </c>
      <c r="F4741">
        <v>350</v>
      </c>
      <c r="G4741">
        <v>257</v>
      </c>
      <c r="H4741">
        <v>2995</v>
      </c>
      <c r="I4741" s="1">
        <v>46204</v>
      </c>
      <c r="J4741">
        <v>607</v>
      </c>
      <c r="K4741" t="s">
        <v>26</v>
      </c>
    </row>
    <row r="4742" spans="1:11">
      <c r="A4742" s="1">
        <v>46233</v>
      </c>
      <c r="B4742" t="s">
        <v>40</v>
      </c>
      <c r="C4742" t="s">
        <v>39</v>
      </c>
      <c r="D4742">
        <v>329</v>
      </c>
      <c r="E4742">
        <v>99</v>
      </c>
      <c r="F4742">
        <v>35</v>
      </c>
      <c r="G4742">
        <v>5</v>
      </c>
      <c r="H4742">
        <v>468</v>
      </c>
      <c r="I4742" s="1">
        <v>46204</v>
      </c>
      <c r="J4742">
        <v>40</v>
      </c>
      <c r="K4742" t="s">
        <v>26</v>
      </c>
    </row>
    <row r="4743" spans="1:11">
      <c r="A4743" s="1">
        <v>46233</v>
      </c>
      <c r="B4743" t="s">
        <v>40</v>
      </c>
      <c r="C4743" t="s">
        <v>38</v>
      </c>
      <c r="D4743">
        <v>369</v>
      </c>
      <c r="E4743">
        <v>124</v>
      </c>
      <c r="F4743">
        <v>54</v>
      </c>
      <c r="G4743">
        <v>58</v>
      </c>
      <c r="H4743">
        <v>605</v>
      </c>
      <c r="I4743" s="1">
        <v>46204</v>
      </c>
      <c r="J4743">
        <v>112</v>
      </c>
      <c r="K4743" t="s">
        <v>26</v>
      </c>
    </row>
    <row r="4744" spans="1:11">
      <c r="A4744" s="1">
        <v>46233</v>
      </c>
      <c r="B4744" t="s">
        <v>40</v>
      </c>
      <c r="C4744" t="s">
        <v>54</v>
      </c>
      <c r="D4744">
        <v>1936</v>
      </c>
      <c r="E4744">
        <v>319</v>
      </c>
      <c r="F4744">
        <v>13</v>
      </c>
      <c r="G4744">
        <v>9</v>
      </c>
      <c r="H4744">
        <v>2276</v>
      </c>
      <c r="I4744" s="1">
        <v>46204</v>
      </c>
      <c r="J4744">
        <v>22</v>
      </c>
      <c r="K4744" t="s">
        <v>26</v>
      </c>
    </row>
    <row r="4745" spans="1:11">
      <c r="A4745" s="1">
        <v>46233</v>
      </c>
      <c r="B4745" t="s">
        <v>40</v>
      </c>
      <c r="C4745" t="s">
        <v>35</v>
      </c>
      <c r="D4745">
        <v>709</v>
      </c>
      <c r="E4745">
        <v>860</v>
      </c>
      <c r="F4745">
        <v>271</v>
      </c>
      <c r="G4745">
        <v>54</v>
      </c>
      <c r="H4745">
        <v>1894</v>
      </c>
      <c r="I4745" s="1">
        <v>46204</v>
      </c>
      <c r="J4745">
        <v>325</v>
      </c>
      <c r="K4745" t="s">
        <v>26</v>
      </c>
    </row>
    <row r="4746" spans="1:11">
      <c r="A4746" s="1">
        <v>46233</v>
      </c>
      <c r="B4746" t="s">
        <v>40</v>
      </c>
      <c r="C4746" t="s">
        <v>46</v>
      </c>
      <c r="D4746">
        <v>371</v>
      </c>
      <c r="E4746">
        <v>51</v>
      </c>
      <c r="F4746">
        <v>33</v>
      </c>
      <c r="G4746">
        <v>3</v>
      </c>
      <c r="H4746">
        <v>458</v>
      </c>
      <c r="I4746" s="1">
        <v>46204</v>
      </c>
      <c r="J4746">
        <v>36</v>
      </c>
      <c r="K4746" t="s">
        <v>26</v>
      </c>
    </row>
    <row r="4747" spans="1:11">
      <c r="A4747" s="1">
        <v>46233</v>
      </c>
      <c r="B4747" t="s">
        <v>40</v>
      </c>
      <c r="C4747" t="s">
        <v>31</v>
      </c>
      <c r="D4747">
        <v>641</v>
      </c>
      <c r="E4747">
        <v>164</v>
      </c>
      <c r="F4747">
        <v>27</v>
      </c>
      <c r="G4747">
        <v>80</v>
      </c>
      <c r="H4747">
        <v>911</v>
      </c>
      <c r="I4747" s="1">
        <v>46204</v>
      </c>
      <c r="J4747">
        <v>107</v>
      </c>
      <c r="K4747" t="s">
        <v>26</v>
      </c>
    </row>
    <row r="4748" spans="1:11">
      <c r="A4748" s="1">
        <v>46233</v>
      </c>
      <c r="B4748" t="s">
        <v>40</v>
      </c>
      <c r="C4748" t="s">
        <v>34</v>
      </c>
      <c r="D4748">
        <v>479</v>
      </c>
      <c r="E4748">
        <v>45</v>
      </c>
      <c r="F4748">
        <v>3</v>
      </c>
      <c r="G4748">
        <v>18</v>
      </c>
      <c r="H4748">
        <v>545</v>
      </c>
      <c r="I4748" s="1">
        <v>46204</v>
      </c>
      <c r="J4748">
        <v>21</v>
      </c>
      <c r="K4748" t="s">
        <v>26</v>
      </c>
    </row>
    <row r="4749" spans="1:11">
      <c r="A4749" s="1">
        <v>46233</v>
      </c>
      <c r="B4749" t="s">
        <v>40</v>
      </c>
      <c r="C4749" t="s">
        <v>63</v>
      </c>
      <c r="D4749">
        <v>2348</v>
      </c>
      <c r="E4749">
        <v>800</v>
      </c>
      <c r="F4749">
        <v>407</v>
      </c>
      <c r="G4749">
        <v>414</v>
      </c>
      <c r="H4749">
        <v>3969</v>
      </c>
      <c r="I4749" s="1">
        <v>46204</v>
      </c>
      <c r="J4749">
        <v>821</v>
      </c>
      <c r="K4749" t="s">
        <v>26</v>
      </c>
    </row>
    <row r="4750" spans="1:11">
      <c r="A4750" s="1">
        <v>46233</v>
      </c>
      <c r="B4750" t="s">
        <v>40</v>
      </c>
      <c r="C4750" t="s">
        <v>60</v>
      </c>
      <c r="D4750">
        <v>2105</v>
      </c>
      <c r="E4750">
        <v>681</v>
      </c>
      <c r="F4750">
        <v>276</v>
      </c>
      <c r="G4750">
        <v>272</v>
      </c>
      <c r="H4750">
        <v>3334</v>
      </c>
      <c r="I4750" s="1">
        <v>46204</v>
      </c>
      <c r="J4750">
        <v>548</v>
      </c>
      <c r="K4750" t="s">
        <v>26</v>
      </c>
    </row>
    <row r="4751" spans="1:11">
      <c r="A4751" s="1">
        <v>46233</v>
      </c>
      <c r="B4751" t="s">
        <v>40</v>
      </c>
      <c r="C4751" t="s">
        <v>61</v>
      </c>
      <c r="D4751">
        <v>3058</v>
      </c>
      <c r="E4751">
        <v>817</v>
      </c>
      <c r="F4751">
        <v>487</v>
      </c>
      <c r="G4751">
        <v>139</v>
      </c>
      <c r="H4751">
        <v>4501</v>
      </c>
      <c r="I4751" s="1">
        <v>46204</v>
      </c>
      <c r="J4751">
        <v>626</v>
      </c>
      <c r="K4751" t="s">
        <v>26</v>
      </c>
    </row>
    <row r="4752" spans="1:11">
      <c r="A4752" s="1">
        <v>46233</v>
      </c>
      <c r="B4752" t="s">
        <v>40</v>
      </c>
      <c r="C4752" t="s">
        <v>69</v>
      </c>
      <c r="D4752">
        <v>4120</v>
      </c>
      <c r="E4752">
        <v>1665</v>
      </c>
      <c r="F4752">
        <v>716</v>
      </c>
      <c r="G4752">
        <v>485</v>
      </c>
      <c r="H4752">
        <v>6986</v>
      </c>
      <c r="I4752" s="1">
        <v>46204</v>
      </c>
      <c r="J4752">
        <v>1201</v>
      </c>
      <c r="K4752" t="s">
        <v>26</v>
      </c>
    </row>
    <row r="4753" spans="1:11">
      <c r="A4753" s="1">
        <v>46233</v>
      </c>
      <c r="B4753" t="s">
        <v>40</v>
      </c>
      <c r="C4753" t="s">
        <v>29</v>
      </c>
      <c r="D4753">
        <v>411</v>
      </c>
      <c r="E4753">
        <v>145</v>
      </c>
      <c r="F4753">
        <v>52</v>
      </c>
      <c r="G4753">
        <v>12</v>
      </c>
      <c r="H4753">
        <v>620</v>
      </c>
      <c r="I4753" s="1">
        <v>46204</v>
      </c>
      <c r="J4753">
        <v>64</v>
      </c>
      <c r="K4753" t="s">
        <v>26</v>
      </c>
    </row>
    <row r="4754" spans="1:11">
      <c r="A4754" s="1">
        <v>46233</v>
      </c>
      <c r="B4754" t="s">
        <v>40</v>
      </c>
      <c r="C4754" t="s">
        <v>70</v>
      </c>
      <c r="D4754">
        <v>1062</v>
      </c>
      <c r="E4754">
        <v>480</v>
      </c>
      <c r="F4754">
        <v>176</v>
      </c>
      <c r="G4754">
        <v>102</v>
      </c>
      <c r="H4754">
        <v>1821</v>
      </c>
      <c r="I4754" s="1">
        <v>46204</v>
      </c>
      <c r="J4754">
        <v>278</v>
      </c>
      <c r="K4754" t="s">
        <v>26</v>
      </c>
    </row>
    <row r="4755" spans="1:11">
      <c r="A4755" s="1">
        <v>46233</v>
      </c>
      <c r="B4755" t="s">
        <v>40</v>
      </c>
      <c r="C4755" t="s">
        <v>71</v>
      </c>
      <c r="D4755">
        <v>3128</v>
      </c>
      <c r="E4755">
        <v>1118</v>
      </c>
      <c r="F4755">
        <v>361</v>
      </c>
      <c r="G4755">
        <v>281</v>
      </c>
      <c r="H4755">
        <v>4888</v>
      </c>
      <c r="I4755" s="1">
        <v>46204</v>
      </c>
      <c r="J4755">
        <v>642</v>
      </c>
      <c r="K4755" t="s">
        <v>26</v>
      </c>
    </row>
    <row r="4756" spans="1:11">
      <c r="A4756" s="1">
        <v>46233</v>
      </c>
      <c r="B4756" t="s">
        <v>40</v>
      </c>
      <c r="C4756" t="s">
        <v>36</v>
      </c>
      <c r="D4756">
        <v>3198</v>
      </c>
      <c r="E4756">
        <v>1102</v>
      </c>
      <c r="F4756">
        <v>484</v>
      </c>
      <c r="G4756">
        <v>455</v>
      </c>
      <c r="H4756">
        <v>5239</v>
      </c>
      <c r="I4756" s="1">
        <v>46204</v>
      </c>
      <c r="J4756">
        <v>939</v>
      </c>
      <c r="K4756" t="s">
        <v>26</v>
      </c>
    </row>
    <row r="4757" spans="1:11">
      <c r="A4757" s="1">
        <v>46233</v>
      </c>
      <c r="B4757" t="s">
        <v>40</v>
      </c>
      <c r="C4757" t="s">
        <v>59</v>
      </c>
      <c r="D4757">
        <v>1693</v>
      </c>
      <c r="E4757">
        <v>1027</v>
      </c>
      <c r="F4757">
        <v>459</v>
      </c>
      <c r="G4757">
        <v>387</v>
      </c>
      <c r="H4757">
        <v>3566</v>
      </c>
      <c r="I4757" s="1">
        <v>46204</v>
      </c>
      <c r="J4757">
        <v>846</v>
      </c>
      <c r="K4757" t="s">
        <v>26</v>
      </c>
    </row>
    <row r="4758" spans="1:11">
      <c r="A4758" s="1">
        <v>46233</v>
      </c>
      <c r="B4758" t="s">
        <v>40</v>
      </c>
      <c r="C4758" t="s">
        <v>67</v>
      </c>
      <c r="D4758">
        <v>3433</v>
      </c>
      <c r="E4758">
        <v>1162</v>
      </c>
      <c r="F4758">
        <v>529</v>
      </c>
      <c r="G4758">
        <v>565</v>
      </c>
      <c r="H4758">
        <v>5689</v>
      </c>
      <c r="I4758" s="1">
        <v>46204</v>
      </c>
      <c r="J4758">
        <v>1094</v>
      </c>
      <c r="K4758" t="s">
        <v>26</v>
      </c>
    </row>
    <row r="4759" spans="1:11">
      <c r="A4759" s="1">
        <v>46233</v>
      </c>
      <c r="B4759" t="s">
        <v>40</v>
      </c>
      <c r="C4759" t="s">
        <v>49</v>
      </c>
      <c r="D4759">
        <v>607</v>
      </c>
      <c r="E4759">
        <v>299</v>
      </c>
      <c r="F4759">
        <v>61</v>
      </c>
      <c r="G4759">
        <v>35</v>
      </c>
      <c r="H4759">
        <v>1001</v>
      </c>
      <c r="I4759" s="1">
        <v>46204</v>
      </c>
      <c r="J4759">
        <v>96</v>
      </c>
      <c r="K4759" t="s">
        <v>26</v>
      </c>
    </row>
    <row r="4760" spans="1:11">
      <c r="A4760" s="1">
        <v>46261</v>
      </c>
      <c r="B4760" t="s">
        <v>40</v>
      </c>
      <c r="C4760" t="s">
        <v>48</v>
      </c>
      <c r="D4760">
        <v>4833</v>
      </c>
      <c r="E4760">
        <v>2927</v>
      </c>
      <c r="F4760">
        <v>1949</v>
      </c>
      <c r="G4760">
        <v>1687</v>
      </c>
      <c r="H4760">
        <v>11397</v>
      </c>
      <c r="I4760" s="1">
        <v>46235</v>
      </c>
      <c r="J4760">
        <v>3636</v>
      </c>
      <c r="K4760" t="s">
        <v>26</v>
      </c>
    </row>
    <row r="4761" spans="1:11">
      <c r="A4761" s="1">
        <v>46261</v>
      </c>
      <c r="B4761" t="s">
        <v>40</v>
      </c>
      <c r="C4761" t="s">
        <v>65</v>
      </c>
      <c r="D4761">
        <v>1083</v>
      </c>
      <c r="E4761">
        <v>329</v>
      </c>
      <c r="F4761">
        <v>167</v>
      </c>
      <c r="G4761">
        <v>130</v>
      </c>
      <c r="H4761">
        <v>1709</v>
      </c>
      <c r="I4761" s="1">
        <v>46235</v>
      </c>
      <c r="J4761">
        <v>297</v>
      </c>
      <c r="K4761" t="s">
        <v>26</v>
      </c>
    </row>
    <row r="4762" spans="1:11">
      <c r="A4762" s="1">
        <v>46261</v>
      </c>
      <c r="B4762" t="s">
        <v>40</v>
      </c>
      <c r="C4762" t="s">
        <v>27</v>
      </c>
      <c r="D4762">
        <v>449</v>
      </c>
      <c r="E4762">
        <v>132</v>
      </c>
      <c r="F4762">
        <v>174</v>
      </c>
      <c r="G4762">
        <v>96</v>
      </c>
      <c r="H4762">
        <v>851</v>
      </c>
      <c r="I4762" s="1">
        <v>46235</v>
      </c>
      <c r="J4762">
        <v>270</v>
      </c>
      <c r="K4762" t="s">
        <v>26</v>
      </c>
    </row>
    <row r="4763" spans="1:11">
      <c r="A4763" s="1">
        <v>46261</v>
      </c>
      <c r="B4763" t="s">
        <v>40</v>
      </c>
      <c r="C4763" t="s">
        <v>37</v>
      </c>
      <c r="D4763">
        <v>588</v>
      </c>
      <c r="E4763">
        <v>223</v>
      </c>
      <c r="F4763">
        <v>123</v>
      </c>
      <c r="G4763">
        <v>1</v>
      </c>
      <c r="H4763">
        <v>935</v>
      </c>
      <c r="I4763" s="1">
        <v>46235</v>
      </c>
      <c r="J4763">
        <v>124</v>
      </c>
      <c r="K4763" t="s">
        <v>26</v>
      </c>
    </row>
    <row r="4764" spans="1:11">
      <c r="A4764" s="1">
        <v>46261</v>
      </c>
      <c r="B4764" t="s">
        <v>40</v>
      </c>
      <c r="C4764" t="s">
        <v>66</v>
      </c>
      <c r="D4764">
        <v>6678</v>
      </c>
      <c r="E4764">
        <v>3638</v>
      </c>
      <c r="F4764">
        <v>1332</v>
      </c>
      <c r="G4764">
        <v>2280</v>
      </c>
      <c r="H4764">
        <v>13927</v>
      </c>
      <c r="I4764" s="1">
        <v>46235</v>
      </c>
      <c r="J4764">
        <v>3612</v>
      </c>
      <c r="K4764" t="s">
        <v>26</v>
      </c>
    </row>
    <row r="4765" spans="1:11">
      <c r="A4765" s="1">
        <v>46261</v>
      </c>
      <c r="B4765" t="s">
        <v>40</v>
      </c>
      <c r="C4765" t="s">
        <v>57</v>
      </c>
      <c r="D4765">
        <v>2411</v>
      </c>
      <c r="E4765">
        <v>1208</v>
      </c>
      <c r="F4765">
        <v>142</v>
      </c>
      <c r="G4765">
        <v>35</v>
      </c>
      <c r="H4765">
        <v>3795</v>
      </c>
      <c r="I4765" s="1">
        <v>46235</v>
      </c>
      <c r="J4765">
        <v>177</v>
      </c>
      <c r="K4765" t="s">
        <v>26</v>
      </c>
    </row>
    <row r="4766" spans="1:11">
      <c r="A4766" s="1">
        <v>46261</v>
      </c>
      <c r="B4766" t="s">
        <v>40</v>
      </c>
      <c r="C4766" t="s">
        <v>68</v>
      </c>
      <c r="D4766">
        <v>6009</v>
      </c>
      <c r="E4766">
        <v>2631</v>
      </c>
      <c r="F4766">
        <v>1369</v>
      </c>
      <c r="G4766">
        <v>1527</v>
      </c>
      <c r="H4766">
        <v>11536</v>
      </c>
      <c r="I4766" s="1">
        <v>46235</v>
      </c>
      <c r="J4766">
        <v>2896</v>
      </c>
      <c r="K4766" t="s">
        <v>26</v>
      </c>
    </row>
    <row r="4767" spans="1:11">
      <c r="A4767" s="1">
        <v>46261</v>
      </c>
      <c r="B4767" t="s">
        <v>40</v>
      </c>
      <c r="C4767" t="s">
        <v>47</v>
      </c>
      <c r="D4767">
        <v>989</v>
      </c>
      <c r="E4767">
        <v>187</v>
      </c>
      <c r="F4767">
        <v>35</v>
      </c>
      <c r="G4767">
        <v>9</v>
      </c>
      <c r="H4767">
        <v>1220</v>
      </c>
      <c r="I4767" s="1">
        <v>46235</v>
      </c>
      <c r="J4767">
        <v>44</v>
      </c>
      <c r="K4767" t="s">
        <v>26</v>
      </c>
    </row>
    <row r="4768" spans="1:11">
      <c r="A4768" s="1">
        <v>46261</v>
      </c>
      <c r="B4768" t="s">
        <v>40</v>
      </c>
      <c r="C4768" t="s">
        <v>25</v>
      </c>
      <c r="D4768">
        <v>597</v>
      </c>
      <c r="E4768">
        <v>313</v>
      </c>
      <c r="F4768">
        <v>84</v>
      </c>
      <c r="G4768">
        <v>14</v>
      </c>
      <c r="H4768">
        <v>1008</v>
      </c>
      <c r="I4768" s="1">
        <v>46235</v>
      </c>
      <c r="J4768">
        <v>98</v>
      </c>
      <c r="K4768" t="s">
        <v>26</v>
      </c>
    </row>
    <row r="4769" spans="1:11">
      <c r="A4769" s="1">
        <v>46261</v>
      </c>
      <c r="B4769" t="s">
        <v>40</v>
      </c>
      <c r="C4769" t="s">
        <v>51</v>
      </c>
      <c r="D4769">
        <v>577</v>
      </c>
      <c r="E4769">
        <v>172</v>
      </c>
      <c r="F4769">
        <v>38</v>
      </c>
      <c r="G4769">
        <v>4</v>
      </c>
      <c r="H4769">
        <v>790</v>
      </c>
      <c r="I4769" s="1">
        <v>46235</v>
      </c>
      <c r="J4769">
        <v>42</v>
      </c>
      <c r="K4769" t="s">
        <v>26</v>
      </c>
    </row>
    <row r="4770" spans="1:11">
      <c r="A4770" s="1">
        <v>46261</v>
      </c>
      <c r="B4770" t="s">
        <v>40</v>
      </c>
      <c r="C4770" t="s">
        <v>45</v>
      </c>
      <c r="D4770">
        <v>287</v>
      </c>
      <c r="E4770">
        <v>67</v>
      </c>
      <c r="F4770">
        <v>29</v>
      </c>
      <c r="G4770">
        <v>4</v>
      </c>
      <c r="H4770">
        <v>386</v>
      </c>
      <c r="I4770" s="1">
        <v>46235</v>
      </c>
      <c r="J4770">
        <v>33</v>
      </c>
      <c r="K4770" t="s">
        <v>26</v>
      </c>
    </row>
    <row r="4771" spans="1:11">
      <c r="A4771" s="1">
        <v>46261</v>
      </c>
      <c r="B4771" t="s">
        <v>40</v>
      </c>
      <c r="C4771" t="s">
        <v>43</v>
      </c>
      <c r="D4771">
        <v>1513</v>
      </c>
      <c r="E4771">
        <v>795</v>
      </c>
      <c r="F4771">
        <v>335</v>
      </c>
      <c r="G4771">
        <v>287</v>
      </c>
      <c r="H4771">
        <v>2930</v>
      </c>
      <c r="I4771" s="1">
        <v>46235</v>
      </c>
      <c r="J4771">
        <v>622</v>
      </c>
      <c r="K4771" t="s">
        <v>26</v>
      </c>
    </row>
    <row r="4772" spans="1:11">
      <c r="A4772" s="1">
        <v>46261</v>
      </c>
      <c r="B4772" t="s">
        <v>40</v>
      </c>
      <c r="C4772" t="s">
        <v>38</v>
      </c>
      <c r="D4772">
        <v>347</v>
      </c>
      <c r="E4772">
        <v>130</v>
      </c>
      <c r="F4772">
        <v>58</v>
      </c>
      <c r="G4772">
        <v>52</v>
      </c>
      <c r="H4772">
        <v>587</v>
      </c>
      <c r="I4772" s="1">
        <v>46235</v>
      </c>
      <c r="J4772">
        <v>110</v>
      </c>
      <c r="K4772" t="s">
        <v>26</v>
      </c>
    </row>
    <row r="4773" spans="1:11">
      <c r="A4773" s="1">
        <v>46261</v>
      </c>
      <c r="B4773" t="s">
        <v>40</v>
      </c>
      <c r="C4773" t="s">
        <v>35</v>
      </c>
      <c r="D4773">
        <v>640</v>
      </c>
      <c r="E4773">
        <v>652</v>
      </c>
      <c r="F4773">
        <v>440</v>
      </c>
      <c r="G4773">
        <v>54</v>
      </c>
      <c r="H4773">
        <v>1786</v>
      </c>
      <c r="I4773" s="1">
        <v>46235</v>
      </c>
      <c r="J4773">
        <v>494</v>
      </c>
      <c r="K4773" t="s">
        <v>26</v>
      </c>
    </row>
    <row r="4774" spans="1:11">
      <c r="A4774" s="1">
        <v>46261</v>
      </c>
      <c r="B4774" t="s">
        <v>40</v>
      </c>
      <c r="C4774" t="s">
        <v>31</v>
      </c>
      <c r="D4774">
        <v>569</v>
      </c>
      <c r="E4774">
        <v>196</v>
      </c>
      <c r="F4774">
        <v>31</v>
      </c>
      <c r="G4774">
        <v>80</v>
      </c>
      <c r="H4774">
        <v>876</v>
      </c>
      <c r="I4774" s="1">
        <v>46235</v>
      </c>
      <c r="J4774">
        <v>111</v>
      </c>
      <c r="K4774" t="s">
        <v>26</v>
      </c>
    </row>
    <row r="4775" spans="1:11">
      <c r="A4775" s="1">
        <v>46261</v>
      </c>
      <c r="B4775" t="s">
        <v>40</v>
      </c>
      <c r="C4775" t="s">
        <v>34</v>
      </c>
      <c r="D4775">
        <v>474</v>
      </c>
      <c r="E4775">
        <v>58</v>
      </c>
      <c r="F4775">
        <v>1</v>
      </c>
      <c r="G4775">
        <v>18</v>
      </c>
      <c r="H4775">
        <v>551</v>
      </c>
      <c r="I4775" s="1">
        <v>46235</v>
      </c>
      <c r="J4775">
        <v>19</v>
      </c>
      <c r="K4775" t="s">
        <v>26</v>
      </c>
    </row>
    <row r="4776" spans="1:11">
      <c r="A4776" s="1">
        <v>46261</v>
      </c>
      <c r="B4776" t="s">
        <v>40</v>
      </c>
      <c r="C4776" t="s">
        <v>63</v>
      </c>
      <c r="D4776">
        <v>2487</v>
      </c>
      <c r="E4776">
        <v>830</v>
      </c>
      <c r="F4776">
        <v>419</v>
      </c>
      <c r="G4776">
        <v>413</v>
      </c>
      <c r="H4776">
        <v>4149</v>
      </c>
      <c r="I4776" s="1">
        <v>46235</v>
      </c>
      <c r="J4776">
        <v>832</v>
      </c>
      <c r="K4776" t="s">
        <v>26</v>
      </c>
    </row>
    <row r="4777" spans="1:11">
      <c r="A4777" s="1">
        <v>46261</v>
      </c>
      <c r="B4777" t="s">
        <v>40</v>
      </c>
      <c r="C4777" t="s">
        <v>60</v>
      </c>
      <c r="D4777">
        <v>2010</v>
      </c>
      <c r="E4777">
        <v>666</v>
      </c>
      <c r="F4777">
        <v>260</v>
      </c>
      <c r="G4777">
        <v>245</v>
      </c>
      <c r="H4777">
        <v>3181</v>
      </c>
      <c r="I4777" s="1">
        <v>46235</v>
      </c>
      <c r="J4777">
        <v>505</v>
      </c>
      <c r="K4777" t="s">
        <v>26</v>
      </c>
    </row>
    <row r="4778" spans="1:11">
      <c r="A4778" s="1">
        <v>46261</v>
      </c>
      <c r="B4778" t="s">
        <v>40</v>
      </c>
      <c r="C4778" t="s">
        <v>61</v>
      </c>
      <c r="D4778">
        <v>3000</v>
      </c>
      <c r="E4778">
        <v>817</v>
      </c>
      <c r="F4778">
        <v>450</v>
      </c>
      <c r="G4778">
        <v>95</v>
      </c>
      <c r="H4778">
        <v>4362</v>
      </c>
      <c r="I4778" s="1">
        <v>46235</v>
      </c>
      <c r="J4778">
        <v>545</v>
      </c>
      <c r="K4778" t="s">
        <v>26</v>
      </c>
    </row>
    <row r="4779" spans="1:11">
      <c r="A4779" s="1">
        <v>46261</v>
      </c>
      <c r="B4779" t="s">
        <v>40</v>
      </c>
      <c r="C4779" t="s">
        <v>69</v>
      </c>
      <c r="D4779">
        <v>3985</v>
      </c>
      <c r="E4779">
        <v>1716</v>
      </c>
      <c r="F4779">
        <v>747</v>
      </c>
      <c r="G4779">
        <v>574</v>
      </c>
      <c r="H4779">
        <v>7021</v>
      </c>
      <c r="I4779" s="1">
        <v>46235</v>
      </c>
      <c r="J4779">
        <v>1321</v>
      </c>
      <c r="K4779" t="s">
        <v>26</v>
      </c>
    </row>
    <row r="4780" spans="1:11">
      <c r="A4780" s="1">
        <v>46261</v>
      </c>
      <c r="B4780" t="s">
        <v>40</v>
      </c>
      <c r="C4780" t="s">
        <v>24</v>
      </c>
      <c r="D4780">
        <v>749</v>
      </c>
      <c r="E4780">
        <v>257</v>
      </c>
      <c r="F4780">
        <v>48</v>
      </c>
      <c r="G4780">
        <v>3</v>
      </c>
      <c r="H4780">
        <v>1057</v>
      </c>
      <c r="I4780" s="1">
        <v>46235</v>
      </c>
      <c r="J4780">
        <v>51</v>
      </c>
      <c r="K4780" t="s">
        <v>26</v>
      </c>
    </row>
    <row r="4781" spans="1:11">
      <c r="A4781" s="1">
        <v>46261</v>
      </c>
      <c r="B4781" t="s">
        <v>40</v>
      </c>
      <c r="C4781" t="s">
        <v>29</v>
      </c>
      <c r="D4781">
        <v>470</v>
      </c>
      <c r="E4781">
        <v>156</v>
      </c>
      <c r="F4781">
        <v>60</v>
      </c>
      <c r="G4781">
        <v>18</v>
      </c>
      <c r="H4781">
        <v>704</v>
      </c>
      <c r="I4781" s="1">
        <v>46235</v>
      </c>
      <c r="J4781">
        <v>78</v>
      </c>
      <c r="K4781" t="s">
        <v>26</v>
      </c>
    </row>
    <row r="4782" spans="1:11">
      <c r="A4782" s="1">
        <v>46261</v>
      </c>
      <c r="B4782" t="s">
        <v>40</v>
      </c>
      <c r="C4782" t="s">
        <v>70</v>
      </c>
      <c r="D4782">
        <v>836</v>
      </c>
      <c r="E4782">
        <v>445</v>
      </c>
      <c r="F4782">
        <v>171</v>
      </c>
      <c r="G4782">
        <v>91</v>
      </c>
      <c r="H4782">
        <v>1543</v>
      </c>
      <c r="I4782" s="1">
        <v>46235</v>
      </c>
      <c r="J4782">
        <v>262</v>
      </c>
      <c r="K4782" t="s">
        <v>26</v>
      </c>
    </row>
    <row r="4783" spans="1:11">
      <c r="A4783" s="1">
        <v>46261</v>
      </c>
      <c r="B4783" t="s">
        <v>40</v>
      </c>
      <c r="C4783" t="s">
        <v>71</v>
      </c>
      <c r="D4783">
        <v>3109</v>
      </c>
      <c r="E4783">
        <v>1147</v>
      </c>
      <c r="F4783">
        <v>374</v>
      </c>
      <c r="G4783">
        <v>290</v>
      </c>
      <c r="H4783">
        <v>4920</v>
      </c>
      <c r="I4783" s="1">
        <v>46235</v>
      </c>
      <c r="J4783">
        <v>664</v>
      </c>
      <c r="K4783" t="s">
        <v>26</v>
      </c>
    </row>
    <row r="4784" spans="1:11">
      <c r="A4784" s="1">
        <v>46261</v>
      </c>
      <c r="B4784" t="s">
        <v>40</v>
      </c>
      <c r="C4784" t="s">
        <v>36</v>
      </c>
      <c r="D4784">
        <v>3051</v>
      </c>
      <c r="E4784">
        <v>1083</v>
      </c>
      <c r="F4784">
        <v>460</v>
      </c>
      <c r="G4784">
        <v>425</v>
      </c>
      <c r="H4784">
        <v>5019</v>
      </c>
      <c r="I4784" s="1">
        <v>46235</v>
      </c>
      <c r="J4784">
        <v>885</v>
      </c>
      <c r="K4784" t="s">
        <v>26</v>
      </c>
    </row>
    <row r="4785" spans="1:11">
      <c r="A4785" s="1">
        <v>46261</v>
      </c>
      <c r="B4785" t="s">
        <v>40</v>
      </c>
      <c r="C4785" t="s">
        <v>59</v>
      </c>
      <c r="D4785">
        <v>1658</v>
      </c>
      <c r="E4785">
        <v>996</v>
      </c>
      <c r="F4785">
        <v>398</v>
      </c>
      <c r="G4785">
        <v>414</v>
      </c>
      <c r="H4785">
        <v>3467</v>
      </c>
      <c r="I4785" s="1">
        <v>46235</v>
      </c>
      <c r="J4785">
        <v>812</v>
      </c>
      <c r="K4785" t="s">
        <v>26</v>
      </c>
    </row>
    <row r="4786" spans="1:11">
      <c r="A4786" s="1">
        <v>46261</v>
      </c>
      <c r="B4786" t="s">
        <v>40</v>
      </c>
      <c r="C4786" t="s">
        <v>67</v>
      </c>
      <c r="D4786">
        <v>3204</v>
      </c>
      <c r="E4786">
        <v>1221</v>
      </c>
      <c r="F4786">
        <v>517</v>
      </c>
      <c r="G4786">
        <v>655</v>
      </c>
      <c r="H4786">
        <v>5596</v>
      </c>
      <c r="I4786" s="1">
        <v>46235</v>
      </c>
      <c r="J4786">
        <v>1172</v>
      </c>
      <c r="K4786" t="s">
        <v>26</v>
      </c>
    </row>
    <row r="4787" spans="1:11">
      <c r="A4787" s="1">
        <v>46261</v>
      </c>
      <c r="B4787" t="s">
        <v>40</v>
      </c>
      <c r="C4787" t="s">
        <v>49</v>
      </c>
      <c r="D4787">
        <v>618</v>
      </c>
      <c r="E4787">
        <v>256</v>
      </c>
      <c r="F4787">
        <v>105</v>
      </c>
      <c r="G4787">
        <v>56</v>
      </c>
      <c r="H4787">
        <v>1035</v>
      </c>
      <c r="I4787" s="1">
        <v>46235</v>
      </c>
      <c r="J4787">
        <v>161</v>
      </c>
      <c r="K4787" t="s">
        <v>26</v>
      </c>
    </row>
    <row r="4788" spans="1:11">
      <c r="A4788" s="1">
        <v>44952</v>
      </c>
      <c r="B4788" t="s">
        <v>40</v>
      </c>
      <c r="C4788" t="s">
        <v>48</v>
      </c>
      <c r="D4788">
        <v>21651</v>
      </c>
      <c r="E4788">
        <v>7237</v>
      </c>
      <c r="F4788">
        <v>212</v>
      </c>
      <c r="G4788">
        <v>11</v>
      </c>
      <c r="H4788">
        <v>29110</v>
      </c>
      <c r="I4788" s="1">
        <v>44927</v>
      </c>
      <c r="J4788">
        <v>223</v>
      </c>
      <c r="K4788" t="s">
        <v>23</v>
      </c>
    </row>
    <row r="4789" spans="1:11">
      <c r="A4789" s="1">
        <v>44952</v>
      </c>
      <c r="B4789" t="s">
        <v>40</v>
      </c>
      <c r="C4789" t="s">
        <v>41</v>
      </c>
      <c r="D4789">
        <v>3957</v>
      </c>
      <c r="E4789">
        <v>2824</v>
      </c>
      <c r="F4789">
        <v>268</v>
      </c>
      <c r="G4789">
        <v>4</v>
      </c>
      <c r="H4789">
        <v>7052</v>
      </c>
      <c r="I4789" s="1">
        <v>44927</v>
      </c>
      <c r="J4789">
        <v>272</v>
      </c>
      <c r="K4789" t="s">
        <v>23</v>
      </c>
    </row>
    <row r="4790" spans="1:11">
      <c r="A4790" s="1">
        <v>44952</v>
      </c>
      <c r="B4790" t="s">
        <v>40</v>
      </c>
      <c r="C4790" t="s">
        <v>55</v>
      </c>
      <c r="D4790">
        <v>4324</v>
      </c>
      <c r="E4790">
        <v>530</v>
      </c>
      <c r="F4790">
        <v>54</v>
      </c>
      <c r="G4790">
        <v>4</v>
      </c>
      <c r="H4790">
        <v>4911</v>
      </c>
      <c r="I4790" s="1">
        <v>44927</v>
      </c>
      <c r="J4790">
        <v>58</v>
      </c>
      <c r="K4790" t="s">
        <v>23</v>
      </c>
    </row>
    <row r="4791" spans="1:11">
      <c r="A4791" s="1">
        <v>44952</v>
      </c>
      <c r="B4791" t="s">
        <v>40</v>
      </c>
      <c r="C4791" t="s">
        <v>33</v>
      </c>
      <c r="D4791">
        <v>1878</v>
      </c>
      <c r="E4791">
        <v>809</v>
      </c>
      <c r="F4791">
        <v>329</v>
      </c>
      <c r="G4791">
        <v>305</v>
      </c>
      <c r="H4791">
        <v>3321</v>
      </c>
      <c r="I4791" s="1">
        <v>44927</v>
      </c>
      <c r="J4791">
        <v>634</v>
      </c>
      <c r="K4791" t="s">
        <v>23</v>
      </c>
    </row>
    <row r="4792" spans="1:11">
      <c r="A4792" s="1">
        <v>44952</v>
      </c>
      <c r="B4792" t="s">
        <v>40</v>
      </c>
      <c r="C4792" t="s">
        <v>65</v>
      </c>
      <c r="D4792">
        <v>13060</v>
      </c>
      <c r="E4792">
        <v>6364</v>
      </c>
      <c r="F4792">
        <v>4433</v>
      </c>
      <c r="G4792">
        <v>7597</v>
      </c>
      <c r="H4792">
        <v>31454</v>
      </c>
      <c r="I4792" s="1">
        <v>44927</v>
      </c>
      <c r="J4792">
        <v>12030</v>
      </c>
      <c r="K4792" t="s">
        <v>23</v>
      </c>
    </row>
    <row r="4793" spans="1:11">
      <c r="A4793" s="1">
        <v>44952</v>
      </c>
      <c r="B4793" t="s">
        <v>40</v>
      </c>
      <c r="C4793" t="s">
        <v>30</v>
      </c>
      <c r="D4793">
        <v>1700</v>
      </c>
      <c r="E4793">
        <v>312</v>
      </c>
      <c r="F4793">
        <v>48</v>
      </c>
      <c r="G4793">
        <v>24</v>
      </c>
      <c r="H4793">
        <v>2084</v>
      </c>
      <c r="I4793" s="1">
        <v>44927</v>
      </c>
      <c r="J4793">
        <v>72</v>
      </c>
      <c r="K4793" t="s">
        <v>23</v>
      </c>
    </row>
    <row r="4794" spans="1:11">
      <c r="A4794" s="1">
        <v>44952</v>
      </c>
      <c r="B4794" t="s">
        <v>40</v>
      </c>
      <c r="C4794" t="s">
        <v>27</v>
      </c>
      <c r="D4794">
        <v>1971</v>
      </c>
      <c r="E4794">
        <v>1153</v>
      </c>
      <c r="F4794">
        <v>518</v>
      </c>
      <c r="G4794">
        <v>632</v>
      </c>
      <c r="H4794">
        <v>4274</v>
      </c>
      <c r="I4794" s="1">
        <v>44927</v>
      </c>
      <c r="J4794">
        <v>1150</v>
      </c>
      <c r="K4794" t="s">
        <v>23</v>
      </c>
    </row>
    <row r="4795" spans="1:11">
      <c r="A4795" s="1">
        <v>44952</v>
      </c>
      <c r="B4795" t="s">
        <v>40</v>
      </c>
      <c r="C4795" t="s">
        <v>37</v>
      </c>
      <c r="D4795">
        <v>447</v>
      </c>
      <c r="E4795">
        <v>313</v>
      </c>
      <c r="F4795">
        <v>77</v>
      </c>
      <c r="G4795">
        <v>24</v>
      </c>
      <c r="H4795">
        <v>861</v>
      </c>
      <c r="I4795" s="1">
        <v>44927</v>
      </c>
      <c r="J4795">
        <v>101</v>
      </c>
      <c r="K4795" t="s">
        <v>23</v>
      </c>
    </row>
    <row r="4796" spans="1:11">
      <c r="A4796" s="1">
        <v>44952</v>
      </c>
      <c r="B4796" t="s">
        <v>40</v>
      </c>
      <c r="C4796" t="s">
        <v>66</v>
      </c>
      <c r="D4796">
        <v>18224</v>
      </c>
      <c r="E4796">
        <v>10002</v>
      </c>
      <c r="F4796">
        <v>6535</v>
      </c>
      <c r="G4796">
        <v>13465</v>
      </c>
      <c r="H4796">
        <v>48226</v>
      </c>
      <c r="I4796" s="1">
        <v>44927</v>
      </c>
      <c r="J4796">
        <v>20000</v>
      </c>
      <c r="K4796" t="s">
        <v>23</v>
      </c>
    </row>
    <row r="4797" spans="1:11">
      <c r="A4797" s="1">
        <v>44952</v>
      </c>
      <c r="B4797" t="s">
        <v>40</v>
      </c>
      <c r="C4797" t="s">
        <v>57</v>
      </c>
      <c r="D4797">
        <v>7200</v>
      </c>
      <c r="E4797">
        <v>2857</v>
      </c>
      <c r="F4797">
        <v>1481</v>
      </c>
      <c r="G4797">
        <v>3593</v>
      </c>
      <c r="H4797">
        <v>15130</v>
      </c>
      <c r="I4797" s="1">
        <v>44927</v>
      </c>
      <c r="J4797">
        <v>5074</v>
      </c>
      <c r="K4797" t="s">
        <v>23</v>
      </c>
    </row>
    <row r="4798" spans="1:11">
      <c r="A4798" s="1">
        <v>44952</v>
      </c>
      <c r="B4798" t="s">
        <v>40</v>
      </c>
      <c r="C4798" t="s">
        <v>42</v>
      </c>
      <c r="D4798">
        <v>1988</v>
      </c>
      <c r="E4798">
        <v>898</v>
      </c>
      <c r="F4798">
        <v>185</v>
      </c>
      <c r="G4798">
        <v>105</v>
      </c>
      <c r="H4798">
        <v>3176</v>
      </c>
      <c r="I4798" s="1">
        <v>44927</v>
      </c>
      <c r="J4798">
        <v>290</v>
      </c>
      <c r="K4798" t="s">
        <v>23</v>
      </c>
    </row>
    <row r="4799" spans="1:11">
      <c r="A4799" s="1">
        <v>44952</v>
      </c>
      <c r="B4799" t="s">
        <v>40</v>
      </c>
      <c r="C4799" t="s">
        <v>28</v>
      </c>
      <c r="D4799">
        <v>1992</v>
      </c>
      <c r="E4799">
        <v>747</v>
      </c>
      <c r="F4799">
        <v>240</v>
      </c>
      <c r="G4799">
        <v>230</v>
      </c>
      <c r="H4799">
        <v>3209</v>
      </c>
      <c r="I4799" s="1">
        <v>44927</v>
      </c>
      <c r="J4799">
        <v>470</v>
      </c>
      <c r="K4799" t="s">
        <v>23</v>
      </c>
    </row>
    <row r="4800" spans="1:11">
      <c r="A4800" s="1">
        <v>44952</v>
      </c>
      <c r="B4800" t="s">
        <v>40</v>
      </c>
      <c r="C4800" t="s">
        <v>68</v>
      </c>
      <c r="D4800">
        <v>20926</v>
      </c>
      <c r="E4800">
        <v>6418</v>
      </c>
      <c r="F4800">
        <v>2878</v>
      </c>
      <c r="G4800">
        <v>7925</v>
      </c>
      <c r="H4800">
        <v>38147</v>
      </c>
      <c r="I4800" s="1">
        <v>44927</v>
      </c>
      <c r="J4800">
        <v>10803</v>
      </c>
      <c r="K4800" t="s">
        <v>23</v>
      </c>
    </row>
    <row r="4801" spans="1:11">
      <c r="A4801" s="1">
        <v>44952</v>
      </c>
      <c r="B4801" t="s">
        <v>40</v>
      </c>
      <c r="C4801" t="s">
        <v>47</v>
      </c>
      <c r="D4801">
        <v>4314</v>
      </c>
      <c r="E4801">
        <v>1995</v>
      </c>
      <c r="F4801">
        <v>719</v>
      </c>
      <c r="G4801">
        <v>1840</v>
      </c>
      <c r="H4801">
        <v>8868</v>
      </c>
      <c r="I4801" s="1">
        <v>44927</v>
      </c>
      <c r="J4801">
        <v>2559</v>
      </c>
      <c r="K4801" t="s">
        <v>23</v>
      </c>
    </row>
    <row r="4802" spans="1:11">
      <c r="A4802" s="1">
        <v>44952</v>
      </c>
      <c r="B4802" t="s">
        <v>40</v>
      </c>
      <c r="C4802" t="s">
        <v>25</v>
      </c>
      <c r="D4802">
        <v>2732</v>
      </c>
      <c r="E4802">
        <v>1232</v>
      </c>
      <c r="F4802">
        <v>597</v>
      </c>
      <c r="G4802">
        <v>1761</v>
      </c>
      <c r="H4802">
        <v>6322</v>
      </c>
      <c r="I4802" s="1">
        <v>44927</v>
      </c>
      <c r="J4802">
        <v>2358</v>
      </c>
      <c r="K4802" t="s">
        <v>23</v>
      </c>
    </row>
    <row r="4803" spans="1:11">
      <c r="A4803" s="1">
        <v>44952</v>
      </c>
      <c r="B4803" t="s">
        <v>40</v>
      </c>
      <c r="C4803" t="s">
        <v>51</v>
      </c>
      <c r="D4803">
        <v>3996</v>
      </c>
      <c r="E4803">
        <v>2481</v>
      </c>
      <c r="F4803">
        <v>1347</v>
      </c>
      <c r="G4803">
        <v>1250</v>
      </c>
      <c r="H4803">
        <v>9074</v>
      </c>
      <c r="I4803" s="1">
        <v>44927</v>
      </c>
      <c r="J4803">
        <v>2597</v>
      </c>
      <c r="K4803" t="s">
        <v>23</v>
      </c>
    </row>
    <row r="4804" spans="1:11">
      <c r="A4804" s="1">
        <v>44952</v>
      </c>
      <c r="B4804" t="s">
        <v>40</v>
      </c>
      <c r="C4804" t="s">
        <v>45</v>
      </c>
      <c r="D4804">
        <v>2159</v>
      </c>
      <c r="E4804">
        <v>1230</v>
      </c>
      <c r="F4804">
        <v>717</v>
      </c>
      <c r="G4804">
        <v>543</v>
      </c>
      <c r="H4804">
        <v>4649</v>
      </c>
      <c r="I4804" s="1">
        <v>44927</v>
      </c>
      <c r="J4804">
        <v>1260</v>
      </c>
      <c r="K4804" t="s">
        <v>23</v>
      </c>
    </row>
    <row r="4805" spans="1:11">
      <c r="A4805" s="1">
        <v>44952</v>
      </c>
      <c r="B4805" t="s">
        <v>40</v>
      </c>
      <c r="C4805" t="s">
        <v>43</v>
      </c>
      <c r="D4805">
        <v>7265</v>
      </c>
      <c r="E4805">
        <v>3757</v>
      </c>
      <c r="F4805">
        <v>1046</v>
      </c>
      <c r="G4805">
        <v>402</v>
      </c>
      <c r="H4805">
        <v>12470</v>
      </c>
      <c r="I4805" s="1">
        <v>44927</v>
      </c>
      <c r="J4805">
        <v>1448</v>
      </c>
      <c r="K4805" t="s">
        <v>23</v>
      </c>
    </row>
    <row r="4806" spans="1:11">
      <c r="A4806" s="1">
        <v>44952</v>
      </c>
      <c r="B4806" t="s">
        <v>40</v>
      </c>
      <c r="C4806" t="s">
        <v>39</v>
      </c>
      <c r="D4806">
        <v>5248</v>
      </c>
      <c r="E4806">
        <v>2044</v>
      </c>
      <c r="F4806">
        <v>875</v>
      </c>
      <c r="G4806">
        <v>631</v>
      </c>
      <c r="H4806">
        <v>8798</v>
      </c>
      <c r="I4806" s="1">
        <v>44927</v>
      </c>
      <c r="J4806">
        <v>1506</v>
      </c>
      <c r="K4806" t="s">
        <v>23</v>
      </c>
    </row>
    <row r="4807" spans="1:11">
      <c r="A4807" s="1">
        <v>44952</v>
      </c>
      <c r="B4807" t="s">
        <v>40</v>
      </c>
      <c r="C4807" t="s">
        <v>54</v>
      </c>
      <c r="D4807">
        <v>2749</v>
      </c>
      <c r="E4807">
        <v>923</v>
      </c>
      <c r="F4807">
        <v>105</v>
      </c>
      <c r="G4807">
        <v>27</v>
      </c>
      <c r="H4807">
        <v>3804</v>
      </c>
      <c r="I4807" s="1">
        <v>44927</v>
      </c>
      <c r="J4807">
        <v>132</v>
      </c>
      <c r="K4807" t="s">
        <v>23</v>
      </c>
    </row>
    <row r="4808" spans="1:11">
      <c r="A4808" s="1">
        <v>44952</v>
      </c>
      <c r="B4808" t="s">
        <v>40</v>
      </c>
      <c r="C4808" t="s">
        <v>35</v>
      </c>
      <c r="D4808">
        <v>316</v>
      </c>
      <c r="E4808">
        <v>181</v>
      </c>
      <c r="F4808">
        <v>65</v>
      </c>
      <c r="G4808">
        <v>23</v>
      </c>
      <c r="H4808">
        <v>585</v>
      </c>
      <c r="I4808" s="1">
        <v>44927</v>
      </c>
      <c r="J4808">
        <v>88</v>
      </c>
      <c r="K4808" t="s">
        <v>23</v>
      </c>
    </row>
    <row r="4809" spans="1:11">
      <c r="A4809" s="1">
        <v>44952</v>
      </c>
      <c r="B4809" t="s">
        <v>40</v>
      </c>
      <c r="C4809" t="s">
        <v>52</v>
      </c>
      <c r="D4809">
        <v>6649</v>
      </c>
      <c r="E4809">
        <v>3628</v>
      </c>
      <c r="F4809">
        <v>805</v>
      </c>
      <c r="G4809">
        <v>211</v>
      </c>
      <c r="H4809">
        <v>11293</v>
      </c>
      <c r="I4809" s="1">
        <v>44927</v>
      </c>
      <c r="J4809">
        <v>1016</v>
      </c>
      <c r="K4809" t="s">
        <v>23</v>
      </c>
    </row>
    <row r="4810" spans="1:11">
      <c r="A4810" s="1">
        <v>44952</v>
      </c>
      <c r="B4810" t="s">
        <v>40</v>
      </c>
      <c r="C4810" t="s">
        <v>22</v>
      </c>
      <c r="D4810">
        <v>2948</v>
      </c>
      <c r="E4810">
        <v>1225</v>
      </c>
      <c r="F4810">
        <v>527</v>
      </c>
      <c r="G4810">
        <v>1176</v>
      </c>
      <c r="H4810">
        <v>5876</v>
      </c>
      <c r="I4810" s="1">
        <v>44927</v>
      </c>
      <c r="J4810">
        <v>1703</v>
      </c>
      <c r="K4810" t="s">
        <v>23</v>
      </c>
    </row>
    <row r="4811" spans="1:11">
      <c r="A4811" s="1">
        <v>44952</v>
      </c>
      <c r="B4811" t="s">
        <v>40</v>
      </c>
      <c r="C4811" t="s">
        <v>46</v>
      </c>
      <c r="D4811">
        <v>1867</v>
      </c>
      <c r="E4811">
        <v>678</v>
      </c>
      <c r="F4811">
        <v>258</v>
      </c>
      <c r="G4811">
        <v>579</v>
      </c>
      <c r="H4811">
        <v>3381</v>
      </c>
      <c r="I4811" s="1">
        <v>44927</v>
      </c>
      <c r="J4811">
        <v>837</v>
      </c>
      <c r="K4811" t="s">
        <v>23</v>
      </c>
    </row>
    <row r="4812" spans="1:11">
      <c r="A4812" s="1">
        <v>44952</v>
      </c>
      <c r="B4812" t="s">
        <v>40</v>
      </c>
      <c r="C4812" t="s">
        <v>31</v>
      </c>
      <c r="D4812">
        <v>2882</v>
      </c>
      <c r="E4812">
        <v>1383</v>
      </c>
      <c r="F4812">
        <v>629</v>
      </c>
      <c r="G4812">
        <v>1384</v>
      </c>
      <c r="H4812">
        <v>6278</v>
      </c>
      <c r="I4812" s="1">
        <v>44927</v>
      </c>
      <c r="J4812">
        <v>2013</v>
      </c>
      <c r="K4812" t="s">
        <v>23</v>
      </c>
    </row>
    <row r="4813" spans="1:11">
      <c r="A4813" s="1">
        <v>44952</v>
      </c>
      <c r="B4813" t="s">
        <v>40</v>
      </c>
      <c r="C4813" t="s">
        <v>63</v>
      </c>
      <c r="D4813">
        <v>4738</v>
      </c>
      <c r="E4813">
        <v>2829</v>
      </c>
      <c r="F4813">
        <v>1574</v>
      </c>
      <c r="G4813">
        <v>3609</v>
      </c>
      <c r="H4813">
        <v>12750</v>
      </c>
      <c r="I4813" s="1">
        <v>44927</v>
      </c>
      <c r="J4813">
        <v>5183</v>
      </c>
      <c r="K4813" t="s">
        <v>23</v>
      </c>
    </row>
    <row r="4814" spans="1:11">
      <c r="A4814" s="1">
        <v>44952</v>
      </c>
      <c r="B4814" t="s">
        <v>40</v>
      </c>
      <c r="C4814" t="s">
        <v>60</v>
      </c>
      <c r="D4814">
        <v>7440</v>
      </c>
      <c r="E4814">
        <v>3582</v>
      </c>
      <c r="F4814">
        <v>1846</v>
      </c>
      <c r="G4814">
        <v>2441</v>
      </c>
      <c r="H4814">
        <v>15309</v>
      </c>
      <c r="I4814" s="1">
        <v>44927</v>
      </c>
      <c r="J4814">
        <v>4287</v>
      </c>
      <c r="K4814" t="s">
        <v>23</v>
      </c>
    </row>
    <row r="4815" spans="1:11">
      <c r="A4815" s="1">
        <v>44952</v>
      </c>
      <c r="B4815" t="s">
        <v>40</v>
      </c>
      <c r="C4815" t="s">
        <v>61</v>
      </c>
      <c r="D4815">
        <v>9365</v>
      </c>
      <c r="E4815">
        <v>5016</v>
      </c>
      <c r="F4815">
        <v>2409</v>
      </c>
      <c r="G4815">
        <v>5857</v>
      </c>
      <c r="H4815">
        <v>22647</v>
      </c>
      <c r="I4815" s="1">
        <v>44927</v>
      </c>
      <c r="J4815">
        <v>8266</v>
      </c>
      <c r="K4815" t="s">
        <v>23</v>
      </c>
    </row>
    <row r="4816" spans="1:11">
      <c r="A4816" s="1">
        <v>44952</v>
      </c>
      <c r="B4816" t="s">
        <v>40</v>
      </c>
      <c r="C4816" t="s">
        <v>62</v>
      </c>
      <c r="D4816">
        <v>2197</v>
      </c>
      <c r="E4816">
        <v>1847</v>
      </c>
      <c r="F4816">
        <v>1156</v>
      </c>
      <c r="G4816">
        <v>2478</v>
      </c>
      <c r="H4816">
        <v>7677</v>
      </c>
      <c r="I4816" s="1">
        <v>44927</v>
      </c>
      <c r="J4816">
        <v>3634</v>
      </c>
      <c r="K4816" t="s">
        <v>23</v>
      </c>
    </row>
    <row r="4817" spans="1:11">
      <c r="A4817" s="1">
        <v>44952</v>
      </c>
      <c r="B4817" t="s">
        <v>40</v>
      </c>
      <c r="C4817" t="s">
        <v>69</v>
      </c>
      <c r="D4817">
        <v>14567</v>
      </c>
      <c r="E4817">
        <v>4517</v>
      </c>
      <c r="F4817">
        <v>1779</v>
      </c>
      <c r="G4817">
        <v>1915</v>
      </c>
      <c r="H4817">
        <v>22778</v>
      </c>
      <c r="I4817" s="1">
        <v>44927</v>
      </c>
      <c r="J4817">
        <v>3694</v>
      </c>
      <c r="K4817" t="s">
        <v>23</v>
      </c>
    </row>
    <row r="4818" spans="1:11">
      <c r="A4818" s="1">
        <v>44952</v>
      </c>
      <c r="B4818" t="s">
        <v>40</v>
      </c>
      <c r="C4818" t="s">
        <v>24</v>
      </c>
      <c r="D4818">
        <v>608</v>
      </c>
      <c r="E4818">
        <v>322</v>
      </c>
      <c r="F4818">
        <v>207</v>
      </c>
      <c r="G4818">
        <v>289</v>
      </c>
      <c r="H4818">
        <v>1426</v>
      </c>
      <c r="I4818" s="1">
        <v>44927</v>
      </c>
      <c r="J4818">
        <v>496</v>
      </c>
      <c r="K4818" t="s">
        <v>23</v>
      </c>
    </row>
    <row r="4819" spans="1:11">
      <c r="A4819" s="1">
        <v>44952</v>
      </c>
      <c r="B4819" t="s">
        <v>40</v>
      </c>
      <c r="C4819" t="s">
        <v>29</v>
      </c>
      <c r="D4819">
        <v>3060</v>
      </c>
      <c r="E4819">
        <v>1136</v>
      </c>
      <c r="F4819">
        <v>116</v>
      </c>
      <c r="G4819">
        <v>28</v>
      </c>
      <c r="H4819">
        <v>4339</v>
      </c>
      <c r="I4819" s="1">
        <v>44927</v>
      </c>
      <c r="J4819">
        <v>144</v>
      </c>
      <c r="K4819" t="s">
        <v>23</v>
      </c>
    </row>
    <row r="4820" spans="1:11">
      <c r="A4820" s="1">
        <v>44952</v>
      </c>
      <c r="B4820" t="s">
        <v>40</v>
      </c>
      <c r="C4820" t="s">
        <v>70</v>
      </c>
      <c r="D4820">
        <v>2802</v>
      </c>
      <c r="E4820">
        <v>743</v>
      </c>
      <c r="F4820">
        <v>189</v>
      </c>
      <c r="G4820">
        <v>164</v>
      </c>
      <c r="H4820">
        <v>3898</v>
      </c>
      <c r="I4820" s="1">
        <v>44927</v>
      </c>
      <c r="J4820">
        <v>353</v>
      </c>
      <c r="K4820" t="s">
        <v>23</v>
      </c>
    </row>
    <row r="4821" spans="1:11">
      <c r="A4821" s="1">
        <v>44952</v>
      </c>
      <c r="B4821" t="s">
        <v>40</v>
      </c>
      <c r="C4821" t="s">
        <v>71</v>
      </c>
      <c r="D4821">
        <v>16574</v>
      </c>
      <c r="E4821">
        <v>4811</v>
      </c>
      <c r="F4821">
        <v>1305</v>
      </c>
      <c r="G4821">
        <v>1117</v>
      </c>
      <c r="H4821">
        <v>23806</v>
      </c>
      <c r="I4821" s="1">
        <v>44927</v>
      </c>
      <c r="J4821">
        <v>2422</v>
      </c>
      <c r="K4821" t="s">
        <v>23</v>
      </c>
    </row>
    <row r="4822" spans="1:11">
      <c r="A4822" s="1">
        <v>44952</v>
      </c>
      <c r="B4822" t="s">
        <v>40</v>
      </c>
      <c r="C4822" t="s">
        <v>36</v>
      </c>
      <c r="D4822">
        <v>12544</v>
      </c>
      <c r="E4822">
        <v>9741</v>
      </c>
      <c r="F4822">
        <v>5557</v>
      </c>
      <c r="G4822">
        <v>9359</v>
      </c>
      <c r="H4822">
        <v>37201</v>
      </c>
      <c r="I4822" s="1">
        <v>44927</v>
      </c>
      <c r="J4822">
        <v>14916</v>
      </c>
      <c r="K4822" t="s">
        <v>23</v>
      </c>
    </row>
    <row r="4823" spans="1:11">
      <c r="A4823" s="1">
        <v>44952</v>
      </c>
      <c r="B4823" t="s">
        <v>40</v>
      </c>
      <c r="C4823" t="s">
        <v>32</v>
      </c>
      <c r="D4823">
        <v>1966</v>
      </c>
      <c r="E4823">
        <v>819</v>
      </c>
      <c r="F4823">
        <v>313</v>
      </c>
      <c r="G4823">
        <v>196</v>
      </c>
      <c r="H4823">
        <v>3293</v>
      </c>
      <c r="I4823" s="1">
        <v>44927</v>
      </c>
      <c r="J4823">
        <v>509</v>
      </c>
      <c r="K4823" t="s">
        <v>23</v>
      </c>
    </row>
    <row r="4824" spans="1:11">
      <c r="A4824" s="1">
        <v>44952</v>
      </c>
      <c r="B4824" t="s">
        <v>40</v>
      </c>
      <c r="C4824" t="s">
        <v>44</v>
      </c>
      <c r="D4824">
        <v>4968</v>
      </c>
      <c r="E4824">
        <v>1604</v>
      </c>
      <c r="F4824">
        <v>860</v>
      </c>
      <c r="G4824">
        <v>270</v>
      </c>
      <c r="H4824">
        <v>7701</v>
      </c>
      <c r="I4824" s="1">
        <v>44927</v>
      </c>
      <c r="J4824">
        <v>1130</v>
      </c>
      <c r="K4824" t="s">
        <v>23</v>
      </c>
    </row>
    <row r="4825" spans="1:11">
      <c r="A4825" s="1">
        <v>44952</v>
      </c>
      <c r="B4825" t="s">
        <v>40</v>
      </c>
      <c r="C4825" t="s">
        <v>59</v>
      </c>
      <c r="D4825">
        <v>13114</v>
      </c>
      <c r="E4825">
        <v>6246</v>
      </c>
      <c r="F4825">
        <v>3874</v>
      </c>
      <c r="G4825">
        <v>5786</v>
      </c>
      <c r="H4825">
        <v>29019</v>
      </c>
      <c r="I4825" s="1">
        <v>44927</v>
      </c>
      <c r="J4825">
        <v>9660</v>
      </c>
      <c r="K4825" t="s">
        <v>23</v>
      </c>
    </row>
    <row r="4826" spans="1:11">
      <c r="A4826" s="1">
        <v>44952</v>
      </c>
      <c r="B4826" t="s">
        <v>40</v>
      </c>
      <c r="C4826" t="s">
        <v>67</v>
      </c>
      <c r="D4826">
        <v>14854</v>
      </c>
      <c r="E4826">
        <v>7860</v>
      </c>
      <c r="F4826">
        <v>3779</v>
      </c>
      <c r="G4826">
        <v>5578</v>
      </c>
      <c r="H4826">
        <v>32070</v>
      </c>
      <c r="I4826" s="1">
        <v>44927</v>
      </c>
      <c r="J4826">
        <v>9357</v>
      </c>
      <c r="K4826" t="s">
        <v>23</v>
      </c>
    </row>
    <row r="4827" spans="1:11">
      <c r="A4827" s="1">
        <v>44952</v>
      </c>
      <c r="B4827" t="s">
        <v>40</v>
      </c>
      <c r="C4827" t="s">
        <v>49</v>
      </c>
      <c r="D4827">
        <v>2671</v>
      </c>
      <c r="E4827">
        <v>803</v>
      </c>
      <c r="F4827">
        <v>114</v>
      </c>
      <c r="G4827">
        <v>5</v>
      </c>
      <c r="H4827">
        <v>3593</v>
      </c>
      <c r="I4827" s="1">
        <v>44927</v>
      </c>
      <c r="J4827">
        <v>119</v>
      </c>
      <c r="K4827" t="s">
        <v>23</v>
      </c>
    </row>
    <row r="4828" spans="1:11">
      <c r="A4828" s="1">
        <v>44980</v>
      </c>
      <c r="B4828" t="s">
        <v>40</v>
      </c>
      <c r="C4828" t="s">
        <v>48</v>
      </c>
      <c r="D4828">
        <v>21660</v>
      </c>
      <c r="E4828">
        <v>7881</v>
      </c>
      <c r="F4828">
        <v>577</v>
      </c>
      <c r="G4828">
        <v>15</v>
      </c>
      <c r="H4828">
        <v>30133</v>
      </c>
      <c r="I4828" s="1">
        <v>44958</v>
      </c>
      <c r="J4828">
        <v>592</v>
      </c>
      <c r="K4828" t="s">
        <v>23</v>
      </c>
    </row>
    <row r="4829" spans="1:11">
      <c r="A4829" s="1">
        <v>44980</v>
      </c>
      <c r="B4829" t="s">
        <v>40</v>
      </c>
      <c r="C4829" t="s">
        <v>33</v>
      </c>
      <c r="D4829">
        <v>1860</v>
      </c>
      <c r="E4829">
        <v>803</v>
      </c>
      <c r="F4829">
        <v>278</v>
      </c>
      <c r="G4829">
        <v>324</v>
      </c>
      <c r="H4829">
        <v>3265</v>
      </c>
      <c r="I4829" s="1">
        <v>44958</v>
      </c>
      <c r="J4829">
        <v>602</v>
      </c>
      <c r="K4829" t="s">
        <v>23</v>
      </c>
    </row>
    <row r="4830" spans="1:11">
      <c r="A4830" s="1">
        <v>44980</v>
      </c>
      <c r="B4830" t="s">
        <v>40</v>
      </c>
      <c r="C4830" t="s">
        <v>65</v>
      </c>
      <c r="D4830">
        <v>13253</v>
      </c>
      <c r="E4830">
        <v>6311</v>
      </c>
      <c r="F4830">
        <v>4561</v>
      </c>
      <c r="G4830">
        <v>7610</v>
      </c>
      <c r="H4830">
        <v>31734</v>
      </c>
      <c r="I4830" s="1">
        <v>44958</v>
      </c>
      <c r="J4830">
        <v>12171</v>
      </c>
      <c r="K4830" t="s">
        <v>23</v>
      </c>
    </row>
    <row r="4831" spans="1:11">
      <c r="A4831" s="1">
        <v>44980</v>
      </c>
      <c r="B4831" t="s">
        <v>40</v>
      </c>
      <c r="C4831" t="s">
        <v>30</v>
      </c>
      <c r="D4831">
        <v>1789</v>
      </c>
      <c r="E4831">
        <v>233</v>
      </c>
      <c r="F4831">
        <v>34</v>
      </c>
      <c r="G4831">
        <v>17</v>
      </c>
      <c r="H4831">
        <v>2073</v>
      </c>
      <c r="I4831" s="1">
        <v>44958</v>
      </c>
      <c r="J4831">
        <v>51</v>
      </c>
      <c r="K4831" t="s">
        <v>23</v>
      </c>
    </row>
    <row r="4832" spans="1:11">
      <c r="A4832" s="1">
        <v>44980</v>
      </c>
      <c r="B4832" t="s">
        <v>40</v>
      </c>
      <c r="C4832" t="s">
        <v>27</v>
      </c>
      <c r="D4832">
        <v>2116</v>
      </c>
      <c r="E4832">
        <v>1138</v>
      </c>
      <c r="F4832">
        <v>440</v>
      </c>
      <c r="G4832">
        <v>610</v>
      </c>
      <c r="H4832">
        <v>4304</v>
      </c>
      <c r="I4832" s="1">
        <v>44958</v>
      </c>
      <c r="J4832">
        <v>1050</v>
      </c>
      <c r="K4832" t="s">
        <v>23</v>
      </c>
    </row>
    <row r="4833" spans="1:11">
      <c r="A4833" s="1">
        <v>44980</v>
      </c>
      <c r="B4833" t="s">
        <v>40</v>
      </c>
      <c r="C4833" t="s">
        <v>37</v>
      </c>
      <c r="D4833">
        <v>466</v>
      </c>
      <c r="E4833">
        <v>307</v>
      </c>
      <c r="F4833">
        <v>74</v>
      </c>
      <c r="G4833">
        <v>15</v>
      </c>
      <c r="H4833">
        <v>862</v>
      </c>
      <c r="I4833" s="1">
        <v>44958</v>
      </c>
      <c r="J4833">
        <v>89</v>
      </c>
      <c r="K4833" t="s">
        <v>23</v>
      </c>
    </row>
    <row r="4834" spans="1:11">
      <c r="A4834" s="1">
        <v>44980</v>
      </c>
      <c r="B4834" t="s">
        <v>40</v>
      </c>
      <c r="C4834" t="s">
        <v>66</v>
      </c>
      <c r="D4834">
        <v>18760</v>
      </c>
      <c r="E4834">
        <v>10017</v>
      </c>
      <c r="F4834">
        <v>6723</v>
      </c>
      <c r="G4834">
        <v>13740</v>
      </c>
      <c r="H4834">
        <v>49240</v>
      </c>
      <c r="I4834" s="1">
        <v>44958</v>
      </c>
      <c r="J4834">
        <v>20463</v>
      </c>
      <c r="K4834" t="s">
        <v>23</v>
      </c>
    </row>
    <row r="4835" spans="1:11">
      <c r="A4835" s="1">
        <v>44980</v>
      </c>
      <c r="B4835" t="s">
        <v>40</v>
      </c>
      <c r="C4835" t="s">
        <v>57</v>
      </c>
      <c r="D4835">
        <v>7479</v>
      </c>
      <c r="E4835">
        <v>2809</v>
      </c>
      <c r="F4835">
        <v>1507</v>
      </c>
      <c r="G4835">
        <v>3560</v>
      </c>
      <c r="H4835">
        <v>15354</v>
      </c>
      <c r="I4835" s="1">
        <v>44958</v>
      </c>
      <c r="J4835">
        <v>5067</v>
      </c>
      <c r="K4835" t="s">
        <v>23</v>
      </c>
    </row>
    <row r="4836" spans="1:11">
      <c r="A4836" s="1">
        <v>44980</v>
      </c>
      <c r="B4836" t="s">
        <v>40</v>
      </c>
      <c r="C4836" t="s">
        <v>42</v>
      </c>
      <c r="D4836">
        <v>1978</v>
      </c>
      <c r="E4836">
        <v>925</v>
      </c>
      <c r="F4836">
        <v>228</v>
      </c>
      <c r="G4836">
        <v>96</v>
      </c>
      <c r="H4836">
        <v>3227</v>
      </c>
      <c r="I4836" s="1">
        <v>44958</v>
      </c>
      <c r="J4836">
        <v>324</v>
      </c>
      <c r="K4836" t="s">
        <v>23</v>
      </c>
    </row>
    <row r="4837" spans="1:11">
      <c r="A4837" s="1">
        <v>44980</v>
      </c>
      <c r="B4837" t="s">
        <v>40</v>
      </c>
      <c r="C4837" t="s">
        <v>28</v>
      </c>
      <c r="D4837">
        <v>2101</v>
      </c>
      <c r="E4837">
        <v>736</v>
      </c>
      <c r="F4837">
        <v>234</v>
      </c>
      <c r="G4837">
        <v>213</v>
      </c>
      <c r="H4837">
        <v>3284</v>
      </c>
      <c r="I4837" s="1">
        <v>44958</v>
      </c>
      <c r="J4837">
        <v>447</v>
      </c>
      <c r="K4837" t="s">
        <v>23</v>
      </c>
    </row>
    <row r="4838" spans="1:11">
      <c r="A4838" s="1">
        <v>44980</v>
      </c>
      <c r="B4838" t="s">
        <v>40</v>
      </c>
      <c r="C4838" t="s">
        <v>68</v>
      </c>
      <c r="D4838">
        <v>20836</v>
      </c>
      <c r="E4838">
        <v>6664</v>
      </c>
      <c r="F4838">
        <v>2876</v>
      </c>
      <c r="G4838">
        <v>7926</v>
      </c>
      <c r="H4838">
        <v>38301</v>
      </c>
      <c r="I4838" s="1">
        <v>44958</v>
      </c>
      <c r="J4838">
        <v>10802</v>
      </c>
      <c r="K4838" t="s">
        <v>23</v>
      </c>
    </row>
    <row r="4839" spans="1:11">
      <c r="A4839" s="1">
        <v>44980</v>
      </c>
      <c r="B4839" t="s">
        <v>40</v>
      </c>
      <c r="C4839" t="s">
        <v>47</v>
      </c>
      <c r="D4839">
        <v>4264</v>
      </c>
      <c r="E4839">
        <v>1946</v>
      </c>
      <c r="F4839">
        <v>733</v>
      </c>
      <c r="G4839">
        <v>1894</v>
      </c>
      <c r="H4839">
        <v>8837</v>
      </c>
      <c r="I4839" s="1">
        <v>44958</v>
      </c>
      <c r="J4839">
        <v>2627</v>
      </c>
      <c r="K4839" t="s">
        <v>23</v>
      </c>
    </row>
    <row r="4840" spans="1:11">
      <c r="A4840" s="1">
        <v>44980</v>
      </c>
      <c r="B4840" t="s">
        <v>40</v>
      </c>
      <c r="C4840" t="s">
        <v>25</v>
      </c>
      <c r="D4840">
        <v>2719</v>
      </c>
      <c r="E4840">
        <v>1185</v>
      </c>
      <c r="F4840">
        <v>603</v>
      </c>
      <c r="G4840">
        <v>1678</v>
      </c>
      <c r="H4840">
        <v>6184</v>
      </c>
      <c r="I4840" s="1">
        <v>44958</v>
      </c>
      <c r="J4840">
        <v>2281</v>
      </c>
      <c r="K4840" t="s">
        <v>23</v>
      </c>
    </row>
    <row r="4841" spans="1:11">
      <c r="A4841" s="1">
        <v>44980</v>
      </c>
      <c r="B4841" t="s">
        <v>40</v>
      </c>
      <c r="C4841" t="s">
        <v>51</v>
      </c>
      <c r="D4841">
        <v>4053</v>
      </c>
      <c r="E4841">
        <v>2493</v>
      </c>
      <c r="F4841">
        <v>1342</v>
      </c>
      <c r="G4841">
        <v>1347</v>
      </c>
      <c r="H4841">
        <v>9235</v>
      </c>
      <c r="I4841" s="1">
        <v>44958</v>
      </c>
      <c r="J4841">
        <v>2689</v>
      </c>
      <c r="K4841" t="s">
        <v>23</v>
      </c>
    </row>
    <row r="4842" spans="1:11">
      <c r="A4842" s="1">
        <v>44980</v>
      </c>
      <c r="B4842" t="s">
        <v>40</v>
      </c>
      <c r="C4842" t="s">
        <v>45</v>
      </c>
      <c r="D4842">
        <v>2142</v>
      </c>
      <c r="E4842">
        <v>1193</v>
      </c>
      <c r="F4842">
        <v>723</v>
      </c>
      <c r="G4842">
        <v>562</v>
      </c>
      <c r="H4842">
        <v>4620</v>
      </c>
      <c r="I4842" s="1">
        <v>44958</v>
      </c>
      <c r="J4842">
        <v>1285</v>
      </c>
      <c r="K4842" t="s">
        <v>23</v>
      </c>
    </row>
    <row r="4843" spans="1:11">
      <c r="A4843" s="1">
        <v>44980</v>
      </c>
      <c r="B4843" t="s">
        <v>40</v>
      </c>
      <c r="C4843" t="s">
        <v>43</v>
      </c>
      <c r="D4843">
        <v>7256</v>
      </c>
      <c r="E4843">
        <v>3663</v>
      </c>
      <c r="F4843">
        <v>1089</v>
      </c>
      <c r="G4843">
        <v>473</v>
      </c>
      <c r="H4843">
        <v>12481</v>
      </c>
      <c r="I4843" s="1">
        <v>44958</v>
      </c>
      <c r="J4843">
        <v>1562</v>
      </c>
      <c r="K4843" t="s">
        <v>23</v>
      </c>
    </row>
    <row r="4844" spans="1:11">
      <c r="A4844" s="1">
        <v>44980</v>
      </c>
      <c r="B4844" t="s">
        <v>40</v>
      </c>
      <c r="C4844" t="s">
        <v>39</v>
      </c>
      <c r="D4844">
        <v>5422</v>
      </c>
      <c r="E4844">
        <v>2108</v>
      </c>
      <c r="F4844">
        <v>912</v>
      </c>
      <c r="G4844">
        <v>576</v>
      </c>
      <c r="H4844">
        <v>9018</v>
      </c>
      <c r="I4844" s="1">
        <v>44958</v>
      </c>
      <c r="J4844">
        <v>1488</v>
      </c>
      <c r="K4844" t="s">
        <v>23</v>
      </c>
    </row>
    <row r="4845" spans="1:11">
      <c r="A4845" s="1">
        <v>44980</v>
      </c>
      <c r="B4845" t="s">
        <v>40</v>
      </c>
      <c r="C4845" t="s">
        <v>54</v>
      </c>
      <c r="D4845">
        <v>2675</v>
      </c>
      <c r="E4845">
        <v>1066</v>
      </c>
      <c r="F4845">
        <v>96</v>
      </c>
      <c r="G4845">
        <v>34</v>
      </c>
      <c r="H4845">
        <v>3871</v>
      </c>
      <c r="I4845" s="1">
        <v>44958</v>
      </c>
      <c r="J4845">
        <v>130</v>
      </c>
      <c r="K4845" t="s">
        <v>23</v>
      </c>
    </row>
    <row r="4846" spans="1:11">
      <c r="A4846" s="1">
        <v>44980</v>
      </c>
      <c r="B4846" t="s">
        <v>40</v>
      </c>
      <c r="C4846" t="s">
        <v>35</v>
      </c>
      <c r="D4846">
        <v>328</v>
      </c>
      <c r="E4846">
        <v>200</v>
      </c>
      <c r="F4846">
        <v>63</v>
      </c>
      <c r="G4846">
        <v>27</v>
      </c>
      <c r="H4846">
        <v>618</v>
      </c>
      <c r="I4846" s="1">
        <v>44958</v>
      </c>
      <c r="J4846">
        <v>90</v>
      </c>
      <c r="K4846" t="s">
        <v>23</v>
      </c>
    </row>
    <row r="4847" spans="1:11">
      <c r="A4847" s="1">
        <v>44980</v>
      </c>
      <c r="B4847" t="s">
        <v>40</v>
      </c>
      <c r="C4847" t="s">
        <v>52</v>
      </c>
      <c r="D4847">
        <v>6828</v>
      </c>
      <c r="E4847">
        <v>3884</v>
      </c>
      <c r="F4847">
        <v>860</v>
      </c>
      <c r="G4847">
        <v>151</v>
      </c>
      <c r="H4847">
        <v>11722</v>
      </c>
      <c r="I4847" s="1">
        <v>44958</v>
      </c>
      <c r="J4847">
        <v>1011</v>
      </c>
      <c r="K4847" t="s">
        <v>23</v>
      </c>
    </row>
    <row r="4848" spans="1:11">
      <c r="A4848" s="1">
        <v>44980</v>
      </c>
      <c r="B4848" t="s">
        <v>40</v>
      </c>
      <c r="C4848" t="s">
        <v>22</v>
      </c>
      <c r="D4848">
        <v>3070</v>
      </c>
      <c r="E4848">
        <v>1239</v>
      </c>
      <c r="F4848">
        <v>544</v>
      </c>
      <c r="G4848">
        <v>1130</v>
      </c>
      <c r="H4848">
        <v>5983</v>
      </c>
      <c r="I4848" s="1">
        <v>44958</v>
      </c>
      <c r="J4848">
        <v>1674</v>
      </c>
      <c r="K4848" t="s">
        <v>23</v>
      </c>
    </row>
    <row r="4849" spans="1:11">
      <c r="A4849" s="1">
        <v>44980</v>
      </c>
      <c r="B4849" t="s">
        <v>40</v>
      </c>
      <c r="C4849" t="s">
        <v>46</v>
      </c>
      <c r="D4849">
        <v>1945</v>
      </c>
      <c r="E4849">
        <v>624</v>
      </c>
      <c r="F4849">
        <v>296</v>
      </c>
      <c r="G4849">
        <v>538</v>
      </c>
      <c r="H4849">
        <v>3403</v>
      </c>
      <c r="I4849" s="1">
        <v>44958</v>
      </c>
      <c r="J4849">
        <v>834</v>
      </c>
      <c r="K4849" t="s">
        <v>23</v>
      </c>
    </row>
    <row r="4850" spans="1:11">
      <c r="A4850" s="1">
        <v>44980</v>
      </c>
      <c r="B4850" t="s">
        <v>40</v>
      </c>
      <c r="C4850" t="s">
        <v>31</v>
      </c>
      <c r="D4850">
        <v>2983</v>
      </c>
      <c r="E4850">
        <v>1400</v>
      </c>
      <c r="F4850">
        <v>656</v>
      </c>
      <c r="G4850">
        <v>1357</v>
      </c>
      <c r="H4850">
        <v>6396</v>
      </c>
      <c r="I4850" s="1">
        <v>44958</v>
      </c>
      <c r="J4850">
        <v>2013</v>
      </c>
      <c r="K4850" t="s">
        <v>23</v>
      </c>
    </row>
    <row r="4851" spans="1:11">
      <c r="A4851" s="1">
        <v>44980</v>
      </c>
      <c r="B4851" t="s">
        <v>40</v>
      </c>
      <c r="C4851" t="s">
        <v>63</v>
      </c>
      <c r="D4851">
        <v>4883</v>
      </c>
      <c r="E4851">
        <v>2865</v>
      </c>
      <c r="F4851">
        <v>1671</v>
      </c>
      <c r="G4851">
        <v>3596</v>
      </c>
      <c r="H4851">
        <v>13015</v>
      </c>
      <c r="I4851" s="1">
        <v>44958</v>
      </c>
      <c r="J4851">
        <v>5267</v>
      </c>
      <c r="K4851" t="s">
        <v>23</v>
      </c>
    </row>
    <row r="4852" spans="1:11">
      <c r="A4852" s="1">
        <v>44980</v>
      </c>
      <c r="B4852" t="s">
        <v>40</v>
      </c>
      <c r="C4852" t="s">
        <v>60</v>
      </c>
      <c r="D4852">
        <v>7519</v>
      </c>
      <c r="E4852">
        <v>3548</v>
      </c>
      <c r="F4852">
        <v>1909</v>
      </c>
      <c r="G4852">
        <v>2529</v>
      </c>
      <c r="H4852">
        <v>15505</v>
      </c>
      <c r="I4852" s="1">
        <v>44958</v>
      </c>
      <c r="J4852">
        <v>4438</v>
      </c>
      <c r="K4852" t="s">
        <v>23</v>
      </c>
    </row>
    <row r="4853" spans="1:11">
      <c r="A4853" s="1">
        <v>44980</v>
      </c>
      <c r="B4853" t="s">
        <v>40</v>
      </c>
      <c r="C4853" t="s">
        <v>61</v>
      </c>
      <c r="D4853">
        <v>9537</v>
      </c>
      <c r="E4853">
        <v>4750</v>
      </c>
      <c r="F4853">
        <v>2714</v>
      </c>
      <c r="G4853">
        <v>5849</v>
      </c>
      <c r="H4853">
        <v>22850</v>
      </c>
      <c r="I4853" s="1">
        <v>44958</v>
      </c>
      <c r="J4853">
        <v>8563</v>
      </c>
      <c r="K4853" t="s">
        <v>23</v>
      </c>
    </row>
    <row r="4854" spans="1:11">
      <c r="A4854" s="1">
        <v>44980</v>
      </c>
      <c r="B4854" t="s">
        <v>40</v>
      </c>
      <c r="C4854" t="s">
        <v>62</v>
      </c>
      <c r="D4854">
        <v>2199</v>
      </c>
      <c r="E4854">
        <v>1937</v>
      </c>
      <c r="F4854">
        <v>1224</v>
      </c>
      <c r="G4854">
        <v>2525</v>
      </c>
      <c r="H4854">
        <v>7884</v>
      </c>
      <c r="I4854" s="1">
        <v>44958</v>
      </c>
      <c r="J4854">
        <v>3749</v>
      </c>
      <c r="K4854" t="s">
        <v>23</v>
      </c>
    </row>
    <row r="4855" spans="1:11">
      <c r="A4855" s="1">
        <v>44980</v>
      </c>
      <c r="B4855" t="s">
        <v>40</v>
      </c>
      <c r="C4855" t="s">
        <v>69</v>
      </c>
      <c r="D4855">
        <v>15055</v>
      </c>
      <c r="E4855">
        <v>4445</v>
      </c>
      <c r="F4855">
        <v>1918</v>
      </c>
      <c r="G4855">
        <v>2036</v>
      </c>
      <c r="H4855">
        <v>23453</v>
      </c>
      <c r="I4855" s="1">
        <v>44958</v>
      </c>
      <c r="J4855">
        <v>3954</v>
      </c>
      <c r="K4855" t="s">
        <v>23</v>
      </c>
    </row>
    <row r="4856" spans="1:11">
      <c r="A4856" s="1">
        <v>44980</v>
      </c>
      <c r="B4856" t="s">
        <v>40</v>
      </c>
      <c r="C4856" t="s">
        <v>24</v>
      </c>
      <c r="D4856">
        <v>559</v>
      </c>
      <c r="E4856">
        <v>305</v>
      </c>
      <c r="F4856">
        <v>244</v>
      </c>
      <c r="G4856">
        <v>285</v>
      </c>
      <c r="H4856">
        <v>1393</v>
      </c>
      <c r="I4856" s="1">
        <v>44958</v>
      </c>
      <c r="J4856">
        <v>529</v>
      </c>
      <c r="K4856" t="s">
        <v>23</v>
      </c>
    </row>
    <row r="4857" spans="1:11">
      <c r="A4857" s="1">
        <v>44980</v>
      </c>
      <c r="B4857" t="s">
        <v>40</v>
      </c>
      <c r="C4857" t="s">
        <v>29</v>
      </c>
      <c r="D4857">
        <v>3089</v>
      </c>
      <c r="E4857">
        <v>1146</v>
      </c>
      <c r="F4857">
        <v>160</v>
      </c>
      <c r="G4857">
        <v>16</v>
      </c>
      <c r="H4857">
        <v>4411</v>
      </c>
      <c r="I4857" s="1">
        <v>44958</v>
      </c>
      <c r="J4857">
        <v>176</v>
      </c>
      <c r="K4857" t="s">
        <v>23</v>
      </c>
    </row>
    <row r="4858" spans="1:11">
      <c r="A4858" s="1">
        <v>44980</v>
      </c>
      <c r="B4858" t="s">
        <v>40</v>
      </c>
      <c r="C4858" t="s">
        <v>70</v>
      </c>
      <c r="D4858">
        <v>2742</v>
      </c>
      <c r="E4858">
        <v>756</v>
      </c>
      <c r="F4858">
        <v>188</v>
      </c>
      <c r="G4858">
        <v>169</v>
      </c>
      <c r="H4858">
        <v>3855</v>
      </c>
      <c r="I4858" s="1">
        <v>44958</v>
      </c>
      <c r="J4858">
        <v>357</v>
      </c>
      <c r="K4858" t="s">
        <v>23</v>
      </c>
    </row>
    <row r="4859" spans="1:11">
      <c r="A4859" s="1">
        <v>44980</v>
      </c>
      <c r="B4859" t="s">
        <v>40</v>
      </c>
      <c r="C4859" t="s">
        <v>71</v>
      </c>
      <c r="D4859">
        <v>16994</v>
      </c>
      <c r="E4859">
        <v>4829</v>
      </c>
      <c r="F4859">
        <v>1255</v>
      </c>
      <c r="G4859">
        <v>1008</v>
      </c>
      <c r="H4859">
        <v>24085</v>
      </c>
      <c r="I4859" s="1">
        <v>44958</v>
      </c>
      <c r="J4859">
        <v>2263</v>
      </c>
      <c r="K4859" t="s">
        <v>23</v>
      </c>
    </row>
    <row r="4860" spans="1:11">
      <c r="A4860" s="1">
        <v>44980</v>
      </c>
      <c r="B4860" t="s">
        <v>40</v>
      </c>
      <c r="C4860" t="s">
        <v>36</v>
      </c>
      <c r="D4860">
        <v>12179</v>
      </c>
      <c r="E4860">
        <v>9688</v>
      </c>
      <c r="F4860">
        <v>5731</v>
      </c>
      <c r="G4860">
        <v>9079</v>
      </c>
      <c r="H4860">
        <v>36677</v>
      </c>
      <c r="I4860" s="1">
        <v>44958</v>
      </c>
      <c r="J4860">
        <v>14810</v>
      </c>
      <c r="K4860" t="s">
        <v>23</v>
      </c>
    </row>
    <row r="4861" spans="1:11">
      <c r="A4861" s="1">
        <v>44980</v>
      </c>
      <c r="B4861" t="s">
        <v>40</v>
      </c>
      <c r="C4861" t="s">
        <v>32</v>
      </c>
      <c r="D4861">
        <v>2082</v>
      </c>
      <c r="E4861">
        <v>777</v>
      </c>
      <c r="F4861">
        <v>312</v>
      </c>
      <c r="G4861">
        <v>199</v>
      </c>
      <c r="H4861">
        <v>3370</v>
      </c>
      <c r="I4861" s="1">
        <v>44958</v>
      </c>
      <c r="J4861">
        <v>511</v>
      </c>
      <c r="K4861" t="s">
        <v>23</v>
      </c>
    </row>
    <row r="4862" spans="1:11">
      <c r="A4862" s="1">
        <v>44980</v>
      </c>
      <c r="B4862" t="s">
        <v>40</v>
      </c>
      <c r="C4862" t="s">
        <v>44</v>
      </c>
      <c r="D4862">
        <v>5234</v>
      </c>
      <c r="E4862">
        <v>1724</v>
      </c>
      <c r="F4862">
        <v>835</v>
      </c>
      <c r="G4862">
        <v>362</v>
      </c>
      <c r="H4862">
        <v>8155</v>
      </c>
      <c r="I4862" s="1">
        <v>44958</v>
      </c>
      <c r="J4862">
        <v>1197</v>
      </c>
      <c r="K4862" t="s">
        <v>23</v>
      </c>
    </row>
    <row r="4863" spans="1:11">
      <c r="A4863" s="1">
        <v>44980</v>
      </c>
      <c r="B4863" t="s">
        <v>40</v>
      </c>
      <c r="C4863" t="s">
        <v>59</v>
      </c>
      <c r="D4863">
        <v>13321</v>
      </c>
      <c r="E4863">
        <v>6194</v>
      </c>
      <c r="F4863">
        <v>3870</v>
      </c>
      <c r="G4863">
        <v>5121</v>
      </c>
      <c r="H4863">
        <v>28506</v>
      </c>
      <c r="I4863" s="1">
        <v>44958</v>
      </c>
      <c r="J4863">
        <v>8991</v>
      </c>
      <c r="K4863" t="s">
        <v>23</v>
      </c>
    </row>
    <row r="4864" spans="1:11">
      <c r="A4864" s="1">
        <v>44980</v>
      </c>
      <c r="B4864" t="s">
        <v>40</v>
      </c>
      <c r="C4864" t="s">
        <v>67</v>
      </c>
      <c r="D4864">
        <v>15122</v>
      </c>
      <c r="E4864">
        <v>7720</v>
      </c>
      <c r="F4864">
        <v>3681</v>
      </c>
      <c r="G4864">
        <v>5159</v>
      </c>
      <c r="H4864">
        <v>31682</v>
      </c>
      <c r="I4864" s="1">
        <v>44958</v>
      </c>
      <c r="J4864">
        <v>8840</v>
      </c>
      <c r="K4864" t="s">
        <v>23</v>
      </c>
    </row>
    <row r="4865" spans="1:11">
      <c r="A4865" s="1">
        <v>45015</v>
      </c>
      <c r="B4865" t="s">
        <v>40</v>
      </c>
      <c r="C4865" t="s">
        <v>50</v>
      </c>
      <c r="D4865">
        <v>642</v>
      </c>
      <c r="E4865">
        <v>173</v>
      </c>
      <c r="F4865">
        <v>57</v>
      </c>
      <c r="G4865">
        <v>6</v>
      </c>
      <c r="H4865">
        <v>877</v>
      </c>
      <c r="I4865" s="1">
        <v>44986</v>
      </c>
      <c r="J4865">
        <v>63</v>
      </c>
      <c r="K4865" t="s">
        <v>23</v>
      </c>
    </row>
    <row r="4866" spans="1:11">
      <c r="A4866" s="1">
        <v>45015</v>
      </c>
      <c r="B4866" t="s">
        <v>40</v>
      </c>
      <c r="C4866" t="s">
        <v>48</v>
      </c>
      <c r="D4866">
        <v>22265</v>
      </c>
      <c r="E4866">
        <v>8392</v>
      </c>
      <c r="F4866">
        <v>804</v>
      </c>
      <c r="G4866">
        <v>6</v>
      </c>
      <c r="H4866">
        <v>31466</v>
      </c>
      <c r="I4866" s="1">
        <v>44986</v>
      </c>
      <c r="J4866">
        <v>810</v>
      </c>
      <c r="K4866" t="s">
        <v>23</v>
      </c>
    </row>
    <row r="4867" spans="1:11">
      <c r="A4867" s="1">
        <v>45015</v>
      </c>
      <c r="B4867" t="s">
        <v>40</v>
      </c>
      <c r="C4867" t="s">
        <v>55</v>
      </c>
      <c r="D4867">
        <v>3998</v>
      </c>
      <c r="E4867">
        <v>555</v>
      </c>
      <c r="F4867">
        <v>43</v>
      </c>
      <c r="G4867">
        <v>4</v>
      </c>
      <c r="H4867">
        <v>4600</v>
      </c>
      <c r="I4867" s="1">
        <v>44986</v>
      </c>
      <c r="J4867">
        <v>47</v>
      </c>
      <c r="K4867" t="s">
        <v>23</v>
      </c>
    </row>
    <row r="4868" spans="1:11">
      <c r="A4868" s="1">
        <v>45015</v>
      </c>
      <c r="B4868" t="s">
        <v>40</v>
      </c>
      <c r="C4868" t="s">
        <v>33</v>
      </c>
      <c r="D4868">
        <v>1866</v>
      </c>
      <c r="E4868">
        <v>661</v>
      </c>
      <c r="F4868">
        <v>275</v>
      </c>
      <c r="G4868">
        <v>272</v>
      </c>
      <c r="H4868">
        <v>3074</v>
      </c>
      <c r="I4868" s="1">
        <v>44986</v>
      </c>
      <c r="J4868">
        <v>547</v>
      </c>
      <c r="K4868" t="s">
        <v>23</v>
      </c>
    </row>
    <row r="4869" spans="1:11">
      <c r="A4869" s="1">
        <v>45015</v>
      </c>
      <c r="B4869" t="s">
        <v>40</v>
      </c>
      <c r="C4869" t="s">
        <v>65</v>
      </c>
      <c r="D4869">
        <v>13250</v>
      </c>
      <c r="E4869">
        <v>6422</v>
      </c>
      <c r="F4869">
        <v>4480</v>
      </c>
      <c r="G4869">
        <v>7757</v>
      </c>
      <c r="H4869">
        <v>31909</v>
      </c>
      <c r="I4869" s="1">
        <v>44986</v>
      </c>
      <c r="J4869">
        <v>12237</v>
      </c>
      <c r="K4869" t="s">
        <v>23</v>
      </c>
    </row>
    <row r="4870" spans="1:11">
      <c r="A4870" s="1">
        <v>45015</v>
      </c>
      <c r="B4870" t="s">
        <v>40</v>
      </c>
      <c r="C4870" t="s">
        <v>30</v>
      </c>
      <c r="D4870">
        <v>1873</v>
      </c>
      <c r="E4870">
        <v>172</v>
      </c>
      <c r="F4870">
        <v>25</v>
      </c>
      <c r="G4870">
        <v>6</v>
      </c>
      <c r="H4870">
        <v>2076</v>
      </c>
      <c r="I4870" s="1">
        <v>44986</v>
      </c>
      <c r="J4870">
        <v>31</v>
      </c>
      <c r="K4870" t="s">
        <v>23</v>
      </c>
    </row>
    <row r="4871" spans="1:11">
      <c r="A4871" s="1">
        <v>45015</v>
      </c>
      <c r="B4871" t="s">
        <v>40</v>
      </c>
      <c r="C4871" t="s">
        <v>27</v>
      </c>
      <c r="D4871">
        <v>2307</v>
      </c>
      <c r="E4871">
        <v>1119</v>
      </c>
      <c r="F4871">
        <v>377</v>
      </c>
      <c r="G4871">
        <v>606</v>
      </c>
      <c r="H4871">
        <v>4409</v>
      </c>
      <c r="I4871" s="1">
        <v>44986</v>
      </c>
      <c r="J4871">
        <v>983</v>
      </c>
      <c r="K4871" t="s">
        <v>23</v>
      </c>
    </row>
    <row r="4872" spans="1:11">
      <c r="A4872" s="1">
        <v>45015</v>
      </c>
      <c r="B4872" t="s">
        <v>40</v>
      </c>
      <c r="C4872" t="s">
        <v>37</v>
      </c>
      <c r="D4872">
        <v>495</v>
      </c>
      <c r="E4872">
        <v>364</v>
      </c>
      <c r="F4872">
        <v>87</v>
      </c>
      <c r="G4872">
        <v>12</v>
      </c>
      <c r="H4872">
        <v>958</v>
      </c>
      <c r="I4872" s="1">
        <v>44986</v>
      </c>
      <c r="J4872">
        <v>99</v>
      </c>
      <c r="K4872" t="s">
        <v>23</v>
      </c>
    </row>
    <row r="4873" spans="1:11">
      <c r="A4873" s="1">
        <v>45015</v>
      </c>
      <c r="B4873" t="s">
        <v>40</v>
      </c>
      <c r="C4873" t="s">
        <v>66</v>
      </c>
      <c r="D4873">
        <v>19670</v>
      </c>
      <c r="E4873">
        <v>9978</v>
      </c>
      <c r="F4873">
        <v>5817</v>
      </c>
      <c r="G4873">
        <v>13265</v>
      </c>
      <c r="H4873">
        <v>48729</v>
      </c>
      <c r="I4873" s="1">
        <v>44986</v>
      </c>
      <c r="J4873">
        <v>19082</v>
      </c>
      <c r="K4873" t="s">
        <v>23</v>
      </c>
    </row>
    <row r="4874" spans="1:11">
      <c r="A4874" s="1">
        <v>45015</v>
      </c>
      <c r="B4874" t="s">
        <v>40</v>
      </c>
      <c r="C4874" t="s">
        <v>57</v>
      </c>
      <c r="D4874">
        <v>7178</v>
      </c>
      <c r="E4874">
        <v>2739</v>
      </c>
      <c r="F4874">
        <v>1466</v>
      </c>
      <c r="G4874">
        <v>3615</v>
      </c>
      <c r="H4874">
        <v>14997</v>
      </c>
      <c r="I4874" s="1">
        <v>44986</v>
      </c>
      <c r="J4874">
        <v>5081</v>
      </c>
      <c r="K4874" t="s">
        <v>23</v>
      </c>
    </row>
    <row r="4875" spans="1:11">
      <c r="A4875" s="1">
        <v>45015</v>
      </c>
      <c r="B4875" t="s">
        <v>40</v>
      </c>
      <c r="C4875" t="s">
        <v>42</v>
      </c>
      <c r="D4875">
        <v>1905</v>
      </c>
      <c r="E4875">
        <v>1008</v>
      </c>
      <c r="F4875">
        <v>249</v>
      </c>
      <c r="G4875">
        <v>25</v>
      </c>
      <c r="H4875">
        <v>3187</v>
      </c>
      <c r="I4875" s="1">
        <v>44986</v>
      </c>
      <c r="J4875">
        <v>274</v>
      </c>
      <c r="K4875" t="s">
        <v>23</v>
      </c>
    </row>
    <row r="4876" spans="1:11">
      <c r="A4876" s="1">
        <v>45015</v>
      </c>
      <c r="B4876" t="s">
        <v>40</v>
      </c>
      <c r="C4876" t="s">
        <v>28</v>
      </c>
      <c r="D4876">
        <v>2108</v>
      </c>
      <c r="E4876">
        <v>822</v>
      </c>
      <c r="F4876">
        <v>222</v>
      </c>
      <c r="G4876">
        <v>197</v>
      </c>
      <c r="H4876">
        <v>3349</v>
      </c>
      <c r="I4876" s="1">
        <v>44986</v>
      </c>
      <c r="J4876">
        <v>419</v>
      </c>
      <c r="K4876" t="s">
        <v>23</v>
      </c>
    </row>
    <row r="4877" spans="1:11">
      <c r="A4877" s="1">
        <v>45015</v>
      </c>
      <c r="B4877" t="s">
        <v>40</v>
      </c>
      <c r="C4877" t="s">
        <v>68</v>
      </c>
      <c r="D4877">
        <v>20839</v>
      </c>
      <c r="E4877">
        <v>6970</v>
      </c>
      <c r="F4877">
        <v>2809</v>
      </c>
      <c r="G4877">
        <v>7957</v>
      </c>
      <c r="H4877">
        <v>38575</v>
      </c>
      <c r="I4877" s="1">
        <v>44986</v>
      </c>
      <c r="J4877">
        <v>10766</v>
      </c>
      <c r="K4877" t="s">
        <v>23</v>
      </c>
    </row>
    <row r="4878" spans="1:11">
      <c r="A4878" s="1">
        <v>45015</v>
      </c>
      <c r="B4878" t="s">
        <v>40</v>
      </c>
      <c r="C4878" t="s">
        <v>47</v>
      </c>
      <c r="D4878">
        <v>4227</v>
      </c>
      <c r="E4878">
        <v>1800</v>
      </c>
      <c r="F4878">
        <v>755</v>
      </c>
      <c r="G4878">
        <v>1733</v>
      </c>
      <c r="H4878">
        <v>8515</v>
      </c>
      <c r="I4878" s="1">
        <v>44986</v>
      </c>
      <c r="J4878">
        <v>2488</v>
      </c>
      <c r="K4878" t="s">
        <v>23</v>
      </c>
    </row>
    <row r="4879" spans="1:11">
      <c r="A4879" s="1">
        <v>45015</v>
      </c>
      <c r="B4879" t="s">
        <v>40</v>
      </c>
      <c r="C4879" t="s">
        <v>25</v>
      </c>
      <c r="D4879">
        <v>2750</v>
      </c>
      <c r="E4879">
        <v>1188</v>
      </c>
      <c r="F4879">
        <v>608</v>
      </c>
      <c r="G4879">
        <v>1714</v>
      </c>
      <c r="H4879">
        <v>6259</v>
      </c>
      <c r="I4879" s="1">
        <v>44986</v>
      </c>
      <c r="J4879">
        <v>2322</v>
      </c>
      <c r="K4879" t="s">
        <v>23</v>
      </c>
    </row>
    <row r="4880" spans="1:11">
      <c r="A4880" s="1">
        <v>45015</v>
      </c>
      <c r="B4880" t="s">
        <v>40</v>
      </c>
      <c r="C4880" t="s">
        <v>51</v>
      </c>
      <c r="D4880">
        <v>3894</v>
      </c>
      <c r="E4880">
        <v>2624</v>
      </c>
      <c r="F4880">
        <v>1357</v>
      </c>
      <c r="G4880">
        <v>1421</v>
      </c>
      <c r="H4880">
        <v>9296</v>
      </c>
      <c r="I4880" s="1">
        <v>44986</v>
      </c>
      <c r="J4880">
        <v>2778</v>
      </c>
      <c r="K4880" t="s">
        <v>23</v>
      </c>
    </row>
    <row r="4881" spans="1:11">
      <c r="A4881" s="1">
        <v>45015</v>
      </c>
      <c r="B4881" t="s">
        <v>40</v>
      </c>
      <c r="C4881" t="s">
        <v>45</v>
      </c>
      <c r="D4881">
        <v>2147</v>
      </c>
      <c r="E4881">
        <v>1136</v>
      </c>
      <c r="F4881">
        <v>637</v>
      </c>
      <c r="G4881">
        <v>522</v>
      </c>
      <c r="H4881">
        <v>4441</v>
      </c>
      <c r="I4881" s="1">
        <v>44986</v>
      </c>
      <c r="J4881">
        <v>1159</v>
      </c>
      <c r="K4881" t="s">
        <v>23</v>
      </c>
    </row>
    <row r="4882" spans="1:11">
      <c r="A4882" s="1">
        <v>45015</v>
      </c>
      <c r="B4882" t="s">
        <v>40</v>
      </c>
      <c r="C4882" t="s">
        <v>43</v>
      </c>
      <c r="D4882">
        <v>7404</v>
      </c>
      <c r="E4882">
        <v>3657</v>
      </c>
      <c r="F4882">
        <v>963</v>
      </c>
      <c r="G4882">
        <v>772</v>
      </c>
      <c r="H4882">
        <v>12796</v>
      </c>
      <c r="I4882" s="1">
        <v>44986</v>
      </c>
      <c r="J4882">
        <v>1735</v>
      </c>
      <c r="K4882" t="s">
        <v>23</v>
      </c>
    </row>
    <row r="4883" spans="1:11">
      <c r="A4883" s="1">
        <v>45015</v>
      </c>
      <c r="B4883" t="s">
        <v>40</v>
      </c>
      <c r="C4883" t="s">
        <v>39</v>
      </c>
      <c r="D4883">
        <v>5300</v>
      </c>
      <c r="E4883">
        <v>2131</v>
      </c>
      <c r="F4883">
        <v>896</v>
      </c>
      <c r="G4883">
        <v>656</v>
      </c>
      <c r="H4883">
        <v>8983</v>
      </c>
      <c r="I4883" s="1">
        <v>44986</v>
      </c>
      <c r="J4883">
        <v>1552</v>
      </c>
      <c r="K4883" t="s">
        <v>23</v>
      </c>
    </row>
    <row r="4884" spans="1:11">
      <c r="A4884" s="1">
        <v>45015</v>
      </c>
      <c r="B4884" t="s">
        <v>40</v>
      </c>
      <c r="C4884" t="s">
        <v>54</v>
      </c>
      <c r="D4884">
        <v>2598</v>
      </c>
      <c r="E4884">
        <v>1111</v>
      </c>
      <c r="F4884">
        <v>102</v>
      </c>
      <c r="G4884">
        <v>36</v>
      </c>
      <c r="H4884">
        <v>3847</v>
      </c>
      <c r="I4884" s="1">
        <v>44986</v>
      </c>
      <c r="J4884">
        <v>138</v>
      </c>
      <c r="K4884" t="s">
        <v>23</v>
      </c>
    </row>
    <row r="4885" spans="1:11">
      <c r="A4885" s="1">
        <v>45015</v>
      </c>
      <c r="B4885" t="s">
        <v>40</v>
      </c>
      <c r="C4885" t="s">
        <v>35</v>
      </c>
      <c r="D4885">
        <v>324</v>
      </c>
      <c r="E4885">
        <v>213</v>
      </c>
      <c r="F4885">
        <v>59</v>
      </c>
      <c r="G4885">
        <v>31</v>
      </c>
      <c r="H4885">
        <v>627</v>
      </c>
      <c r="I4885" s="1">
        <v>44986</v>
      </c>
      <c r="J4885">
        <v>90</v>
      </c>
      <c r="K4885" t="s">
        <v>23</v>
      </c>
    </row>
    <row r="4886" spans="1:11">
      <c r="A4886" s="1">
        <v>45015</v>
      </c>
      <c r="B4886" t="s">
        <v>40</v>
      </c>
      <c r="C4886" t="s">
        <v>52</v>
      </c>
      <c r="D4886">
        <v>6874</v>
      </c>
      <c r="E4886">
        <v>4097</v>
      </c>
      <c r="F4886">
        <v>880</v>
      </c>
      <c r="G4886">
        <v>98</v>
      </c>
      <c r="H4886">
        <v>11947</v>
      </c>
      <c r="I4886" s="1">
        <v>44986</v>
      </c>
      <c r="J4886">
        <v>978</v>
      </c>
      <c r="K4886" t="s">
        <v>23</v>
      </c>
    </row>
    <row r="4887" spans="1:11">
      <c r="A4887" s="1">
        <v>45015</v>
      </c>
      <c r="B4887" t="s">
        <v>40</v>
      </c>
      <c r="C4887" t="s">
        <v>22</v>
      </c>
      <c r="D4887">
        <v>3120</v>
      </c>
      <c r="E4887">
        <v>1186</v>
      </c>
      <c r="F4887">
        <v>527</v>
      </c>
      <c r="G4887">
        <v>972</v>
      </c>
      <c r="H4887">
        <v>5805</v>
      </c>
      <c r="I4887" s="1">
        <v>44986</v>
      </c>
      <c r="J4887">
        <v>1499</v>
      </c>
      <c r="K4887" t="s">
        <v>23</v>
      </c>
    </row>
    <row r="4888" spans="1:11">
      <c r="A4888" s="1">
        <v>45015</v>
      </c>
      <c r="B4888" t="s">
        <v>40</v>
      </c>
      <c r="C4888" t="s">
        <v>46</v>
      </c>
      <c r="D4888">
        <v>1959</v>
      </c>
      <c r="E4888">
        <v>586</v>
      </c>
      <c r="F4888">
        <v>261</v>
      </c>
      <c r="G4888">
        <v>513</v>
      </c>
      <c r="H4888">
        <v>3318</v>
      </c>
      <c r="I4888" s="1">
        <v>44986</v>
      </c>
      <c r="J4888">
        <v>774</v>
      </c>
      <c r="K4888" t="s">
        <v>23</v>
      </c>
    </row>
    <row r="4889" spans="1:11">
      <c r="A4889" s="1">
        <v>45015</v>
      </c>
      <c r="B4889" t="s">
        <v>40</v>
      </c>
      <c r="C4889" t="s">
        <v>31</v>
      </c>
      <c r="D4889">
        <v>2910</v>
      </c>
      <c r="E4889">
        <v>1406</v>
      </c>
      <c r="F4889">
        <v>655</v>
      </c>
      <c r="G4889">
        <v>1040</v>
      </c>
      <c r="H4889">
        <v>6011</v>
      </c>
      <c r="I4889" s="1">
        <v>44986</v>
      </c>
      <c r="J4889">
        <v>1695</v>
      </c>
      <c r="K4889" t="s">
        <v>23</v>
      </c>
    </row>
    <row r="4890" spans="1:11">
      <c r="A4890" s="1">
        <v>45015</v>
      </c>
      <c r="B4890" t="s">
        <v>40</v>
      </c>
      <c r="C4890" t="s">
        <v>63</v>
      </c>
      <c r="D4890">
        <v>5051</v>
      </c>
      <c r="E4890">
        <v>2918</v>
      </c>
      <c r="F4890">
        <v>1588</v>
      </c>
      <c r="G4890">
        <v>3354</v>
      </c>
      <c r="H4890">
        <v>12911</v>
      </c>
      <c r="I4890" s="1">
        <v>44986</v>
      </c>
      <c r="J4890">
        <v>4942</v>
      </c>
      <c r="K4890" t="s">
        <v>23</v>
      </c>
    </row>
    <row r="4891" spans="1:11">
      <c r="A4891" s="1">
        <v>45015</v>
      </c>
      <c r="B4891" t="s">
        <v>40</v>
      </c>
      <c r="C4891" t="s">
        <v>60</v>
      </c>
      <c r="D4891">
        <v>7775</v>
      </c>
      <c r="E4891">
        <v>3806</v>
      </c>
      <c r="F4891">
        <v>1686</v>
      </c>
      <c r="G4891">
        <v>2475</v>
      </c>
      <c r="H4891">
        <v>15741</v>
      </c>
      <c r="I4891" s="1">
        <v>44986</v>
      </c>
      <c r="J4891">
        <v>4161</v>
      </c>
      <c r="K4891" t="s">
        <v>23</v>
      </c>
    </row>
    <row r="4892" spans="1:11">
      <c r="A4892" s="1">
        <v>45015</v>
      </c>
      <c r="B4892" t="s">
        <v>40</v>
      </c>
      <c r="C4892" t="s">
        <v>61</v>
      </c>
      <c r="D4892">
        <v>9557</v>
      </c>
      <c r="E4892">
        <v>4931</v>
      </c>
      <c r="F4892">
        <v>2762</v>
      </c>
      <c r="G4892">
        <v>5893</v>
      </c>
      <c r="H4892">
        <v>23142</v>
      </c>
      <c r="I4892" s="1">
        <v>44986</v>
      </c>
      <c r="J4892">
        <v>8655</v>
      </c>
      <c r="K4892" t="s">
        <v>23</v>
      </c>
    </row>
    <row r="4893" spans="1:11">
      <c r="A4893" s="1">
        <v>45015</v>
      </c>
      <c r="B4893" t="s">
        <v>40</v>
      </c>
      <c r="C4893" t="s">
        <v>62</v>
      </c>
      <c r="D4893">
        <v>1928</v>
      </c>
      <c r="E4893">
        <v>1975</v>
      </c>
      <c r="F4893">
        <v>1215</v>
      </c>
      <c r="G4893">
        <v>2741</v>
      </c>
      <c r="H4893">
        <v>7858</v>
      </c>
      <c r="I4893" s="1">
        <v>44986</v>
      </c>
      <c r="J4893">
        <v>3956</v>
      </c>
      <c r="K4893" t="s">
        <v>23</v>
      </c>
    </row>
    <row r="4894" spans="1:11">
      <c r="A4894" s="1">
        <v>45015</v>
      </c>
      <c r="B4894" t="s">
        <v>40</v>
      </c>
      <c r="C4894" t="s">
        <v>69</v>
      </c>
      <c r="D4894">
        <v>14750</v>
      </c>
      <c r="E4894">
        <v>4517</v>
      </c>
      <c r="F4894">
        <v>1821</v>
      </c>
      <c r="G4894">
        <v>2221</v>
      </c>
      <c r="H4894">
        <v>23308</v>
      </c>
      <c r="I4894" s="1">
        <v>44986</v>
      </c>
      <c r="J4894">
        <v>4042</v>
      </c>
      <c r="K4894" t="s">
        <v>23</v>
      </c>
    </row>
    <row r="4895" spans="1:11">
      <c r="A4895" s="1">
        <v>45015</v>
      </c>
      <c r="B4895" t="s">
        <v>40</v>
      </c>
      <c r="C4895" t="s">
        <v>24</v>
      </c>
      <c r="D4895">
        <v>555</v>
      </c>
      <c r="E4895">
        <v>321</v>
      </c>
      <c r="F4895">
        <v>256</v>
      </c>
      <c r="G4895">
        <v>239</v>
      </c>
      <c r="H4895">
        <v>1371</v>
      </c>
      <c r="I4895" s="1">
        <v>44986</v>
      </c>
      <c r="J4895">
        <v>495</v>
      </c>
      <c r="K4895" t="s">
        <v>23</v>
      </c>
    </row>
    <row r="4896" spans="1:11">
      <c r="A4896" s="1">
        <v>45015</v>
      </c>
      <c r="B4896" t="s">
        <v>40</v>
      </c>
      <c r="C4896" t="s">
        <v>29</v>
      </c>
      <c r="D4896">
        <v>3123</v>
      </c>
      <c r="E4896">
        <v>1169</v>
      </c>
      <c r="F4896">
        <v>212</v>
      </c>
      <c r="G4896">
        <v>6</v>
      </c>
      <c r="H4896">
        <v>4510</v>
      </c>
      <c r="I4896" s="1">
        <v>44986</v>
      </c>
      <c r="J4896">
        <v>218</v>
      </c>
      <c r="K4896" t="s">
        <v>23</v>
      </c>
    </row>
    <row r="4897" spans="1:11">
      <c r="A4897" s="1">
        <v>45015</v>
      </c>
      <c r="B4897" t="s">
        <v>40</v>
      </c>
      <c r="C4897" t="s">
        <v>70</v>
      </c>
      <c r="D4897">
        <v>2693</v>
      </c>
      <c r="E4897">
        <v>869</v>
      </c>
      <c r="F4897">
        <v>194</v>
      </c>
      <c r="G4897">
        <v>175</v>
      </c>
      <c r="H4897">
        <v>3931</v>
      </c>
      <c r="I4897" s="1">
        <v>44986</v>
      </c>
      <c r="J4897">
        <v>369</v>
      </c>
      <c r="K4897" t="s">
        <v>23</v>
      </c>
    </row>
    <row r="4898" spans="1:11">
      <c r="A4898" s="1">
        <v>45015</v>
      </c>
      <c r="B4898" t="s">
        <v>40</v>
      </c>
      <c r="C4898" t="s">
        <v>71</v>
      </c>
      <c r="D4898">
        <v>16775</v>
      </c>
      <c r="E4898">
        <v>4821</v>
      </c>
      <c r="F4898">
        <v>1272</v>
      </c>
      <c r="G4898">
        <v>842</v>
      </c>
      <c r="H4898">
        <v>23709</v>
      </c>
      <c r="I4898" s="1">
        <v>44986</v>
      </c>
      <c r="J4898">
        <v>2114</v>
      </c>
      <c r="K4898" t="s">
        <v>23</v>
      </c>
    </row>
    <row r="4899" spans="1:11">
      <c r="A4899" s="1">
        <v>45015</v>
      </c>
      <c r="B4899" t="s">
        <v>40</v>
      </c>
      <c r="C4899" t="s">
        <v>36</v>
      </c>
      <c r="D4899">
        <v>11757</v>
      </c>
      <c r="E4899">
        <v>9570</v>
      </c>
      <c r="F4899">
        <v>5617</v>
      </c>
      <c r="G4899">
        <v>8634</v>
      </c>
      <c r="H4899">
        <v>35577</v>
      </c>
      <c r="I4899" s="1">
        <v>44986</v>
      </c>
      <c r="J4899">
        <v>14251</v>
      </c>
      <c r="K4899" t="s">
        <v>23</v>
      </c>
    </row>
    <row r="4900" spans="1:11">
      <c r="A4900" s="1">
        <v>45015</v>
      </c>
      <c r="B4900" t="s">
        <v>40</v>
      </c>
      <c r="C4900" t="s">
        <v>32</v>
      </c>
      <c r="D4900">
        <v>2168</v>
      </c>
      <c r="E4900">
        <v>804</v>
      </c>
      <c r="F4900">
        <v>307</v>
      </c>
      <c r="G4900">
        <v>173</v>
      </c>
      <c r="H4900">
        <v>3451</v>
      </c>
      <c r="I4900" s="1">
        <v>44986</v>
      </c>
      <c r="J4900">
        <v>480</v>
      </c>
      <c r="K4900" t="s">
        <v>23</v>
      </c>
    </row>
    <row r="4901" spans="1:11">
      <c r="A4901" s="1">
        <v>45015</v>
      </c>
      <c r="B4901" t="s">
        <v>40</v>
      </c>
      <c r="C4901" t="s">
        <v>44</v>
      </c>
      <c r="D4901">
        <v>5414</v>
      </c>
      <c r="E4901">
        <v>1983</v>
      </c>
      <c r="F4901">
        <v>773</v>
      </c>
      <c r="G4901">
        <v>421</v>
      </c>
      <c r="H4901">
        <v>8590</v>
      </c>
      <c r="I4901" s="1">
        <v>44986</v>
      </c>
      <c r="J4901">
        <v>1194</v>
      </c>
      <c r="K4901" t="s">
        <v>23</v>
      </c>
    </row>
    <row r="4902" spans="1:11">
      <c r="A4902" s="1">
        <v>45015</v>
      </c>
      <c r="B4902" t="s">
        <v>40</v>
      </c>
      <c r="C4902" t="s">
        <v>59</v>
      </c>
      <c r="D4902">
        <v>13121</v>
      </c>
      <c r="E4902">
        <v>6202</v>
      </c>
      <c r="F4902">
        <v>3662</v>
      </c>
      <c r="G4902">
        <v>3576</v>
      </c>
      <c r="H4902">
        <v>26560</v>
      </c>
      <c r="I4902" s="1">
        <v>44986</v>
      </c>
      <c r="J4902">
        <v>7238</v>
      </c>
      <c r="K4902" t="s">
        <v>23</v>
      </c>
    </row>
    <row r="4903" spans="1:11">
      <c r="A4903" s="1">
        <v>45015</v>
      </c>
      <c r="B4903" t="s">
        <v>40</v>
      </c>
      <c r="C4903" t="s">
        <v>67</v>
      </c>
      <c r="D4903">
        <v>15446</v>
      </c>
      <c r="E4903">
        <v>7538</v>
      </c>
      <c r="F4903">
        <v>3457</v>
      </c>
      <c r="G4903">
        <v>4748</v>
      </c>
      <c r="H4903">
        <v>31188</v>
      </c>
      <c r="I4903" s="1">
        <v>44986</v>
      </c>
      <c r="J4903">
        <v>8205</v>
      </c>
      <c r="K4903" t="s">
        <v>23</v>
      </c>
    </row>
    <row r="4904" spans="1:11">
      <c r="A4904" s="1">
        <v>45015</v>
      </c>
      <c r="B4904" t="s">
        <v>40</v>
      </c>
      <c r="C4904" t="s">
        <v>49</v>
      </c>
      <c r="D4904">
        <v>2629</v>
      </c>
      <c r="E4904">
        <v>776</v>
      </c>
      <c r="F4904">
        <v>138</v>
      </c>
      <c r="G4904">
        <v>4</v>
      </c>
      <c r="H4904">
        <v>3547</v>
      </c>
      <c r="I4904" s="1">
        <v>44986</v>
      </c>
      <c r="J4904">
        <v>142</v>
      </c>
      <c r="K4904" t="s">
        <v>23</v>
      </c>
    </row>
    <row r="4905" spans="1:11">
      <c r="A4905" s="1">
        <v>45043</v>
      </c>
      <c r="B4905" t="s">
        <v>40</v>
      </c>
      <c r="C4905" t="s">
        <v>48</v>
      </c>
      <c r="D4905">
        <v>22364</v>
      </c>
      <c r="E4905">
        <v>9075</v>
      </c>
      <c r="F4905">
        <v>985</v>
      </c>
      <c r="G4905">
        <v>6</v>
      </c>
      <c r="H4905">
        <v>32431</v>
      </c>
      <c r="I4905" s="1">
        <v>45017</v>
      </c>
      <c r="J4905">
        <v>991</v>
      </c>
      <c r="K4905" t="s">
        <v>23</v>
      </c>
    </row>
    <row r="4906" spans="1:11">
      <c r="A4906" s="1">
        <v>45043</v>
      </c>
      <c r="B4906" t="s">
        <v>40</v>
      </c>
      <c r="C4906" t="s">
        <v>33</v>
      </c>
      <c r="D4906">
        <v>1581</v>
      </c>
      <c r="E4906">
        <v>594</v>
      </c>
      <c r="F4906">
        <v>252</v>
      </c>
      <c r="G4906">
        <v>228</v>
      </c>
      <c r="H4906">
        <v>2655</v>
      </c>
      <c r="I4906" s="1">
        <v>45017</v>
      </c>
      <c r="J4906">
        <v>480</v>
      </c>
      <c r="K4906" t="s">
        <v>23</v>
      </c>
    </row>
    <row r="4907" spans="1:11">
      <c r="A4907" s="1">
        <v>45043</v>
      </c>
      <c r="B4907" t="s">
        <v>40</v>
      </c>
      <c r="C4907" t="s">
        <v>65</v>
      </c>
      <c r="D4907">
        <v>12997</v>
      </c>
      <c r="E4907">
        <v>6672</v>
      </c>
      <c r="F4907">
        <v>4343</v>
      </c>
      <c r="G4907">
        <v>7829</v>
      </c>
      <c r="H4907">
        <v>31841</v>
      </c>
      <c r="I4907" s="1">
        <v>45017</v>
      </c>
      <c r="J4907">
        <v>12172</v>
      </c>
      <c r="K4907" t="s">
        <v>23</v>
      </c>
    </row>
    <row r="4908" spans="1:11">
      <c r="A4908" s="1">
        <v>45043</v>
      </c>
      <c r="B4908" t="s">
        <v>40</v>
      </c>
      <c r="C4908" t="s">
        <v>27</v>
      </c>
      <c r="D4908">
        <v>2403</v>
      </c>
      <c r="E4908">
        <v>1125</v>
      </c>
      <c r="F4908">
        <v>379</v>
      </c>
      <c r="G4908">
        <v>609</v>
      </c>
      <c r="H4908">
        <v>4516</v>
      </c>
      <c r="I4908" s="1">
        <v>45017</v>
      </c>
      <c r="J4908">
        <v>988</v>
      </c>
      <c r="K4908" t="s">
        <v>23</v>
      </c>
    </row>
    <row r="4909" spans="1:11">
      <c r="A4909" s="1">
        <v>45043</v>
      </c>
      <c r="B4909" t="s">
        <v>40</v>
      </c>
      <c r="C4909" t="s">
        <v>37</v>
      </c>
      <c r="D4909">
        <v>526</v>
      </c>
      <c r="E4909">
        <v>398</v>
      </c>
      <c r="F4909">
        <v>81</v>
      </c>
      <c r="G4909">
        <v>16</v>
      </c>
      <c r="H4909">
        <v>1022</v>
      </c>
      <c r="I4909" s="1">
        <v>45017</v>
      </c>
      <c r="J4909">
        <v>97</v>
      </c>
      <c r="K4909" t="s">
        <v>23</v>
      </c>
    </row>
    <row r="4910" spans="1:11">
      <c r="A4910" s="1">
        <v>45043</v>
      </c>
      <c r="B4910" t="s">
        <v>40</v>
      </c>
      <c r="C4910" t="s">
        <v>66</v>
      </c>
      <c r="D4910">
        <v>19607</v>
      </c>
      <c r="E4910">
        <v>9739</v>
      </c>
      <c r="F4910">
        <v>5655</v>
      </c>
      <c r="G4910">
        <v>12836</v>
      </c>
      <c r="H4910">
        <v>47837</v>
      </c>
      <c r="I4910" s="1">
        <v>45017</v>
      </c>
      <c r="J4910">
        <v>18491</v>
      </c>
      <c r="K4910" t="s">
        <v>23</v>
      </c>
    </row>
    <row r="4911" spans="1:11">
      <c r="A4911" s="1">
        <v>45043</v>
      </c>
      <c r="B4911" t="s">
        <v>40</v>
      </c>
      <c r="C4911" t="s">
        <v>57</v>
      </c>
      <c r="D4911">
        <v>7403</v>
      </c>
      <c r="E4911">
        <v>2925</v>
      </c>
      <c r="F4911">
        <v>1440</v>
      </c>
      <c r="G4911">
        <v>3661</v>
      </c>
      <c r="H4911">
        <v>15430</v>
      </c>
      <c r="I4911" s="1">
        <v>45017</v>
      </c>
      <c r="J4911">
        <v>5101</v>
      </c>
      <c r="K4911" t="s">
        <v>23</v>
      </c>
    </row>
    <row r="4912" spans="1:11">
      <c r="A4912" s="1">
        <v>45043</v>
      </c>
      <c r="B4912" t="s">
        <v>40</v>
      </c>
      <c r="C4912" t="s">
        <v>42</v>
      </c>
      <c r="D4912">
        <v>1881</v>
      </c>
      <c r="E4912">
        <v>1047</v>
      </c>
      <c r="F4912">
        <v>245</v>
      </c>
      <c r="G4912">
        <v>7</v>
      </c>
      <c r="H4912">
        <v>3181</v>
      </c>
      <c r="I4912" s="1">
        <v>45017</v>
      </c>
      <c r="J4912">
        <v>252</v>
      </c>
      <c r="K4912" t="s">
        <v>23</v>
      </c>
    </row>
    <row r="4913" spans="1:11">
      <c r="A4913" s="1">
        <v>45043</v>
      </c>
      <c r="B4913" t="s">
        <v>40</v>
      </c>
      <c r="C4913" t="s">
        <v>28</v>
      </c>
      <c r="D4913">
        <v>2223</v>
      </c>
      <c r="E4913">
        <v>839</v>
      </c>
      <c r="F4913">
        <v>238</v>
      </c>
      <c r="G4913">
        <v>164</v>
      </c>
      <c r="H4913">
        <v>3465</v>
      </c>
      <c r="I4913" s="1">
        <v>45017</v>
      </c>
      <c r="J4913">
        <v>402</v>
      </c>
      <c r="K4913" t="s">
        <v>23</v>
      </c>
    </row>
    <row r="4914" spans="1:11">
      <c r="A4914" s="1">
        <v>45043</v>
      </c>
      <c r="B4914" t="s">
        <v>40</v>
      </c>
      <c r="C4914" t="s">
        <v>68</v>
      </c>
      <c r="D4914">
        <v>21310</v>
      </c>
      <c r="E4914">
        <v>7056</v>
      </c>
      <c r="F4914">
        <v>2802</v>
      </c>
      <c r="G4914">
        <v>7832</v>
      </c>
      <c r="H4914">
        <v>39001</v>
      </c>
      <c r="I4914" s="1">
        <v>45017</v>
      </c>
      <c r="J4914">
        <v>10634</v>
      </c>
      <c r="K4914" t="s">
        <v>23</v>
      </c>
    </row>
    <row r="4915" spans="1:11">
      <c r="A4915" s="1">
        <v>45043</v>
      </c>
      <c r="B4915" t="s">
        <v>40</v>
      </c>
      <c r="C4915" t="s">
        <v>47</v>
      </c>
      <c r="D4915">
        <v>4339</v>
      </c>
      <c r="E4915">
        <v>1799</v>
      </c>
      <c r="F4915">
        <v>728</v>
      </c>
      <c r="G4915">
        <v>1636</v>
      </c>
      <c r="H4915">
        <v>8503</v>
      </c>
      <c r="I4915" s="1">
        <v>45017</v>
      </c>
      <c r="J4915">
        <v>2364</v>
      </c>
      <c r="K4915" t="s">
        <v>23</v>
      </c>
    </row>
    <row r="4916" spans="1:11">
      <c r="A4916" s="1">
        <v>45043</v>
      </c>
      <c r="B4916" t="s">
        <v>40</v>
      </c>
      <c r="C4916" t="s">
        <v>25</v>
      </c>
      <c r="D4916">
        <v>2872</v>
      </c>
      <c r="E4916">
        <v>1245</v>
      </c>
      <c r="F4916">
        <v>578</v>
      </c>
      <c r="G4916">
        <v>1570</v>
      </c>
      <c r="H4916">
        <v>6265</v>
      </c>
      <c r="I4916" s="1">
        <v>45017</v>
      </c>
      <c r="J4916">
        <v>2148</v>
      </c>
      <c r="K4916" t="s">
        <v>23</v>
      </c>
    </row>
    <row r="4917" spans="1:11">
      <c r="A4917" s="1">
        <v>45043</v>
      </c>
      <c r="B4917" t="s">
        <v>40</v>
      </c>
      <c r="C4917" t="s">
        <v>51</v>
      </c>
      <c r="D4917">
        <v>4152</v>
      </c>
      <c r="E4917">
        <v>2676</v>
      </c>
      <c r="F4917">
        <v>1365</v>
      </c>
      <c r="G4917">
        <v>1494</v>
      </c>
      <c r="H4917">
        <v>9688</v>
      </c>
      <c r="I4917" s="1">
        <v>45017</v>
      </c>
      <c r="J4917">
        <v>2859</v>
      </c>
      <c r="K4917" t="s">
        <v>23</v>
      </c>
    </row>
    <row r="4918" spans="1:11">
      <c r="A4918" s="1">
        <v>45043</v>
      </c>
      <c r="B4918" t="s">
        <v>40</v>
      </c>
      <c r="C4918" t="s">
        <v>45</v>
      </c>
      <c r="D4918">
        <v>2082</v>
      </c>
      <c r="E4918">
        <v>1160</v>
      </c>
      <c r="F4918">
        <v>670</v>
      </c>
      <c r="G4918">
        <v>505</v>
      </c>
      <c r="H4918">
        <v>4417</v>
      </c>
      <c r="I4918" s="1">
        <v>45017</v>
      </c>
      <c r="J4918">
        <v>1175</v>
      </c>
      <c r="K4918" t="s">
        <v>23</v>
      </c>
    </row>
    <row r="4919" spans="1:11">
      <c r="A4919" s="1">
        <v>45043</v>
      </c>
      <c r="B4919" t="s">
        <v>40</v>
      </c>
      <c r="C4919" t="s">
        <v>43</v>
      </c>
      <c r="D4919">
        <v>7344</v>
      </c>
      <c r="E4919">
        <v>3545</v>
      </c>
      <c r="F4919">
        <v>802</v>
      </c>
      <c r="G4919">
        <v>653</v>
      </c>
      <c r="H4919">
        <v>12345</v>
      </c>
      <c r="I4919" s="1">
        <v>45017</v>
      </c>
      <c r="J4919">
        <v>1455</v>
      </c>
      <c r="K4919" t="s">
        <v>23</v>
      </c>
    </row>
    <row r="4920" spans="1:11">
      <c r="A4920" s="1">
        <v>45043</v>
      </c>
      <c r="B4920" t="s">
        <v>40</v>
      </c>
      <c r="C4920" t="s">
        <v>39</v>
      </c>
      <c r="D4920">
        <v>5345</v>
      </c>
      <c r="E4920">
        <v>2152</v>
      </c>
      <c r="F4920">
        <v>909</v>
      </c>
      <c r="G4920">
        <v>651</v>
      </c>
      <c r="H4920">
        <v>9058</v>
      </c>
      <c r="I4920" s="1">
        <v>45017</v>
      </c>
      <c r="J4920">
        <v>1560</v>
      </c>
      <c r="K4920" t="s">
        <v>23</v>
      </c>
    </row>
    <row r="4921" spans="1:11">
      <c r="A4921" s="1">
        <v>45043</v>
      </c>
      <c r="B4921" t="s">
        <v>40</v>
      </c>
      <c r="C4921" t="s">
        <v>54</v>
      </c>
      <c r="D4921">
        <v>2246</v>
      </c>
      <c r="E4921">
        <v>1453</v>
      </c>
      <c r="F4921">
        <v>158</v>
      </c>
      <c r="G4921">
        <v>57</v>
      </c>
      <c r="H4921">
        <v>3914</v>
      </c>
      <c r="I4921" s="1">
        <v>45017</v>
      </c>
      <c r="J4921">
        <v>215</v>
      </c>
      <c r="K4921" t="s">
        <v>23</v>
      </c>
    </row>
    <row r="4922" spans="1:11">
      <c r="A4922" s="1">
        <v>45043</v>
      </c>
      <c r="B4922" t="s">
        <v>40</v>
      </c>
      <c r="C4922" t="s">
        <v>35</v>
      </c>
      <c r="D4922">
        <v>317</v>
      </c>
      <c r="E4922">
        <v>238</v>
      </c>
      <c r="F4922">
        <v>47</v>
      </c>
      <c r="G4922">
        <v>28</v>
      </c>
      <c r="H4922">
        <v>630</v>
      </c>
      <c r="I4922" s="1">
        <v>45017</v>
      </c>
      <c r="J4922">
        <v>75</v>
      </c>
      <c r="K4922" t="s">
        <v>23</v>
      </c>
    </row>
    <row r="4923" spans="1:11">
      <c r="A4923" s="1">
        <v>45043</v>
      </c>
      <c r="B4923" t="s">
        <v>40</v>
      </c>
      <c r="C4923" t="s">
        <v>52</v>
      </c>
      <c r="D4923">
        <v>7049</v>
      </c>
      <c r="E4923">
        <v>4123</v>
      </c>
      <c r="F4923">
        <v>996</v>
      </c>
      <c r="G4923">
        <v>97</v>
      </c>
      <c r="H4923">
        <v>12265</v>
      </c>
      <c r="I4923" s="1">
        <v>45017</v>
      </c>
      <c r="J4923">
        <v>1093</v>
      </c>
      <c r="K4923" t="s">
        <v>23</v>
      </c>
    </row>
    <row r="4924" spans="1:11">
      <c r="A4924" s="1">
        <v>45043</v>
      </c>
      <c r="B4924" t="s">
        <v>40</v>
      </c>
      <c r="C4924" t="s">
        <v>22</v>
      </c>
      <c r="D4924">
        <v>3346</v>
      </c>
      <c r="E4924">
        <v>1244</v>
      </c>
      <c r="F4924">
        <v>551</v>
      </c>
      <c r="G4924">
        <v>865</v>
      </c>
      <c r="H4924">
        <v>6006</v>
      </c>
      <c r="I4924" s="1">
        <v>45017</v>
      </c>
      <c r="J4924">
        <v>1416</v>
      </c>
      <c r="K4924" t="s">
        <v>23</v>
      </c>
    </row>
    <row r="4925" spans="1:11">
      <c r="A4925" s="1">
        <v>45043</v>
      </c>
      <c r="B4925" t="s">
        <v>40</v>
      </c>
      <c r="C4925" t="s">
        <v>46</v>
      </c>
      <c r="D4925">
        <v>1940</v>
      </c>
      <c r="E4925">
        <v>563</v>
      </c>
      <c r="F4925">
        <v>238</v>
      </c>
      <c r="G4925">
        <v>493</v>
      </c>
      <c r="H4925">
        <v>3235</v>
      </c>
      <c r="I4925" s="1">
        <v>45017</v>
      </c>
      <c r="J4925">
        <v>731</v>
      </c>
      <c r="K4925" t="s">
        <v>23</v>
      </c>
    </row>
    <row r="4926" spans="1:11">
      <c r="A4926" s="1">
        <v>45043</v>
      </c>
      <c r="B4926" t="s">
        <v>40</v>
      </c>
      <c r="C4926" t="s">
        <v>31</v>
      </c>
      <c r="D4926">
        <v>3027</v>
      </c>
      <c r="E4926">
        <v>1425</v>
      </c>
      <c r="F4926">
        <v>638</v>
      </c>
      <c r="G4926">
        <v>957</v>
      </c>
      <c r="H4926">
        <v>6048</v>
      </c>
      <c r="I4926" s="1">
        <v>45017</v>
      </c>
      <c r="J4926">
        <v>1595</v>
      </c>
      <c r="K4926" t="s">
        <v>23</v>
      </c>
    </row>
    <row r="4927" spans="1:11">
      <c r="A4927" s="1">
        <v>45043</v>
      </c>
      <c r="B4927" t="s">
        <v>40</v>
      </c>
      <c r="C4927" t="s">
        <v>63</v>
      </c>
      <c r="D4927">
        <v>5030</v>
      </c>
      <c r="E4927">
        <v>2957</v>
      </c>
      <c r="F4927">
        <v>1637</v>
      </c>
      <c r="G4927">
        <v>3365</v>
      </c>
      <c r="H4927">
        <v>12989</v>
      </c>
      <c r="I4927" s="1">
        <v>45017</v>
      </c>
      <c r="J4927">
        <v>5002</v>
      </c>
      <c r="K4927" t="s">
        <v>23</v>
      </c>
    </row>
    <row r="4928" spans="1:11">
      <c r="A4928" s="1">
        <v>45043</v>
      </c>
      <c r="B4928" t="s">
        <v>40</v>
      </c>
      <c r="C4928" t="s">
        <v>60</v>
      </c>
      <c r="D4928">
        <v>7487</v>
      </c>
      <c r="E4928">
        <v>3512</v>
      </c>
      <c r="F4928">
        <v>1512</v>
      </c>
      <c r="G4928">
        <v>2518</v>
      </c>
      <c r="H4928">
        <v>15029</v>
      </c>
      <c r="I4928" s="1">
        <v>45017</v>
      </c>
      <c r="J4928">
        <v>4030</v>
      </c>
      <c r="K4928" t="s">
        <v>23</v>
      </c>
    </row>
    <row r="4929" spans="1:11">
      <c r="A4929" s="1">
        <v>45043</v>
      </c>
      <c r="B4929" t="s">
        <v>40</v>
      </c>
      <c r="C4929" t="s">
        <v>61</v>
      </c>
      <c r="D4929">
        <v>9500</v>
      </c>
      <c r="E4929">
        <v>5088</v>
      </c>
      <c r="F4929">
        <v>2717</v>
      </c>
      <c r="G4929">
        <v>5834</v>
      </c>
      <c r="H4929">
        <v>23140</v>
      </c>
      <c r="I4929" s="1">
        <v>45017</v>
      </c>
      <c r="J4929">
        <v>8551</v>
      </c>
      <c r="K4929" t="s">
        <v>23</v>
      </c>
    </row>
    <row r="4930" spans="1:11">
      <c r="A4930" s="1">
        <v>45043</v>
      </c>
      <c r="B4930" t="s">
        <v>40</v>
      </c>
      <c r="C4930" t="s">
        <v>62</v>
      </c>
      <c r="D4930">
        <v>2077</v>
      </c>
      <c r="E4930">
        <v>1977</v>
      </c>
      <c r="F4930">
        <v>1289</v>
      </c>
      <c r="G4930">
        <v>2858</v>
      </c>
      <c r="H4930">
        <v>8202</v>
      </c>
      <c r="I4930" s="1">
        <v>45017</v>
      </c>
      <c r="J4930">
        <v>4147</v>
      </c>
      <c r="K4930" t="s">
        <v>23</v>
      </c>
    </row>
    <row r="4931" spans="1:11">
      <c r="A4931" s="1">
        <v>45043</v>
      </c>
      <c r="B4931" t="s">
        <v>40</v>
      </c>
      <c r="C4931" t="s">
        <v>69</v>
      </c>
      <c r="D4931">
        <v>14711</v>
      </c>
      <c r="E4931">
        <v>4836</v>
      </c>
      <c r="F4931">
        <v>1787</v>
      </c>
      <c r="G4931">
        <v>2276</v>
      </c>
      <c r="H4931">
        <v>23610</v>
      </c>
      <c r="I4931" s="1">
        <v>45017</v>
      </c>
      <c r="J4931">
        <v>4063</v>
      </c>
      <c r="K4931" t="s">
        <v>23</v>
      </c>
    </row>
    <row r="4932" spans="1:11">
      <c r="A4932" s="1">
        <v>45043</v>
      </c>
      <c r="B4932" t="s">
        <v>40</v>
      </c>
      <c r="C4932" t="s">
        <v>24</v>
      </c>
      <c r="D4932">
        <v>574</v>
      </c>
      <c r="E4932">
        <v>307</v>
      </c>
      <c r="F4932">
        <v>272</v>
      </c>
      <c r="G4932">
        <v>151</v>
      </c>
      <c r="H4932">
        <v>1304</v>
      </c>
      <c r="I4932" s="1">
        <v>45017</v>
      </c>
      <c r="J4932">
        <v>423</v>
      </c>
      <c r="K4932" t="s">
        <v>23</v>
      </c>
    </row>
    <row r="4933" spans="1:11">
      <c r="A4933" s="1">
        <v>45043</v>
      </c>
      <c r="B4933" t="s">
        <v>40</v>
      </c>
      <c r="C4933" t="s">
        <v>29</v>
      </c>
      <c r="D4933">
        <v>3187</v>
      </c>
      <c r="E4933">
        <v>1136</v>
      </c>
      <c r="F4933">
        <v>296</v>
      </c>
      <c r="G4933">
        <v>6</v>
      </c>
      <c r="H4933">
        <v>4626</v>
      </c>
      <c r="I4933" s="1">
        <v>45017</v>
      </c>
      <c r="J4933">
        <v>302</v>
      </c>
      <c r="K4933" t="s">
        <v>23</v>
      </c>
    </row>
    <row r="4934" spans="1:11">
      <c r="A4934" s="1">
        <v>45043</v>
      </c>
      <c r="B4934" t="s">
        <v>40</v>
      </c>
      <c r="C4934" t="s">
        <v>70</v>
      </c>
      <c r="D4934">
        <v>2623</v>
      </c>
      <c r="E4934">
        <v>1015</v>
      </c>
      <c r="F4934">
        <v>233</v>
      </c>
      <c r="G4934">
        <v>188</v>
      </c>
      <c r="H4934">
        <v>4060</v>
      </c>
      <c r="I4934" s="1">
        <v>45017</v>
      </c>
      <c r="J4934">
        <v>421</v>
      </c>
      <c r="K4934" t="s">
        <v>23</v>
      </c>
    </row>
    <row r="4935" spans="1:11">
      <c r="A4935" s="1">
        <v>45043</v>
      </c>
      <c r="B4935" t="s">
        <v>40</v>
      </c>
      <c r="C4935" t="s">
        <v>71</v>
      </c>
      <c r="D4935">
        <v>17064</v>
      </c>
      <c r="E4935">
        <v>4880</v>
      </c>
      <c r="F4935">
        <v>1219</v>
      </c>
      <c r="G4935">
        <v>781</v>
      </c>
      <c r="H4935">
        <v>23944</v>
      </c>
      <c r="I4935" s="1">
        <v>45017</v>
      </c>
      <c r="J4935">
        <v>2000</v>
      </c>
      <c r="K4935" t="s">
        <v>23</v>
      </c>
    </row>
    <row r="4936" spans="1:11">
      <c r="A4936" s="1">
        <v>45043</v>
      </c>
      <c r="B4936" t="s">
        <v>40</v>
      </c>
      <c r="C4936" t="s">
        <v>36</v>
      </c>
      <c r="D4936">
        <v>12335</v>
      </c>
      <c r="E4936">
        <v>9117</v>
      </c>
      <c r="F4936">
        <v>5150</v>
      </c>
      <c r="G4936">
        <v>8445</v>
      </c>
      <c r="H4936">
        <v>35048</v>
      </c>
      <c r="I4936" s="1">
        <v>45017</v>
      </c>
      <c r="J4936">
        <v>13595</v>
      </c>
      <c r="K4936" t="s">
        <v>23</v>
      </c>
    </row>
    <row r="4937" spans="1:11">
      <c r="A4937" s="1">
        <v>45043</v>
      </c>
      <c r="B4937" t="s">
        <v>40</v>
      </c>
      <c r="C4937" t="s">
        <v>32</v>
      </c>
      <c r="D4937">
        <v>2160</v>
      </c>
      <c r="E4937">
        <v>824</v>
      </c>
      <c r="F4937">
        <v>306</v>
      </c>
      <c r="G4937">
        <v>164</v>
      </c>
      <c r="H4937">
        <v>3454</v>
      </c>
      <c r="I4937" s="1">
        <v>45017</v>
      </c>
      <c r="J4937">
        <v>470</v>
      </c>
      <c r="K4937" t="s">
        <v>23</v>
      </c>
    </row>
    <row r="4938" spans="1:11">
      <c r="A4938" s="1">
        <v>45043</v>
      </c>
      <c r="B4938" t="s">
        <v>40</v>
      </c>
      <c r="C4938" t="s">
        <v>44</v>
      </c>
      <c r="D4938">
        <v>5256</v>
      </c>
      <c r="E4938">
        <v>2254</v>
      </c>
      <c r="F4938">
        <v>772</v>
      </c>
      <c r="G4938">
        <v>407</v>
      </c>
      <c r="H4938">
        <v>8690</v>
      </c>
      <c r="I4938" s="1">
        <v>45017</v>
      </c>
      <c r="J4938">
        <v>1179</v>
      </c>
      <c r="K4938" t="s">
        <v>23</v>
      </c>
    </row>
    <row r="4939" spans="1:11">
      <c r="A4939" s="1">
        <v>45043</v>
      </c>
      <c r="B4939" t="s">
        <v>40</v>
      </c>
      <c r="C4939" t="s">
        <v>59</v>
      </c>
      <c r="D4939">
        <v>13118</v>
      </c>
      <c r="E4939">
        <v>6128</v>
      </c>
      <c r="F4939">
        <v>3446</v>
      </c>
      <c r="G4939">
        <v>3275</v>
      </c>
      <c r="H4939">
        <v>25967</v>
      </c>
      <c r="I4939" s="1">
        <v>45017</v>
      </c>
      <c r="J4939">
        <v>6721</v>
      </c>
      <c r="K4939" t="s">
        <v>23</v>
      </c>
    </row>
    <row r="4940" spans="1:11">
      <c r="A4940" s="1">
        <v>45043</v>
      </c>
      <c r="B4940" t="s">
        <v>40</v>
      </c>
      <c r="C4940" t="s">
        <v>67</v>
      </c>
      <c r="D4940">
        <v>15641</v>
      </c>
      <c r="E4940">
        <v>7441</v>
      </c>
      <c r="F4940">
        <v>3528</v>
      </c>
      <c r="G4940">
        <v>4754</v>
      </c>
      <c r="H4940">
        <v>31365</v>
      </c>
      <c r="I4940" s="1">
        <v>45017</v>
      </c>
      <c r="J4940">
        <v>8282</v>
      </c>
      <c r="K4940" t="s">
        <v>23</v>
      </c>
    </row>
    <row r="4941" spans="1:11">
      <c r="A4941" s="1">
        <v>45071</v>
      </c>
      <c r="B4941" t="s">
        <v>40</v>
      </c>
      <c r="C4941" t="s">
        <v>50</v>
      </c>
      <c r="D4941">
        <v>663</v>
      </c>
      <c r="E4941">
        <v>186</v>
      </c>
      <c r="F4941">
        <v>53</v>
      </c>
      <c r="G4941">
        <v>4</v>
      </c>
      <c r="H4941">
        <v>906</v>
      </c>
      <c r="I4941" s="1">
        <v>45047</v>
      </c>
      <c r="J4941">
        <v>57</v>
      </c>
      <c r="K4941" t="s">
        <v>23</v>
      </c>
    </row>
    <row r="4942" spans="1:11">
      <c r="A4942" s="1">
        <v>45071</v>
      </c>
      <c r="B4942" t="s">
        <v>40</v>
      </c>
      <c r="C4942" t="s">
        <v>48</v>
      </c>
      <c r="D4942">
        <v>22716</v>
      </c>
      <c r="E4942">
        <v>8853</v>
      </c>
      <c r="F4942">
        <v>1246</v>
      </c>
      <c r="G4942">
        <v>8</v>
      </c>
      <c r="H4942">
        <v>32823</v>
      </c>
      <c r="I4942" s="1">
        <v>45047</v>
      </c>
      <c r="J4942">
        <v>1254</v>
      </c>
      <c r="K4942" t="s">
        <v>23</v>
      </c>
    </row>
    <row r="4943" spans="1:11">
      <c r="A4943" s="1">
        <v>45071</v>
      </c>
      <c r="B4943" t="s">
        <v>40</v>
      </c>
      <c r="C4943" t="s">
        <v>41</v>
      </c>
      <c r="D4943">
        <v>4222</v>
      </c>
      <c r="E4943">
        <v>2326</v>
      </c>
      <c r="F4943">
        <v>871</v>
      </c>
      <c r="G4943">
        <v>4</v>
      </c>
      <c r="H4943">
        <v>7423</v>
      </c>
      <c r="I4943" s="1">
        <v>45047</v>
      </c>
      <c r="J4943">
        <v>875</v>
      </c>
      <c r="K4943" t="s">
        <v>23</v>
      </c>
    </row>
    <row r="4944" spans="1:11">
      <c r="A4944" s="1">
        <v>45071</v>
      </c>
      <c r="B4944" t="s">
        <v>40</v>
      </c>
      <c r="C4944" t="s">
        <v>55</v>
      </c>
      <c r="D4944">
        <v>4425</v>
      </c>
      <c r="E4944">
        <v>580</v>
      </c>
      <c r="F4944">
        <v>68</v>
      </c>
      <c r="G4944">
        <v>10</v>
      </c>
      <c r="H4944">
        <v>5083</v>
      </c>
      <c r="I4944" s="1">
        <v>45047</v>
      </c>
      <c r="J4944">
        <v>78</v>
      </c>
      <c r="K4944" t="s">
        <v>23</v>
      </c>
    </row>
    <row r="4945" spans="1:11">
      <c r="A4945" s="1">
        <v>45071</v>
      </c>
      <c r="B4945" t="s">
        <v>40</v>
      </c>
      <c r="C4945" t="s">
        <v>33</v>
      </c>
      <c r="D4945">
        <v>1724</v>
      </c>
      <c r="E4945">
        <v>664</v>
      </c>
      <c r="F4945">
        <v>234</v>
      </c>
      <c r="G4945">
        <v>232</v>
      </c>
      <c r="H4945">
        <v>2854</v>
      </c>
      <c r="I4945" s="1">
        <v>45047</v>
      </c>
      <c r="J4945">
        <v>466</v>
      </c>
      <c r="K4945" t="s">
        <v>23</v>
      </c>
    </row>
    <row r="4946" spans="1:11">
      <c r="A4946" s="1">
        <v>45071</v>
      </c>
      <c r="B4946" t="s">
        <v>40</v>
      </c>
      <c r="C4946" t="s">
        <v>65</v>
      </c>
      <c r="D4946">
        <v>13173</v>
      </c>
      <c r="E4946">
        <v>6614</v>
      </c>
      <c r="F4946">
        <v>4328</v>
      </c>
      <c r="G4946">
        <v>7615</v>
      </c>
      <c r="H4946">
        <v>31731</v>
      </c>
      <c r="I4946" s="1">
        <v>45047</v>
      </c>
      <c r="J4946">
        <v>11943</v>
      </c>
      <c r="K4946" t="s">
        <v>23</v>
      </c>
    </row>
    <row r="4947" spans="1:11">
      <c r="A4947" s="1">
        <v>45071</v>
      </c>
      <c r="B4947" t="s">
        <v>40</v>
      </c>
      <c r="C4947" t="s">
        <v>27</v>
      </c>
      <c r="D4947">
        <v>2555</v>
      </c>
      <c r="E4947">
        <v>1072</v>
      </c>
      <c r="F4947">
        <v>383</v>
      </c>
      <c r="G4947">
        <v>634</v>
      </c>
      <c r="H4947">
        <v>4644</v>
      </c>
      <c r="I4947" s="1">
        <v>45047</v>
      </c>
      <c r="J4947">
        <v>1017</v>
      </c>
      <c r="K4947" t="s">
        <v>23</v>
      </c>
    </row>
    <row r="4948" spans="1:11">
      <c r="A4948" s="1">
        <v>45071</v>
      </c>
      <c r="B4948" t="s">
        <v>40</v>
      </c>
      <c r="C4948" t="s">
        <v>37</v>
      </c>
      <c r="D4948">
        <v>559</v>
      </c>
      <c r="E4948">
        <v>357</v>
      </c>
      <c r="F4948">
        <v>47</v>
      </c>
      <c r="G4948">
        <v>15</v>
      </c>
      <c r="H4948">
        <v>978</v>
      </c>
      <c r="I4948" s="1">
        <v>45047</v>
      </c>
      <c r="J4948">
        <v>62</v>
      </c>
      <c r="K4948" t="s">
        <v>23</v>
      </c>
    </row>
    <row r="4949" spans="1:11">
      <c r="A4949" s="1">
        <v>45071</v>
      </c>
      <c r="B4949" t="s">
        <v>40</v>
      </c>
      <c r="C4949" t="s">
        <v>66</v>
      </c>
      <c r="D4949">
        <v>20721</v>
      </c>
      <c r="E4949">
        <v>9874</v>
      </c>
      <c r="F4949">
        <v>5857</v>
      </c>
      <c r="G4949">
        <v>12905</v>
      </c>
      <c r="H4949">
        <v>49357</v>
      </c>
      <c r="I4949" s="1">
        <v>45047</v>
      </c>
      <c r="J4949">
        <v>18762</v>
      </c>
      <c r="K4949" t="s">
        <v>23</v>
      </c>
    </row>
    <row r="4950" spans="1:11">
      <c r="A4950" s="1">
        <v>45071</v>
      </c>
      <c r="B4950" t="s">
        <v>40</v>
      </c>
      <c r="C4950" t="s">
        <v>57</v>
      </c>
      <c r="D4950">
        <v>7296</v>
      </c>
      <c r="E4950">
        <v>2678</v>
      </c>
      <c r="F4950">
        <v>1443</v>
      </c>
      <c r="G4950">
        <v>3620</v>
      </c>
      <c r="H4950">
        <v>15037</v>
      </c>
      <c r="I4950" s="1">
        <v>45047</v>
      </c>
      <c r="J4950">
        <v>5063</v>
      </c>
      <c r="K4950" t="s">
        <v>23</v>
      </c>
    </row>
    <row r="4951" spans="1:11">
      <c r="A4951" s="1">
        <v>45071</v>
      </c>
      <c r="B4951" t="s">
        <v>40</v>
      </c>
      <c r="C4951" t="s">
        <v>28</v>
      </c>
      <c r="D4951">
        <v>2325</v>
      </c>
      <c r="E4951">
        <v>862</v>
      </c>
      <c r="F4951">
        <v>240</v>
      </c>
      <c r="G4951">
        <v>139</v>
      </c>
      <c r="H4951">
        <v>3566</v>
      </c>
      <c r="I4951" s="1">
        <v>45047</v>
      </c>
      <c r="J4951">
        <v>379</v>
      </c>
      <c r="K4951" t="s">
        <v>23</v>
      </c>
    </row>
    <row r="4952" spans="1:11">
      <c r="A4952" s="1">
        <v>45071</v>
      </c>
      <c r="B4952" t="s">
        <v>40</v>
      </c>
      <c r="C4952" t="s">
        <v>68</v>
      </c>
      <c r="D4952">
        <v>21847</v>
      </c>
      <c r="E4952">
        <v>6986</v>
      </c>
      <c r="F4952">
        <v>2896</v>
      </c>
      <c r="G4952">
        <v>7461</v>
      </c>
      <c r="H4952">
        <v>39191</v>
      </c>
      <c r="I4952" s="1">
        <v>45047</v>
      </c>
      <c r="J4952">
        <v>10357</v>
      </c>
      <c r="K4952" t="s">
        <v>23</v>
      </c>
    </row>
    <row r="4953" spans="1:11">
      <c r="A4953" s="1">
        <v>45071</v>
      </c>
      <c r="B4953" t="s">
        <v>40</v>
      </c>
      <c r="C4953" t="s">
        <v>47</v>
      </c>
      <c r="D4953">
        <v>4437</v>
      </c>
      <c r="E4953">
        <v>1900</v>
      </c>
      <c r="F4953">
        <v>814</v>
      </c>
      <c r="G4953">
        <v>1532</v>
      </c>
      <c r="H4953">
        <v>8683</v>
      </c>
      <c r="I4953" s="1">
        <v>45047</v>
      </c>
      <c r="J4953">
        <v>2346</v>
      </c>
      <c r="K4953" t="s">
        <v>23</v>
      </c>
    </row>
    <row r="4954" spans="1:11">
      <c r="A4954" s="1">
        <v>45071</v>
      </c>
      <c r="B4954" t="s">
        <v>40</v>
      </c>
      <c r="C4954" t="s">
        <v>25</v>
      </c>
      <c r="D4954">
        <v>2967</v>
      </c>
      <c r="E4954">
        <v>1230</v>
      </c>
      <c r="F4954">
        <v>545</v>
      </c>
      <c r="G4954">
        <v>1307</v>
      </c>
      <c r="H4954">
        <v>6049</v>
      </c>
      <c r="I4954" s="1">
        <v>45047</v>
      </c>
      <c r="J4954">
        <v>1852</v>
      </c>
      <c r="K4954" t="s">
        <v>23</v>
      </c>
    </row>
    <row r="4955" spans="1:11">
      <c r="A4955" s="1">
        <v>45071</v>
      </c>
      <c r="B4955" t="s">
        <v>40</v>
      </c>
      <c r="C4955" t="s">
        <v>51</v>
      </c>
      <c r="D4955">
        <v>4171</v>
      </c>
      <c r="E4955">
        <v>2565</v>
      </c>
      <c r="F4955">
        <v>1407</v>
      </c>
      <c r="G4955">
        <v>1521</v>
      </c>
      <c r="H4955">
        <v>9664</v>
      </c>
      <c r="I4955" s="1">
        <v>45047</v>
      </c>
      <c r="J4955">
        <v>2928</v>
      </c>
      <c r="K4955" t="s">
        <v>23</v>
      </c>
    </row>
    <row r="4956" spans="1:11">
      <c r="A4956" s="1">
        <v>45071</v>
      </c>
      <c r="B4956" t="s">
        <v>40</v>
      </c>
      <c r="C4956" t="s">
        <v>45</v>
      </c>
      <c r="D4956">
        <v>2057</v>
      </c>
      <c r="E4956">
        <v>1214</v>
      </c>
      <c r="F4956">
        <v>597</v>
      </c>
      <c r="G4956">
        <v>496</v>
      </c>
      <c r="H4956">
        <v>4364</v>
      </c>
      <c r="I4956" s="1">
        <v>45047</v>
      </c>
      <c r="J4956">
        <v>1093</v>
      </c>
      <c r="K4956" t="s">
        <v>23</v>
      </c>
    </row>
    <row r="4957" spans="1:11">
      <c r="A4957" s="1">
        <v>45071</v>
      </c>
      <c r="B4957" t="s">
        <v>40</v>
      </c>
      <c r="C4957" t="s">
        <v>43</v>
      </c>
      <c r="D4957">
        <v>7279</v>
      </c>
      <c r="E4957">
        <v>3142</v>
      </c>
      <c r="F4957">
        <v>743</v>
      </c>
      <c r="G4957">
        <v>457</v>
      </c>
      <c r="H4957">
        <v>11621</v>
      </c>
      <c r="I4957" s="1">
        <v>45047</v>
      </c>
      <c r="J4957">
        <v>1200</v>
      </c>
      <c r="K4957" t="s">
        <v>23</v>
      </c>
    </row>
    <row r="4958" spans="1:11">
      <c r="A4958" s="1">
        <v>45071</v>
      </c>
      <c r="B4958" t="s">
        <v>40</v>
      </c>
      <c r="C4958" t="s">
        <v>39</v>
      </c>
      <c r="D4958">
        <v>5305</v>
      </c>
      <c r="E4958">
        <v>2213</v>
      </c>
      <c r="F4958">
        <v>943</v>
      </c>
      <c r="G4958">
        <v>598</v>
      </c>
      <c r="H4958">
        <v>9059</v>
      </c>
      <c r="I4958" s="1">
        <v>45047</v>
      </c>
      <c r="J4958">
        <v>1541</v>
      </c>
      <c r="K4958" t="s">
        <v>23</v>
      </c>
    </row>
    <row r="4959" spans="1:11">
      <c r="A4959" s="1">
        <v>45071</v>
      </c>
      <c r="B4959" t="s">
        <v>40</v>
      </c>
      <c r="C4959" t="s">
        <v>54</v>
      </c>
      <c r="D4959">
        <v>2192</v>
      </c>
      <c r="E4959">
        <v>1453</v>
      </c>
      <c r="F4959">
        <v>232</v>
      </c>
      <c r="G4959">
        <v>73</v>
      </c>
      <c r="H4959">
        <v>3950</v>
      </c>
      <c r="I4959" s="1">
        <v>45047</v>
      </c>
      <c r="J4959">
        <v>305</v>
      </c>
      <c r="K4959" t="s">
        <v>23</v>
      </c>
    </row>
    <row r="4960" spans="1:11">
      <c r="A4960" s="1">
        <v>45071</v>
      </c>
      <c r="B4960" t="s">
        <v>40</v>
      </c>
      <c r="C4960" t="s">
        <v>35</v>
      </c>
      <c r="D4960">
        <v>370</v>
      </c>
      <c r="E4960">
        <v>254</v>
      </c>
      <c r="F4960">
        <v>55</v>
      </c>
      <c r="G4960">
        <v>27</v>
      </c>
      <c r="H4960">
        <v>706</v>
      </c>
      <c r="I4960" s="1">
        <v>45047</v>
      </c>
      <c r="J4960">
        <v>82</v>
      </c>
      <c r="K4960" t="s">
        <v>23</v>
      </c>
    </row>
    <row r="4961" spans="1:11">
      <c r="A4961" s="1">
        <v>45071</v>
      </c>
      <c r="B4961" t="s">
        <v>40</v>
      </c>
      <c r="C4961" t="s">
        <v>52</v>
      </c>
      <c r="D4961">
        <v>7337</v>
      </c>
      <c r="E4961">
        <v>3962</v>
      </c>
      <c r="F4961">
        <v>1027</v>
      </c>
      <c r="G4961">
        <v>153</v>
      </c>
      <c r="H4961">
        <v>12480</v>
      </c>
      <c r="I4961" s="1">
        <v>45047</v>
      </c>
      <c r="J4961">
        <v>1180</v>
      </c>
      <c r="K4961" t="s">
        <v>23</v>
      </c>
    </row>
    <row r="4962" spans="1:11">
      <c r="A4962" s="1">
        <v>45071</v>
      </c>
      <c r="B4962" t="s">
        <v>40</v>
      </c>
      <c r="C4962" t="s">
        <v>22</v>
      </c>
      <c r="D4962">
        <v>3469</v>
      </c>
      <c r="E4962">
        <v>1298</v>
      </c>
      <c r="F4962">
        <v>551</v>
      </c>
      <c r="G4962">
        <v>792</v>
      </c>
      <c r="H4962">
        <v>6110</v>
      </c>
      <c r="I4962" s="1">
        <v>45047</v>
      </c>
      <c r="J4962">
        <v>1343</v>
      </c>
      <c r="K4962" t="s">
        <v>23</v>
      </c>
    </row>
    <row r="4963" spans="1:11">
      <c r="A4963" s="1">
        <v>45071</v>
      </c>
      <c r="B4963" t="s">
        <v>40</v>
      </c>
      <c r="C4963" t="s">
        <v>46</v>
      </c>
      <c r="D4963">
        <v>1959</v>
      </c>
      <c r="E4963">
        <v>511</v>
      </c>
      <c r="F4963">
        <v>232</v>
      </c>
      <c r="G4963">
        <v>460</v>
      </c>
      <c r="H4963">
        <v>3162</v>
      </c>
      <c r="I4963" s="1">
        <v>45047</v>
      </c>
      <c r="J4963">
        <v>692</v>
      </c>
      <c r="K4963" t="s">
        <v>23</v>
      </c>
    </row>
    <row r="4964" spans="1:11">
      <c r="A4964" s="1">
        <v>45071</v>
      </c>
      <c r="B4964" t="s">
        <v>40</v>
      </c>
      <c r="C4964" t="s">
        <v>31</v>
      </c>
      <c r="D4964">
        <v>2926</v>
      </c>
      <c r="E4964">
        <v>1397</v>
      </c>
      <c r="F4964">
        <v>671</v>
      </c>
      <c r="G4964">
        <v>937</v>
      </c>
      <c r="H4964">
        <v>5931</v>
      </c>
      <c r="I4964" s="1">
        <v>45047</v>
      </c>
      <c r="J4964">
        <v>1608</v>
      </c>
      <c r="K4964" t="s">
        <v>23</v>
      </c>
    </row>
    <row r="4965" spans="1:11">
      <c r="A4965" s="1">
        <v>45071</v>
      </c>
      <c r="B4965" t="s">
        <v>40</v>
      </c>
      <c r="C4965" t="s">
        <v>63</v>
      </c>
      <c r="D4965">
        <v>5144</v>
      </c>
      <c r="E4965">
        <v>2392</v>
      </c>
      <c r="F4965">
        <v>1642</v>
      </c>
      <c r="G4965">
        <v>3292</v>
      </c>
      <c r="H4965">
        <v>12470</v>
      </c>
      <c r="I4965" s="1">
        <v>45047</v>
      </c>
      <c r="J4965">
        <v>4934</v>
      </c>
      <c r="K4965" t="s">
        <v>23</v>
      </c>
    </row>
    <row r="4966" spans="1:11">
      <c r="A4966" s="1">
        <v>45071</v>
      </c>
      <c r="B4966" t="s">
        <v>40</v>
      </c>
      <c r="C4966" t="s">
        <v>60</v>
      </c>
      <c r="D4966">
        <v>7855</v>
      </c>
      <c r="E4966">
        <v>3525</v>
      </c>
      <c r="F4966">
        <v>1524</v>
      </c>
      <c r="G4966">
        <v>2445</v>
      </c>
      <c r="H4966">
        <v>15349</v>
      </c>
      <c r="I4966" s="1">
        <v>45047</v>
      </c>
      <c r="J4966">
        <v>3969</v>
      </c>
      <c r="K4966" t="s">
        <v>23</v>
      </c>
    </row>
    <row r="4967" spans="1:11">
      <c r="A4967" s="1">
        <v>45071</v>
      </c>
      <c r="B4967" t="s">
        <v>40</v>
      </c>
      <c r="C4967" t="s">
        <v>61</v>
      </c>
      <c r="D4967">
        <v>9854</v>
      </c>
      <c r="E4967">
        <v>5108</v>
      </c>
      <c r="F4967">
        <v>2737</v>
      </c>
      <c r="G4967">
        <v>5695</v>
      </c>
      <c r="H4967">
        <v>23394</v>
      </c>
      <c r="I4967" s="1">
        <v>45047</v>
      </c>
      <c r="J4967">
        <v>8432</v>
      </c>
      <c r="K4967" t="s">
        <v>23</v>
      </c>
    </row>
    <row r="4968" spans="1:11">
      <c r="A4968" s="1">
        <v>45071</v>
      </c>
      <c r="B4968" t="s">
        <v>40</v>
      </c>
      <c r="C4968" t="s">
        <v>62</v>
      </c>
      <c r="D4968">
        <v>2323</v>
      </c>
      <c r="E4968">
        <v>1975</v>
      </c>
      <c r="F4968">
        <v>1392</v>
      </c>
      <c r="G4968">
        <v>2913</v>
      </c>
      <c r="H4968">
        <v>8603</v>
      </c>
      <c r="I4968" s="1">
        <v>45047</v>
      </c>
      <c r="J4968">
        <v>4305</v>
      </c>
      <c r="K4968" t="s">
        <v>23</v>
      </c>
    </row>
    <row r="4969" spans="1:11">
      <c r="A4969" s="1">
        <v>45071</v>
      </c>
      <c r="B4969" t="s">
        <v>40</v>
      </c>
      <c r="C4969" t="s">
        <v>69</v>
      </c>
      <c r="D4969">
        <v>15145</v>
      </c>
      <c r="E4969">
        <v>4839</v>
      </c>
      <c r="F4969">
        <v>1815</v>
      </c>
      <c r="G4969">
        <v>2327</v>
      </c>
      <c r="H4969">
        <v>24127</v>
      </c>
      <c r="I4969" s="1">
        <v>45047</v>
      </c>
      <c r="J4969">
        <v>4142</v>
      </c>
      <c r="K4969" t="s">
        <v>23</v>
      </c>
    </row>
    <row r="4970" spans="1:11">
      <c r="A4970" s="1">
        <v>45071</v>
      </c>
      <c r="B4970" t="s">
        <v>40</v>
      </c>
      <c r="C4970" t="s">
        <v>24</v>
      </c>
      <c r="D4970">
        <v>638</v>
      </c>
      <c r="E4970">
        <v>274</v>
      </c>
      <c r="F4970">
        <v>255</v>
      </c>
      <c r="G4970">
        <v>123</v>
      </c>
      <c r="H4970">
        <v>1290</v>
      </c>
      <c r="I4970" s="1">
        <v>45047</v>
      </c>
      <c r="J4970">
        <v>378</v>
      </c>
      <c r="K4970" t="s">
        <v>23</v>
      </c>
    </row>
    <row r="4971" spans="1:11">
      <c r="A4971" s="1">
        <v>45071</v>
      </c>
      <c r="B4971" t="s">
        <v>40</v>
      </c>
      <c r="C4971" t="s">
        <v>29</v>
      </c>
      <c r="D4971">
        <v>3583</v>
      </c>
      <c r="E4971">
        <v>1126</v>
      </c>
      <c r="F4971">
        <v>333</v>
      </c>
      <c r="G4971">
        <v>10</v>
      </c>
      <c r="H4971">
        <v>5052</v>
      </c>
      <c r="I4971" s="1">
        <v>45047</v>
      </c>
      <c r="J4971">
        <v>343</v>
      </c>
      <c r="K4971" t="s">
        <v>23</v>
      </c>
    </row>
    <row r="4972" spans="1:11">
      <c r="A4972" s="1">
        <v>45071</v>
      </c>
      <c r="B4972" t="s">
        <v>40</v>
      </c>
      <c r="C4972" t="s">
        <v>70</v>
      </c>
      <c r="D4972">
        <v>2722</v>
      </c>
      <c r="E4972">
        <v>1050</v>
      </c>
      <c r="F4972">
        <v>261</v>
      </c>
      <c r="G4972">
        <v>203</v>
      </c>
      <c r="H4972">
        <v>4236</v>
      </c>
      <c r="I4972" s="1">
        <v>45047</v>
      </c>
      <c r="J4972">
        <v>464</v>
      </c>
      <c r="K4972" t="s">
        <v>23</v>
      </c>
    </row>
    <row r="4973" spans="1:11">
      <c r="A4973" s="1">
        <v>45071</v>
      </c>
      <c r="B4973" t="s">
        <v>40</v>
      </c>
      <c r="C4973" t="s">
        <v>71</v>
      </c>
      <c r="D4973">
        <v>17320</v>
      </c>
      <c r="E4973">
        <v>5049</v>
      </c>
      <c r="F4973">
        <v>1251</v>
      </c>
      <c r="G4973">
        <v>731</v>
      </c>
      <c r="H4973">
        <v>24352</v>
      </c>
      <c r="I4973" s="1">
        <v>45047</v>
      </c>
      <c r="J4973">
        <v>1982</v>
      </c>
      <c r="K4973" t="s">
        <v>23</v>
      </c>
    </row>
    <row r="4974" spans="1:11">
      <c r="A4974" s="1">
        <v>45071</v>
      </c>
      <c r="B4974" t="s">
        <v>40</v>
      </c>
      <c r="C4974" t="s">
        <v>36</v>
      </c>
      <c r="D4974">
        <v>12953</v>
      </c>
      <c r="E4974">
        <v>8834</v>
      </c>
      <c r="F4974">
        <v>5180</v>
      </c>
      <c r="G4974">
        <v>8380</v>
      </c>
      <c r="H4974">
        <v>35347</v>
      </c>
      <c r="I4974" s="1">
        <v>45047</v>
      </c>
      <c r="J4974">
        <v>13560</v>
      </c>
      <c r="K4974" t="s">
        <v>23</v>
      </c>
    </row>
    <row r="4975" spans="1:11">
      <c r="A4975" s="1">
        <v>45071</v>
      </c>
      <c r="B4975" t="s">
        <v>40</v>
      </c>
      <c r="C4975" t="s">
        <v>32</v>
      </c>
      <c r="D4975">
        <v>2194</v>
      </c>
      <c r="E4975">
        <v>788</v>
      </c>
      <c r="F4975">
        <v>314</v>
      </c>
      <c r="G4975">
        <v>161</v>
      </c>
      <c r="H4975">
        <v>3457</v>
      </c>
      <c r="I4975" s="1">
        <v>45047</v>
      </c>
      <c r="J4975">
        <v>475</v>
      </c>
      <c r="K4975" t="s">
        <v>23</v>
      </c>
    </row>
    <row r="4976" spans="1:11">
      <c r="A4976" s="1">
        <v>45071</v>
      </c>
      <c r="B4976" t="s">
        <v>40</v>
      </c>
      <c r="C4976" t="s">
        <v>44</v>
      </c>
      <c r="D4976">
        <v>5593</v>
      </c>
      <c r="E4976">
        <v>2072</v>
      </c>
      <c r="F4976">
        <v>831</v>
      </c>
      <c r="G4976">
        <v>391</v>
      </c>
      <c r="H4976">
        <v>8887</v>
      </c>
      <c r="I4976" s="1">
        <v>45047</v>
      </c>
      <c r="J4976">
        <v>1222</v>
      </c>
      <c r="K4976" t="s">
        <v>23</v>
      </c>
    </row>
    <row r="4977" spans="1:11">
      <c r="A4977" s="1">
        <v>45071</v>
      </c>
      <c r="B4977" t="s">
        <v>40</v>
      </c>
      <c r="C4977" t="s">
        <v>59</v>
      </c>
      <c r="D4977">
        <v>13486</v>
      </c>
      <c r="E4977">
        <v>6075</v>
      </c>
      <c r="F4977">
        <v>3413</v>
      </c>
      <c r="G4977">
        <v>2981</v>
      </c>
      <c r="H4977">
        <v>25956</v>
      </c>
      <c r="I4977" s="1">
        <v>45047</v>
      </c>
      <c r="J4977">
        <v>6394</v>
      </c>
      <c r="K4977" t="s">
        <v>23</v>
      </c>
    </row>
    <row r="4978" spans="1:11">
      <c r="A4978" s="1">
        <v>45071</v>
      </c>
      <c r="B4978" t="s">
        <v>40</v>
      </c>
      <c r="C4978" t="s">
        <v>67</v>
      </c>
      <c r="D4978">
        <v>16201</v>
      </c>
      <c r="E4978">
        <v>7029</v>
      </c>
      <c r="F4978">
        <v>3463</v>
      </c>
      <c r="G4978">
        <v>4861</v>
      </c>
      <c r="H4978">
        <v>31554</v>
      </c>
      <c r="I4978" s="1">
        <v>45047</v>
      </c>
      <c r="J4978">
        <v>8324</v>
      </c>
      <c r="K4978" t="s">
        <v>23</v>
      </c>
    </row>
    <row r="4979" spans="1:11">
      <c r="A4979" s="1">
        <v>45071</v>
      </c>
      <c r="B4979" t="s">
        <v>40</v>
      </c>
      <c r="C4979" t="s">
        <v>49</v>
      </c>
      <c r="D4979">
        <v>2769</v>
      </c>
      <c r="E4979">
        <v>820</v>
      </c>
      <c r="F4979">
        <v>169</v>
      </c>
      <c r="G4979">
        <v>4</v>
      </c>
      <c r="H4979">
        <v>3762</v>
      </c>
      <c r="I4979" s="1">
        <v>45047</v>
      </c>
      <c r="J4979">
        <v>173</v>
      </c>
      <c r="K4979" t="s">
        <v>23</v>
      </c>
    </row>
    <row r="4980" spans="1:11">
      <c r="A4980" s="1">
        <v>45106</v>
      </c>
      <c r="B4980" t="s">
        <v>40</v>
      </c>
      <c r="C4980" t="s">
        <v>48</v>
      </c>
      <c r="D4980">
        <v>23814</v>
      </c>
      <c r="E4980">
        <v>7937</v>
      </c>
      <c r="F4980">
        <v>1375</v>
      </c>
      <c r="G4980">
        <v>8</v>
      </c>
      <c r="H4980">
        <v>33135</v>
      </c>
      <c r="I4980" s="1">
        <v>45078</v>
      </c>
      <c r="J4980">
        <v>1383</v>
      </c>
      <c r="K4980" t="s">
        <v>23</v>
      </c>
    </row>
    <row r="4981" spans="1:11">
      <c r="A4981" s="1">
        <v>45106</v>
      </c>
      <c r="B4981" t="s">
        <v>40</v>
      </c>
      <c r="C4981" t="s">
        <v>41</v>
      </c>
      <c r="D4981">
        <v>4629</v>
      </c>
      <c r="E4981">
        <v>2140</v>
      </c>
      <c r="F4981">
        <v>916</v>
      </c>
      <c r="G4981">
        <v>6</v>
      </c>
      <c r="H4981">
        <v>7692</v>
      </c>
      <c r="I4981" s="1">
        <v>45078</v>
      </c>
      <c r="J4981">
        <v>922</v>
      </c>
      <c r="K4981" t="s">
        <v>23</v>
      </c>
    </row>
    <row r="4982" spans="1:11">
      <c r="A4982" s="1">
        <v>45106</v>
      </c>
      <c r="B4982" t="s">
        <v>40</v>
      </c>
      <c r="C4982" t="s">
        <v>33</v>
      </c>
      <c r="D4982">
        <v>1681</v>
      </c>
      <c r="E4982">
        <v>648</v>
      </c>
      <c r="F4982">
        <v>248</v>
      </c>
      <c r="G4982">
        <v>198</v>
      </c>
      <c r="H4982">
        <v>2775</v>
      </c>
      <c r="I4982" s="1">
        <v>45078</v>
      </c>
      <c r="J4982">
        <v>446</v>
      </c>
      <c r="K4982" t="s">
        <v>23</v>
      </c>
    </row>
    <row r="4983" spans="1:11">
      <c r="A4983" s="1">
        <v>45106</v>
      </c>
      <c r="B4983" t="s">
        <v>40</v>
      </c>
      <c r="C4983" t="s">
        <v>65</v>
      </c>
      <c r="D4983">
        <v>13057</v>
      </c>
      <c r="E4983">
        <v>6404</v>
      </c>
      <c r="F4983">
        <v>4382</v>
      </c>
      <c r="G4983">
        <v>7290</v>
      </c>
      <c r="H4983">
        <v>31134</v>
      </c>
      <c r="I4983" s="1">
        <v>45078</v>
      </c>
      <c r="J4983">
        <v>11672</v>
      </c>
      <c r="K4983" t="s">
        <v>23</v>
      </c>
    </row>
    <row r="4984" spans="1:11">
      <c r="A4984" s="1">
        <v>45106</v>
      </c>
      <c r="B4984" t="s">
        <v>40</v>
      </c>
      <c r="C4984" t="s">
        <v>27</v>
      </c>
      <c r="D4984">
        <v>2733</v>
      </c>
      <c r="E4984">
        <v>924</v>
      </c>
      <c r="F4984">
        <v>433</v>
      </c>
      <c r="G4984">
        <v>612</v>
      </c>
      <c r="H4984">
        <v>4702</v>
      </c>
      <c r="I4984" s="1">
        <v>45078</v>
      </c>
      <c r="J4984">
        <v>1045</v>
      </c>
      <c r="K4984" t="s">
        <v>23</v>
      </c>
    </row>
    <row r="4985" spans="1:11">
      <c r="A4985" s="1">
        <v>45106</v>
      </c>
      <c r="B4985" t="s">
        <v>40</v>
      </c>
      <c r="C4985" t="s">
        <v>37</v>
      </c>
      <c r="D4985">
        <v>571</v>
      </c>
      <c r="E4985">
        <v>312</v>
      </c>
      <c r="F4985">
        <v>72</v>
      </c>
      <c r="G4985">
        <v>8</v>
      </c>
      <c r="H4985">
        <v>963</v>
      </c>
      <c r="I4985" s="1">
        <v>45078</v>
      </c>
      <c r="J4985">
        <v>80</v>
      </c>
      <c r="K4985" t="s">
        <v>23</v>
      </c>
    </row>
    <row r="4986" spans="1:11">
      <c r="A4986" s="1">
        <v>45106</v>
      </c>
      <c r="B4986" t="s">
        <v>40</v>
      </c>
      <c r="C4986" t="s">
        <v>66</v>
      </c>
      <c r="D4986">
        <v>20566</v>
      </c>
      <c r="E4986">
        <v>9731</v>
      </c>
      <c r="F4986">
        <v>5943</v>
      </c>
      <c r="G4986">
        <v>11619</v>
      </c>
      <c r="H4986">
        <v>47859</v>
      </c>
      <c r="I4986" s="1">
        <v>45078</v>
      </c>
      <c r="J4986">
        <v>17562</v>
      </c>
      <c r="K4986" t="s">
        <v>23</v>
      </c>
    </row>
    <row r="4987" spans="1:11">
      <c r="A4987" s="1">
        <v>45106</v>
      </c>
      <c r="B4987" t="s">
        <v>40</v>
      </c>
      <c r="C4987" t="s">
        <v>57</v>
      </c>
      <c r="D4987">
        <v>7441</v>
      </c>
      <c r="E4987">
        <v>2626</v>
      </c>
      <c r="F4987">
        <v>1553</v>
      </c>
      <c r="G4987">
        <v>3292</v>
      </c>
      <c r="H4987">
        <v>14913</v>
      </c>
      <c r="I4987" s="1">
        <v>45078</v>
      </c>
      <c r="J4987">
        <v>4845</v>
      </c>
      <c r="K4987" t="s">
        <v>23</v>
      </c>
    </row>
    <row r="4988" spans="1:11">
      <c r="A4988" s="1">
        <v>45106</v>
      </c>
      <c r="B4988" t="s">
        <v>40</v>
      </c>
      <c r="C4988" t="s">
        <v>28</v>
      </c>
      <c r="D4988">
        <v>2364</v>
      </c>
      <c r="E4988">
        <v>844</v>
      </c>
      <c r="F4988">
        <v>219</v>
      </c>
      <c r="G4988">
        <v>133</v>
      </c>
      <c r="H4988">
        <v>3560</v>
      </c>
      <c r="I4988" s="1">
        <v>45078</v>
      </c>
      <c r="J4988">
        <v>352</v>
      </c>
      <c r="K4988" t="s">
        <v>23</v>
      </c>
    </row>
    <row r="4989" spans="1:11">
      <c r="A4989" s="1">
        <v>45106</v>
      </c>
      <c r="B4989" t="s">
        <v>40</v>
      </c>
      <c r="C4989" t="s">
        <v>68</v>
      </c>
      <c r="D4989">
        <v>22311</v>
      </c>
      <c r="E4989">
        <v>6824</v>
      </c>
      <c r="F4989">
        <v>3067</v>
      </c>
      <c r="G4989">
        <v>7010</v>
      </c>
      <c r="H4989">
        <v>39213</v>
      </c>
      <c r="I4989" s="1">
        <v>45078</v>
      </c>
      <c r="J4989">
        <v>10077</v>
      </c>
      <c r="K4989" t="s">
        <v>23</v>
      </c>
    </row>
    <row r="4990" spans="1:11">
      <c r="A4990" s="1">
        <v>45106</v>
      </c>
      <c r="B4990" t="s">
        <v>40</v>
      </c>
      <c r="C4990" t="s">
        <v>47</v>
      </c>
      <c r="D4990">
        <v>4209</v>
      </c>
      <c r="E4990">
        <v>1865</v>
      </c>
      <c r="F4990">
        <v>901</v>
      </c>
      <c r="G4990">
        <v>1285</v>
      </c>
      <c r="H4990">
        <v>8260</v>
      </c>
      <c r="I4990" s="1">
        <v>45078</v>
      </c>
      <c r="J4990">
        <v>2186</v>
      </c>
      <c r="K4990" t="s">
        <v>23</v>
      </c>
    </row>
    <row r="4991" spans="1:11">
      <c r="A4991" s="1">
        <v>45106</v>
      </c>
      <c r="B4991" t="s">
        <v>40</v>
      </c>
      <c r="C4991" t="s">
        <v>25</v>
      </c>
      <c r="D4991">
        <v>3148</v>
      </c>
      <c r="E4991">
        <v>1169</v>
      </c>
      <c r="F4991">
        <v>600</v>
      </c>
      <c r="G4991">
        <v>1150</v>
      </c>
      <c r="H4991">
        <v>6068</v>
      </c>
      <c r="I4991" s="1">
        <v>45078</v>
      </c>
      <c r="J4991">
        <v>1750</v>
      </c>
      <c r="K4991" t="s">
        <v>23</v>
      </c>
    </row>
    <row r="4992" spans="1:11">
      <c r="A4992" s="1">
        <v>45106</v>
      </c>
      <c r="B4992" t="s">
        <v>40</v>
      </c>
      <c r="C4992" t="s">
        <v>51</v>
      </c>
      <c r="D4992">
        <v>4320</v>
      </c>
      <c r="E4992">
        <v>2117</v>
      </c>
      <c r="F4992">
        <v>1342</v>
      </c>
      <c r="G4992">
        <v>1367</v>
      </c>
      <c r="H4992">
        <v>9146</v>
      </c>
      <c r="I4992" s="1">
        <v>45078</v>
      </c>
      <c r="J4992">
        <v>2709</v>
      </c>
      <c r="K4992" t="s">
        <v>23</v>
      </c>
    </row>
    <row r="4993" spans="1:11">
      <c r="A4993" s="1">
        <v>45106</v>
      </c>
      <c r="B4993" t="s">
        <v>40</v>
      </c>
      <c r="C4993" t="s">
        <v>45</v>
      </c>
      <c r="D4993">
        <v>1998</v>
      </c>
      <c r="E4993">
        <v>1106</v>
      </c>
      <c r="F4993">
        <v>655</v>
      </c>
      <c r="G4993">
        <v>472</v>
      </c>
      <c r="H4993">
        <v>4231</v>
      </c>
      <c r="I4993" s="1">
        <v>45078</v>
      </c>
      <c r="J4993">
        <v>1127</v>
      </c>
      <c r="K4993" t="s">
        <v>23</v>
      </c>
    </row>
    <row r="4994" spans="1:11">
      <c r="A4994" s="1">
        <v>45106</v>
      </c>
      <c r="B4994" t="s">
        <v>40</v>
      </c>
      <c r="C4994" t="s">
        <v>43</v>
      </c>
      <c r="D4994">
        <v>7880</v>
      </c>
      <c r="E4994">
        <v>2964</v>
      </c>
      <c r="F4994">
        <v>693</v>
      </c>
      <c r="G4994">
        <v>190</v>
      </c>
      <c r="H4994">
        <v>11727</v>
      </c>
      <c r="I4994" s="1">
        <v>45078</v>
      </c>
      <c r="J4994">
        <v>883</v>
      </c>
      <c r="K4994" t="s">
        <v>23</v>
      </c>
    </row>
    <row r="4995" spans="1:11">
      <c r="A4995" s="1">
        <v>45106</v>
      </c>
      <c r="B4995" t="s">
        <v>40</v>
      </c>
      <c r="C4995" t="s">
        <v>39</v>
      </c>
      <c r="D4995">
        <v>5466</v>
      </c>
      <c r="E4995">
        <v>2168</v>
      </c>
      <c r="F4995">
        <v>1028</v>
      </c>
      <c r="G4995">
        <v>473</v>
      </c>
      <c r="H4995">
        <v>9135</v>
      </c>
      <c r="I4995" s="1">
        <v>45078</v>
      </c>
      <c r="J4995">
        <v>1501</v>
      </c>
      <c r="K4995" t="s">
        <v>23</v>
      </c>
    </row>
    <row r="4996" spans="1:11">
      <c r="A4996" s="1">
        <v>45106</v>
      </c>
      <c r="B4996" t="s">
        <v>40</v>
      </c>
      <c r="C4996" t="s">
        <v>54</v>
      </c>
      <c r="D4996">
        <v>2026</v>
      </c>
      <c r="E4996">
        <v>1506</v>
      </c>
      <c r="F4996">
        <v>271</v>
      </c>
      <c r="G4996">
        <v>75</v>
      </c>
      <c r="H4996">
        <v>3878</v>
      </c>
      <c r="I4996" s="1">
        <v>45078</v>
      </c>
      <c r="J4996">
        <v>346</v>
      </c>
      <c r="K4996" t="s">
        <v>23</v>
      </c>
    </row>
    <row r="4997" spans="1:11">
      <c r="A4997" s="1">
        <v>45106</v>
      </c>
      <c r="B4997" t="s">
        <v>40</v>
      </c>
      <c r="C4997" t="s">
        <v>35</v>
      </c>
      <c r="D4997">
        <v>425</v>
      </c>
      <c r="E4997">
        <v>242</v>
      </c>
      <c r="F4997">
        <v>94</v>
      </c>
      <c r="G4997">
        <v>29</v>
      </c>
      <c r="H4997">
        <v>790</v>
      </c>
      <c r="I4997" s="1">
        <v>45078</v>
      </c>
      <c r="J4997">
        <v>123</v>
      </c>
      <c r="K4997" t="s">
        <v>23</v>
      </c>
    </row>
    <row r="4998" spans="1:11">
      <c r="A4998" s="1">
        <v>45106</v>
      </c>
      <c r="B4998" t="s">
        <v>40</v>
      </c>
      <c r="C4998" t="s">
        <v>52</v>
      </c>
      <c r="D4998">
        <v>7569</v>
      </c>
      <c r="E4998">
        <v>3070</v>
      </c>
      <c r="F4998">
        <v>826</v>
      </c>
      <c r="G4998">
        <v>108</v>
      </c>
      <c r="H4998">
        <v>11574</v>
      </c>
      <c r="I4998" s="1">
        <v>45078</v>
      </c>
      <c r="J4998">
        <v>934</v>
      </c>
      <c r="K4998" t="s">
        <v>23</v>
      </c>
    </row>
    <row r="4999" spans="1:11">
      <c r="A4999" s="1">
        <v>45106</v>
      </c>
      <c r="B4999" t="s">
        <v>40</v>
      </c>
      <c r="C4999" t="s">
        <v>22</v>
      </c>
      <c r="D4999">
        <v>3576</v>
      </c>
      <c r="E4999">
        <v>1414</v>
      </c>
      <c r="F4999">
        <v>517</v>
      </c>
      <c r="G4999">
        <v>742</v>
      </c>
      <c r="H4999">
        <v>6249</v>
      </c>
      <c r="I4999" s="1">
        <v>45078</v>
      </c>
      <c r="J4999">
        <v>1259</v>
      </c>
      <c r="K4999" t="s">
        <v>23</v>
      </c>
    </row>
    <row r="5000" spans="1:11">
      <c r="A5000" s="1">
        <v>45106</v>
      </c>
      <c r="B5000" t="s">
        <v>40</v>
      </c>
      <c r="C5000" t="s">
        <v>46</v>
      </c>
      <c r="D5000">
        <v>1970</v>
      </c>
      <c r="E5000">
        <v>511</v>
      </c>
      <c r="F5000">
        <v>199</v>
      </c>
      <c r="G5000">
        <v>414</v>
      </c>
      <c r="H5000">
        <v>3095</v>
      </c>
      <c r="I5000" s="1">
        <v>45078</v>
      </c>
      <c r="J5000">
        <v>613</v>
      </c>
      <c r="K5000" t="s">
        <v>23</v>
      </c>
    </row>
    <row r="5001" spans="1:11">
      <c r="A5001" s="1">
        <v>45106</v>
      </c>
      <c r="B5001" t="s">
        <v>40</v>
      </c>
      <c r="C5001" t="s">
        <v>31</v>
      </c>
      <c r="D5001">
        <v>3468</v>
      </c>
      <c r="E5001">
        <v>1386</v>
      </c>
      <c r="F5001">
        <v>724</v>
      </c>
      <c r="G5001">
        <v>629</v>
      </c>
      <c r="H5001">
        <v>6207</v>
      </c>
      <c r="I5001" s="1">
        <v>45078</v>
      </c>
      <c r="J5001">
        <v>1353</v>
      </c>
      <c r="K5001" t="s">
        <v>23</v>
      </c>
    </row>
    <row r="5002" spans="1:11">
      <c r="A5002" s="1">
        <v>45106</v>
      </c>
      <c r="B5002" t="s">
        <v>40</v>
      </c>
      <c r="C5002" t="s">
        <v>63</v>
      </c>
      <c r="D5002">
        <v>5339</v>
      </c>
      <c r="E5002">
        <v>2353</v>
      </c>
      <c r="F5002">
        <v>1821</v>
      </c>
      <c r="G5002">
        <v>2919</v>
      </c>
      <c r="H5002">
        <v>12432</v>
      </c>
      <c r="I5002" s="1">
        <v>45078</v>
      </c>
      <c r="J5002">
        <v>4740</v>
      </c>
      <c r="K5002" t="s">
        <v>23</v>
      </c>
    </row>
    <row r="5003" spans="1:11">
      <c r="A5003" s="1">
        <v>45106</v>
      </c>
      <c r="B5003" t="s">
        <v>40</v>
      </c>
      <c r="C5003" t="s">
        <v>60</v>
      </c>
      <c r="D5003">
        <v>8292</v>
      </c>
      <c r="E5003">
        <v>3259</v>
      </c>
      <c r="F5003">
        <v>1737</v>
      </c>
      <c r="G5003">
        <v>2487</v>
      </c>
      <c r="H5003">
        <v>15775</v>
      </c>
      <c r="I5003" s="1">
        <v>45078</v>
      </c>
      <c r="J5003">
        <v>4224</v>
      </c>
      <c r="K5003" t="s">
        <v>23</v>
      </c>
    </row>
    <row r="5004" spans="1:11">
      <c r="A5004" s="1">
        <v>45106</v>
      </c>
      <c r="B5004" t="s">
        <v>40</v>
      </c>
      <c r="C5004" t="s">
        <v>61</v>
      </c>
      <c r="D5004">
        <v>10553</v>
      </c>
      <c r="E5004">
        <v>4886</v>
      </c>
      <c r="F5004">
        <v>2827</v>
      </c>
      <c r="G5004">
        <v>5613</v>
      </c>
      <c r="H5004">
        <v>23879</v>
      </c>
      <c r="I5004" s="1">
        <v>45078</v>
      </c>
      <c r="J5004">
        <v>8440</v>
      </c>
      <c r="K5004" t="s">
        <v>23</v>
      </c>
    </row>
    <row r="5005" spans="1:11">
      <c r="A5005" s="1">
        <v>45106</v>
      </c>
      <c r="B5005" t="s">
        <v>40</v>
      </c>
      <c r="C5005" t="s">
        <v>62</v>
      </c>
      <c r="D5005">
        <v>2403</v>
      </c>
      <c r="E5005">
        <v>1802</v>
      </c>
      <c r="F5005">
        <v>1535</v>
      </c>
      <c r="G5005">
        <v>3004</v>
      </c>
      <c r="H5005">
        <v>8745</v>
      </c>
      <c r="I5005" s="1">
        <v>45078</v>
      </c>
      <c r="J5005">
        <v>4539</v>
      </c>
      <c r="K5005" t="s">
        <v>23</v>
      </c>
    </row>
    <row r="5006" spans="1:11">
      <c r="A5006" s="1">
        <v>45106</v>
      </c>
      <c r="B5006" t="s">
        <v>40</v>
      </c>
      <c r="C5006" t="s">
        <v>69</v>
      </c>
      <c r="D5006">
        <v>15974</v>
      </c>
      <c r="E5006">
        <v>5072</v>
      </c>
      <c r="F5006">
        <v>2023</v>
      </c>
      <c r="G5006">
        <v>2298</v>
      </c>
      <c r="H5006">
        <v>25367</v>
      </c>
      <c r="I5006" s="1">
        <v>45078</v>
      </c>
      <c r="J5006">
        <v>4321</v>
      </c>
      <c r="K5006" t="s">
        <v>23</v>
      </c>
    </row>
    <row r="5007" spans="1:11">
      <c r="A5007" s="1">
        <v>45106</v>
      </c>
      <c r="B5007" t="s">
        <v>40</v>
      </c>
      <c r="C5007" t="s">
        <v>24</v>
      </c>
      <c r="D5007">
        <v>652</v>
      </c>
      <c r="E5007">
        <v>219</v>
      </c>
      <c r="F5007">
        <v>238</v>
      </c>
      <c r="G5007">
        <v>101</v>
      </c>
      <c r="H5007">
        <v>1210</v>
      </c>
      <c r="I5007" s="1">
        <v>45078</v>
      </c>
      <c r="J5007">
        <v>339</v>
      </c>
      <c r="K5007" t="s">
        <v>23</v>
      </c>
    </row>
    <row r="5008" spans="1:11">
      <c r="A5008" s="1">
        <v>45106</v>
      </c>
      <c r="B5008" t="s">
        <v>40</v>
      </c>
      <c r="C5008" t="s">
        <v>29</v>
      </c>
      <c r="D5008">
        <v>3724</v>
      </c>
      <c r="E5008">
        <v>1103</v>
      </c>
      <c r="F5008">
        <v>372</v>
      </c>
      <c r="G5008">
        <v>16</v>
      </c>
      <c r="H5008">
        <v>5216</v>
      </c>
      <c r="I5008" s="1">
        <v>45078</v>
      </c>
      <c r="J5008">
        <v>388</v>
      </c>
      <c r="K5008" t="s">
        <v>23</v>
      </c>
    </row>
    <row r="5009" spans="1:11">
      <c r="A5009" s="1">
        <v>45106</v>
      </c>
      <c r="B5009" t="s">
        <v>40</v>
      </c>
      <c r="C5009" t="s">
        <v>70</v>
      </c>
      <c r="D5009">
        <v>2709</v>
      </c>
      <c r="E5009">
        <v>942</v>
      </c>
      <c r="F5009">
        <v>279</v>
      </c>
      <c r="G5009">
        <v>218</v>
      </c>
      <c r="H5009">
        <v>4148</v>
      </c>
      <c r="I5009" s="1">
        <v>45078</v>
      </c>
      <c r="J5009">
        <v>497</v>
      </c>
      <c r="K5009" t="s">
        <v>23</v>
      </c>
    </row>
    <row r="5010" spans="1:11">
      <c r="A5010" s="1">
        <v>45106</v>
      </c>
      <c r="B5010" t="s">
        <v>40</v>
      </c>
      <c r="C5010" t="s">
        <v>71</v>
      </c>
      <c r="D5010">
        <v>17760</v>
      </c>
      <c r="E5010">
        <v>5404</v>
      </c>
      <c r="F5010">
        <v>1284</v>
      </c>
      <c r="G5010">
        <v>543</v>
      </c>
      <c r="H5010">
        <v>24992</v>
      </c>
      <c r="I5010" s="1">
        <v>45078</v>
      </c>
      <c r="J5010">
        <v>1827</v>
      </c>
      <c r="K5010" t="s">
        <v>23</v>
      </c>
    </row>
    <row r="5011" spans="1:11">
      <c r="A5011" s="1">
        <v>45106</v>
      </c>
      <c r="B5011" t="s">
        <v>40</v>
      </c>
      <c r="C5011" t="s">
        <v>36</v>
      </c>
      <c r="D5011">
        <v>13397</v>
      </c>
      <c r="E5011">
        <v>8359</v>
      </c>
      <c r="F5011">
        <v>5230</v>
      </c>
      <c r="G5011">
        <v>8077</v>
      </c>
      <c r="H5011">
        <v>35064</v>
      </c>
      <c r="I5011" s="1">
        <v>45078</v>
      </c>
      <c r="J5011">
        <v>13307</v>
      </c>
      <c r="K5011" t="s">
        <v>23</v>
      </c>
    </row>
    <row r="5012" spans="1:11">
      <c r="A5012" s="1">
        <v>45106</v>
      </c>
      <c r="B5012" t="s">
        <v>40</v>
      </c>
      <c r="C5012" t="s">
        <v>32</v>
      </c>
      <c r="D5012">
        <v>2273</v>
      </c>
      <c r="E5012">
        <v>644</v>
      </c>
      <c r="F5012">
        <v>291</v>
      </c>
      <c r="G5012">
        <v>137</v>
      </c>
      <c r="H5012">
        <v>3345</v>
      </c>
      <c r="I5012" s="1">
        <v>45078</v>
      </c>
      <c r="J5012">
        <v>428</v>
      </c>
      <c r="K5012" t="s">
        <v>23</v>
      </c>
    </row>
    <row r="5013" spans="1:11">
      <c r="A5013" s="1">
        <v>45106</v>
      </c>
      <c r="B5013" t="s">
        <v>40</v>
      </c>
      <c r="C5013" t="s">
        <v>44</v>
      </c>
      <c r="D5013">
        <v>5615</v>
      </c>
      <c r="E5013">
        <v>1840</v>
      </c>
      <c r="F5013">
        <v>841</v>
      </c>
      <c r="G5013">
        <v>416</v>
      </c>
      <c r="H5013">
        <v>8712</v>
      </c>
      <c r="I5013" s="1">
        <v>45078</v>
      </c>
      <c r="J5013">
        <v>1257</v>
      </c>
      <c r="K5013" t="s">
        <v>23</v>
      </c>
    </row>
    <row r="5014" spans="1:11">
      <c r="A5014" s="1">
        <v>45106</v>
      </c>
      <c r="B5014" t="s">
        <v>40</v>
      </c>
      <c r="C5014" t="s">
        <v>59</v>
      </c>
      <c r="D5014">
        <v>13889</v>
      </c>
      <c r="E5014">
        <v>5717</v>
      </c>
      <c r="F5014">
        <v>3016</v>
      </c>
      <c r="G5014">
        <v>2304</v>
      </c>
      <c r="H5014">
        <v>24927</v>
      </c>
      <c r="I5014" s="1">
        <v>45078</v>
      </c>
      <c r="J5014">
        <v>5320</v>
      </c>
      <c r="K5014" t="s">
        <v>23</v>
      </c>
    </row>
    <row r="5015" spans="1:11">
      <c r="A5015" s="1">
        <v>45106</v>
      </c>
      <c r="B5015" t="s">
        <v>40</v>
      </c>
      <c r="C5015" t="s">
        <v>67</v>
      </c>
      <c r="D5015">
        <v>16986</v>
      </c>
      <c r="E5015">
        <v>6430</v>
      </c>
      <c r="F5015">
        <v>3337</v>
      </c>
      <c r="G5015">
        <v>4713</v>
      </c>
      <c r="H5015">
        <v>31467</v>
      </c>
      <c r="I5015" s="1">
        <v>45078</v>
      </c>
      <c r="J5015">
        <v>8050</v>
      </c>
      <c r="K5015" t="s">
        <v>23</v>
      </c>
    </row>
    <row r="5016" spans="1:11">
      <c r="A5016" s="1">
        <v>45134</v>
      </c>
      <c r="B5016" t="s">
        <v>40</v>
      </c>
      <c r="C5016" t="s">
        <v>50</v>
      </c>
      <c r="D5016">
        <v>742</v>
      </c>
      <c r="E5016">
        <v>169</v>
      </c>
      <c r="F5016">
        <v>61</v>
      </c>
      <c r="G5016">
        <v>4</v>
      </c>
      <c r="H5016">
        <v>977</v>
      </c>
      <c r="I5016" s="1">
        <v>45108</v>
      </c>
      <c r="J5016">
        <v>65</v>
      </c>
      <c r="K5016" t="s">
        <v>23</v>
      </c>
    </row>
    <row r="5017" spans="1:11">
      <c r="A5017" s="1">
        <v>45134</v>
      </c>
      <c r="B5017" t="s">
        <v>40</v>
      </c>
      <c r="C5017" t="s">
        <v>48</v>
      </c>
      <c r="D5017">
        <v>24840</v>
      </c>
      <c r="E5017">
        <v>8652</v>
      </c>
      <c r="F5017">
        <v>1587</v>
      </c>
      <c r="G5017">
        <v>6</v>
      </c>
      <c r="H5017">
        <v>35086</v>
      </c>
      <c r="I5017" s="1">
        <v>45108</v>
      </c>
      <c r="J5017">
        <v>1593</v>
      </c>
      <c r="K5017" t="s">
        <v>23</v>
      </c>
    </row>
    <row r="5018" spans="1:11">
      <c r="A5018" s="1">
        <v>45134</v>
      </c>
      <c r="B5018" t="s">
        <v>40</v>
      </c>
      <c r="C5018" t="s">
        <v>41</v>
      </c>
      <c r="D5018">
        <v>4790</v>
      </c>
      <c r="E5018">
        <v>2112</v>
      </c>
      <c r="F5018">
        <v>984</v>
      </c>
      <c r="G5018">
        <v>9</v>
      </c>
      <c r="H5018">
        <v>7896</v>
      </c>
      <c r="I5018" s="1">
        <v>45108</v>
      </c>
      <c r="J5018">
        <v>993</v>
      </c>
      <c r="K5018" t="s">
        <v>23</v>
      </c>
    </row>
    <row r="5019" spans="1:11">
      <c r="A5019" s="1">
        <v>45134</v>
      </c>
      <c r="B5019" t="s">
        <v>40</v>
      </c>
      <c r="C5019" t="s">
        <v>33</v>
      </c>
      <c r="D5019">
        <v>1910</v>
      </c>
      <c r="E5019">
        <v>715</v>
      </c>
      <c r="F5019">
        <v>254</v>
      </c>
      <c r="G5019">
        <v>143</v>
      </c>
      <c r="H5019">
        <v>3022</v>
      </c>
      <c r="I5019" s="1">
        <v>45108</v>
      </c>
      <c r="J5019">
        <v>397</v>
      </c>
      <c r="K5019" t="s">
        <v>23</v>
      </c>
    </row>
    <row r="5020" spans="1:11">
      <c r="A5020" s="1">
        <v>45134</v>
      </c>
      <c r="B5020" t="s">
        <v>40</v>
      </c>
      <c r="C5020" t="s">
        <v>65</v>
      </c>
      <c r="D5020">
        <v>13519</v>
      </c>
      <c r="E5020">
        <v>6389</v>
      </c>
      <c r="F5020">
        <v>4349</v>
      </c>
      <c r="G5020">
        <v>7052</v>
      </c>
      <c r="H5020">
        <v>31309</v>
      </c>
      <c r="I5020" s="1">
        <v>45108</v>
      </c>
      <c r="J5020">
        <v>11401</v>
      </c>
      <c r="K5020" t="s">
        <v>23</v>
      </c>
    </row>
    <row r="5021" spans="1:11">
      <c r="A5021" s="1">
        <v>45134</v>
      </c>
      <c r="B5021" t="s">
        <v>40</v>
      </c>
      <c r="C5021" t="s">
        <v>27</v>
      </c>
      <c r="D5021">
        <v>2915</v>
      </c>
      <c r="E5021">
        <v>909</v>
      </c>
      <c r="F5021">
        <v>466</v>
      </c>
      <c r="G5021">
        <v>524</v>
      </c>
      <c r="H5021">
        <v>4814</v>
      </c>
      <c r="I5021" s="1">
        <v>45108</v>
      </c>
      <c r="J5021">
        <v>990</v>
      </c>
      <c r="K5021" t="s">
        <v>23</v>
      </c>
    </row>
    <row r="5022" spans="1:11">
      <c r="A5022" s="1">
        <v>45134</v>
      </c>
      <c r="B5022" t="s">
        <v>40</v>
      </c>
      <c r="C5022" t="s">
        <v>37</v>
      </c>
      <c r="D5022">
        <v>598</v>
      </c>
      <c r="E5022">
        <v>325</v>
      </c>
      <c r="F5022">
        <v>106</v>
      </c>
      <c r="G5022">
        <v>9</v>
      </c>
      <c r="H5022">
        <v>1039</v>
      </c>
      <c r="I5022" s="1">
        <v>45108</v>
      </c>
      <c r="J5022">
        <v>115</v>
      </c>
      <c r="K5022" t="s">
        <v>23</v>
      </c>
    </row>
    <row r="5023" spans="1:11">
      <c r="A5023" s="1">
        <v>45134</v>
      </c>
      <c r="B5023" t="s">
        <v>40</v>
      </c>
      <c r="C5023" t="s">
        <v>66</v>
      </c>
      <c r="D5023">
        <v>21129</v>
      </c>
      <c r="E5023">
        <v>8653</v>
      </c>
      <c r="F5023">
        <v>5987</v>
      </c>
      <c r="G5023">
        <v>10598</v>
      </c>
      <c r="H5023">
        <v>46368</v>
      </c>
      <c r="I5023" s="1">
        <v>45108</v>
      </c>
      <c r="J5023">
        <v>16585</v>
      </c>
      <c r="K5023" t="s">
        <v>23</v>
      </c>
    </row>
    <row r="5024" spans="1:11">
      <c r="A5024" s="1">
        <v>45134</v>
      </c>
      <c r="B5024" t="s">
        <v>40</v>
      </c>
      <c r="C5024" t="s">
        <v>57</v>
      </c>
      <c r="D5024">
        <v>7165</v>
      </c>
      <c r="E5024">
        <v>2285</v>
      </c>
      <c r="F5024">
        <v>1524</v>
      </c>
      <c r="G5024">
        <v>2792</v>
      </c>
      <c r="H5024">
        <v>13767</v>
      </c>
      <c r="I5024" s="1">
        <v>45108</v>
      </c>
      <c r="J5024">
        <v>4316</v>
      </c>
      <c r="K5024" t="s">
        <v>23</v>
      </c>
    </row>
    <row r="5025" spans="1:11">
      <c r="A5025" s="1">
        <v>45134</v>
      </c>
      <c r="B5025" t="s">
        <v>40</v>
      </c>
      <c r="C5025" t="s">
        <v>28</v>
      </c>
      <c r="D5025">
        <v>2283</v>
      </c>
      <c r="E5025">
        <v>947</v>
      </c>
      <c r="F5025">
        <v>236</v>
      </c>
      <c r="G5025">
        <v>141</v>
      </c>
      <c r="H5025">
        <v>3607</v>
      </c>
      <c r="I5025" s="1">
        <v>45108</v>
      </c>
      <c r="J5025">
        <v>377</v>
      </c>
      <c r="K5025" t="s">
        <v>23</v>
      </c>
    </row>
    <row r="5026" spans="1:11">
      <c r="A5026" s="1">
        <v>45134</v>
      </c>
      <c r="B5026" t="s">
        <v>40</v>
      </c>
      <c r="C5026" t="s">
        <v>68</v>
      </c>
      <c r="D5026">
        <v>22191</v>
      </c>
      <c r="E5026">
        <v>6879</v>
      </c>
      <c r="F5026">
        <v>3216</v>
      </c>
      <c r="G5026">
        <v>6670</v>
      </c>
      <c r="H5026">
        <v>38956</v>
      </c>
      <c r="I5026" s="1">
        <v>45108</v>
      </c>
      <c r="J5026">
        <v>9886</v>
      </c>
      <c r="K5026" t="s">
        <v>23</v>
      </c>
    </row>
    <row r="5027" spans="1:11">
      <c r="A5027" s="1">
        <v>45134</v>
      </c>
      <c r="B5027" t="s">
        <v>40</v>
      </c>
      <c r="C5027" t="s">
        <v>47</v>
      </c>
      <c r="D5027">
        <v>4251</v>
      </c>
      <c r="E5027">
        <v>1889</v>
      </c>
      <c r="F5027">
        <v>984</v>
      </c>
      <c r="G5027">
        <v>1268</v>
      </c>
      <c r="H5027">
        <v>8392</v>
      </c>
      <c r="I5027" s="1">
        <v>45108</v>
      </c>
      <c r="J5027">
        <v>2252</v>
      </c>
      <c r="K5027" t="s">
        <v>23</v>
      </c>
    </row>
    <row r="5028" spans="1:11">
      <c r="A5028" s="1">
        <v>45134</v>
      </c>
      <c r="B5028" t="s">
        <v>40</v>
      </c>
      <c r="C5028" t="s">
        <v>25</v>
      </c>
      <c r="D5028">
        <v>3280</v>
      </c>
      <c r="E5028">
        <v>1110</v>
      </c>
      <c r="F5028">
        <v>615</v>
      </c>
      <c r="G5028">
        <v>1186</v>
      </c>
      <c r="H5028">
        <v>6191</v>
      </c>
      <c r="I5028" s="1">
        <v>45108</v>
      </c>
      <c r="J5028">
        <v>1801</v>
      </c>
      <c r="K5028" t="s">
        <v>23</v>
      </c>
    </row>
    <row r="5029" spans="1:11">
      <c r="A5029" s="1">
        <v>45134</v>
      </c>
      <c r="B5029" t="s">
        <v>40</v>
      </c>
      <c r="C5029" t="s">
        <v>51</v>
      </c>
      <c r="D5029">
        <v>4458</v>
      </c>
      <c r="E5029">
        <v>1940</v>
      </c>
      <c r="F5029">
        <v>1456</v>
      </c>
      <c r="G5029">
        <v>1324</v>
      </c>
      <c r="H5029">
        <v>9179</v>
      </c>
      <c r="I5029" s="1">
        <v>45108</v>
      </c>
      <c r="J5029">
        <v>2780</v>
      </c>
      <c r="K5029" t="s">
        <v>23</v>
      </c>
    </row>
    <row r="5030" spans="1:11">
      <c r="A5030" s="1">
        <v>45134</v>
      </c>
      <c r="B5030" t="s">
        <v>40</v>
      </c>
      <c r="C5030" t="s">
        <v>45</v>
      </c>
      <c r="D5030">
        <v>2066</v>
      </c>
      <c r="E5030">
        <v>1063</v>
      </c>
      <c r="F5030">
        <v>671</v>
      </c>
      <c r="G5030">
        <v>514</v>
      </c>
      <c r="H5030">
        <v>4315</v>
      </c>
      <c r="I5030" s="1">
        <v>45108</v>
      </c>
      <c r="J5030">
        <v>1185</v>
      </c>
      <c r="K5030" t="s">
        <v>23</v>
      </c>
    </row>
    <row r="5031" spans="1:11">
      <c r="A5031" s="1">
        <v>45134</v>
      </c>
      <c r="B5031" t="s">
        <v>40</v>
      </c>
      <c r="C5031" t="s">
        <v>43</v>
      </c>
      <c r="D5031">
        <v>8538</v>
      </c>
      <c r="E5031">
        <v>2829</v>
      </c>
      <c r="F5031">
        <v>717</v>
      </c>
      <c r="G5031">
        <v>52</v>
      </c>
      <c r="H5031">
        <v>12136</v>
      </c>
      <c r="I5031" s="1">
        <v>45108</v>
      </c>
      <c r="J5031">
        <v>769</v>
      </c>
      <c r="K5031" t="s">
        <v>23</v>
      </c>
    </row>
    <row r="5032" spans="1:11">
      <c r="A5032" s="1">
        <v>45134</v>
      </c>
      <c r="B5032" t="s">
        <v>40</v>
      </c>
      <c r="C5032" t="s">
        <v>39</v>
      </c>
      <c r="D5032">
        <v>5673</v>
      </c>
      <c r="E5032">
        <v>2138</v>
      </c>
      <c r="F5032">
        <v>1063</v>
      </c>
      <c r="G5032">
        <v>377</v>
      </c>
      <c r="H5032">
        <v>9252</v>
      </c>
      <c r="I5032" s="1">
        <v>45108</v>
      </c>
      <c r="J5032">
        <v>1440</v>
      </c>
      <c r="K5032" t="s">
        <v>23</v>
      </c>
    </row>
    <row r="5033" spans="1:11">
      <c r="A5033" s="1">
        <v>45134</v>
      </c>
      <c r="B5033" t="s">
        <v>40</v>
      </c>
      <c r="C5033" t="s">
        <v>54</v>
      </c>
      <c r="D5033">
        <v>1774</v>
      </c>
      <c r="E5033">
        <v>1458</v>
      </c>
      <c r="F5033">
        <v>330</v>
      </c>
      <c r="G5033">
        <v>72</v>
      </c>
      <c r="H5033">
        <v>3634</v>
      </c>
      <c r="I5033" s="1">
        <v>45108</v>
      </c>
      <c r="J5033">
        <v>402</v>
      </c>
      <c r="K5033" t="s">
        <v>23</v>
      </c>
    </row>
    <row r="5034" spans="1:11">
      <c r="A5034" s="1">
        <v>45134</v>
      </c>
      <c r="B5034" t="s">
        <v>40</v>
      </c>
      <c r="C5034" t="s">
        <v>35</v>
      </c>
      <c r="D5034">
        <v>436</v>
      </c>
      <c r="E5034">
        <v>236</v>
      </c>
      <c r="F5034">
        <v>120</v>
      </c>
      <c r="G5034">
        <v>25</v>
      </c>
      <c r="H5034">
        <v>817</v>
      </c>
      <c r="I5034" s="1">
        <v>45108</v>
      </c>
      <c r="J5034">
        <v>145</v>
      </c>
      <c r="K5034" t="s">
        <v>23</v>
      </c>
    </row>
    <row r="5035" spans="1:11">
      <c r="A5035" s="1">
        <v>45134</v>
      </c>
      <c r="B5035" t="s">
        <v>40</v>
      </c>
      <c r="C5035" t="s">
        <v>52</v>
      </c>
      <c r="D5035">
        <v>7904</v>
      </c>
      <c r="E5035">
        <v>2704</v>
      </c>
      <c r="F5035">
        <v>772</v>
      </c>
      <c r="G5035">
        <v>75</v>
      </c>
      <c r="H5035">
        <v>11456</v>
      </c>
      <c r="I5035" s="1">
        <v>45108</v>
      </c>
      <c r="J5035">
        <v>847</v>
      </c>
      <c r="K5035" t="s">
        <v>23</v>
      </c>
    </row>
    <row r="5036" spans="1:11">
      <c r="A5036" s="1">
        <v>45134</v>
      </c>
      <c r="B5036" t="s">
        <v>40</v>
      </c>
      <c r="C5036" t="s">
        <v>22</v>
      </c>
      <c r="D5036">
        <v>3547</v>
      </c>
      <c r="E5036">
        <v>1268</v>
      </c>
      <c r="F5036">
        <v>439</v>
      </c>
      <c r="G5036">
        <v>636</v>
      </c>
      <c r="H5036">
        <v>5890</v>
      </c>
      <c r="I5036" s="1">
        <v>45108</v>
      </c>
      <c r="J5036">
        <v>1075</v>
      </c>
      <c r="K5036" t="s">
        <v>23</v>
      </c>
    </row>
    <row r="5037" spans="1:11">
      <c r="A5037" s="1">
        <v>45134</v>
      </c>
      <c r="B5037" t="s">
        <v>40</v>
      </c>
      <c r="C5037" t="s">
        <v>46</v>
      </c>
      <c r="D5037">
        <v>1990</v>
      </c>
      <c r="E5037">
        <v>483</v>
      </c>
      <c r="F5037">
        <v>193</v>
      </c>
      <c r="G5037">
        <v>357</v>
      </c>
      <c r="H5037">
        <v>3024</v>
      </c>
      <c r="I5037" s="1">
        <v>45108</v>
      </c>
      <c r="J5037">
        <v>550</v>
      </c>
      <c r="K5037" t="s">
        <v>23</v>
      </c>
    </row>
    <row r="5038" spans="1:11">
      <c r="A5038" s="1">
        <v>45134</v>
      </c>
      <c r="B5038" t="s">
        <v>40</v>
      </c>
      <c r="C5038" t="s">
        <v>31</v>
      </c>
      <c r="D5038">
        <v>3435</v>
      </c>
      <c r="E5038">
        <v>1306</v>
      </c>
      <c r="F5038">
        <v>776</v>
      </c>
      <c r="G5038">
        <v>475</v>
      </c>
      <c r="H5038">
        <v>5992</v>
      </c>
      <c r="I5038" s="1">
        <v>45108</v>
      </c>
      <c r="J5038">
        <v>1251</v>
      </c>
      <c r="K5038" t="s">
        <v>23</v>
      </c>
    </row>
    <row r="5039" spans="1:11">
      <c r="A5039" s="1">
        <v>45134</v>
      </c>
      <c r="B5039" t="s">
        <v>40</v>
      </c>
      <c r="C5039" t="s">
        <v>63</v>
      </c>
      <c r="D5039">
        <v>5461</v>
      </c>
      <c r="E5039">
        <v>2499</v>
      </c>
      <c r="F5039">
        <v>1846</v>
      </c>
      <c r="G5039">
        <v>2661</v>
      </c>
      <c r="H5039">
        <v>12467</v>
      </c>
      <c r="I5039" s="1">
        <v>45108</v>
      </c>
      <c r="J5039">
        <v>4507</v>
      </c>
      <c r="K5039" t="s">
        <v>23</v>
      </c>
    </row>
    <row r="5040" spans="1:11">
      <c r="A5040" s="1">
        <v>45134</v>
      </c>
      <c r="B5040" t="s">
        <v>40</v>
      </c>
      <c r="C5040" t="s">
        <v>60</v>
      </c>
      <c r="D5040">
        <v>8621</v>
      </c>
      <c r="E5040">
        <v>2934</v>
      </c>
      <c r="F5040">
        <v>1757</v>
      </c>
      <c r="G5040">
        <v>2398</v>
      </c>
      <c r="H5040">
        <v>15711</v>
      </c>
      <c r="I5040" s="1">
        <v>45108</v>
      </c>
      <c r="J5040">
        <v>4155</v>
      </c>
      <c r="K5040" t="s">
        <v>23</v>
      </c>
    </row>
    <row r="5041" spans="1:11">
      <c r="A5041" s="1">
        <v>45134</v>
      </c>
      <c r="B5041" t="s">
        <v>40</v>
      </c>
      <c r="C5041" t="s">
        <v>61</v>
      </c>
      <c r="D5041">
        <v>11018</v>
      </c>
      <c r="E5041">
        <v>4956</v>
      </c>
      <c r="F5041">
        <v>2982</v>
      </c>
      <c r="G5041">
        <v>5582</v>
      </c>
      <c r="H5041">
        <v>24539</v>
      </c>
      <c r="I5041" s="1">
        <v>45108</v>
      </c>
      <c r="J5041">
        <v>8564</v>
      </c>
      <c r="K5041" t="s">
        <v>23</v>
      </c>
    </row>
    <row r="5042" spans="1:11">
      <c r="A5042" s="1">
        <v>45134</v>
      </c>
      <c r="B5042" t="s">
        <v>40</v>
      </c>
      <c r="C5042" t="s">
        <v>62</v>
      </c>
      <c r="D5042">
        <v>2206</v>
      </c>
      <c r="E5042">
        <v>1659</v>
      </c>
      <c r="F5042">
        <v>1598</v>
      </c>
      <c r="G5042">
        <v>3115</v>
      </c>
      <c r="H5042">
        <v>8579</v>
      </c>
      <c r="I5042" s="1">
        <v>45108</v>
      </c>
      <c r="J5042">
        <v>4713</v>
      </c>
      <c r="K5042" t="s">
        <v>23</v>
      </c>
    </row>
    <row r="5043" spans="1:11">
      <c r="A5043" s="1">
        <v>45134</v>
      </c>
      <c r="B5043" t="s">
        <v>40</v>
      </c>
      <c r="C5043" t="s">
        <v>69</v>
      </c>
      <c r="D5043">
        <v>16879</v>
      </c>
      <c r="E5043">
        <v>4679</v>
      </c>
      <c r="F5043">
        <v>2163</v>
      </c>
      <c r="G5043">
        <v>2257</v>
      </c>
      <c r="H5043">
        <v>25978</v>
      </c>
      <c r="I5043" s="1">
        <v>45108</v>
      </c>
      <c r="J5043">
        <v>4420</v>
      </c>
      <c r="K5043" t="s">
        <v>23</v>
      </c>
    </row>
    <row r="5044" spans="1:11">
      <c r="A5044" s="1">
        <v>45134</v>
      </c>
      <c r="B5044" t="s">
        <v>40</v>
      </c>
      <c r="C5044" t="s">
        <v>24</v>
      </c>
      <c r="D5044">
        <v>605</v>
      </c>
      <c r="E5044">
        <v>213</v>
      </c>
      <c r="F5044">
        <v>171</v>
      </c>
      <c r="G5044">
        <v>106</v>
      </c>
      <c r="H5044">
        <v>1095</v>
      </c>
      <c r="I5044" s="1">
        <v>45108</v>
      </c>
      <c r="J5044">
        <v>277</v>
      </c>
      <c r="K5044" t="s">
        <v>23</v>
      </c>
    </row>
    <row r="5045" spans="1:11">
      <c r="A5045" s="1">
        <v>45134</v>
      </c>
      <c r="B5045" t="s">
        <v>40</v>
      </c>
      <c r="C5045" t="s">
        <v>29</v>
      </c>
      <c r="D5045">
        <v>3787</v>
      </c>
      <c r="E5045">
        <v>1068</v>
      </c>
      <c r="F5045">
        <v>418</v>
      </c>
      <c r="G5045">
        <v>10</v>
      </c>
      <c r="H5045">
        <v>5284</v>
      </c>
      <c r="I5045" s="1">
        <v>45108</v>
      </c>
      <c r="J5045">
        <v>428</v>
      </c>
      <c r="K5045" t="s">
        <v>23</v>
      </c>
    </row>
    <row r="5046" spans="1:11">
      <c r="A5046" s="1">
        <v>45134</v>
      </c>
      <c r="B5046" t="s">
        <v>40</v>
      </c>
      <c r="C5046" t="s">
        <v>70</v>
      </c>
      <c r="D5046">
        <v>2774</v>
      </c>
      <c r="E5046">
        <v>851</v>
      </c>
      <c r="F5046">
        <v>288</v>
      </c>
      <c r="G5046">
        <v>220</v>
      </c>
      <c r="H5046">
        <v>4134</v>
      </c>
      <c r="I5046" s="1">
        <v>45108</v>
      </c>
      <c r="J5046">
        <v>508</v>
      </c>
      <c r="K5046" t="s">
        <v>23</v>
      </c>
    </row>
    <row r="5047" spans="1:11">
      <c r="A5047" s="1">
        <v>45134</v>
      </c>
      <c r="B5047" t="s">
        <v>40</v>
      </c>
      <c r="C5047" t="s">
        <v>71</v>
      </c>
      <c r="D5047">
        <v>18229</v>
      </c>
      <c r="E5047">
        <v>5382</v>
      </c>
      <c r="F5047">
        <v>1409</v>
      </c>
      <c r="G5047">
        <v>429</v>
      </c>
      <c r="H5047">
        <v>25450</v>
      </c>
      <c r="I5047" s="1">
        <v>45108</v>
      </c>
      <c r="J5047">
        <v>1838</v>
      </c>
      <c r="K5047" t="s">
        <v>23</v>
      </c>
    </row>
    <row r="5048" spans="1:11">
      <c r="A5048" s="1">
        <v>45134</v>
      </c>
      <c r="B5048" t="s">
        <v>40</v>
      </c>
      <c r="C5048" t="s">
        <v>36</v>
      </c>
      <c r="D5048">
        <v>13483</v>
      </c>
      <c r="E5048">
        <v>7955</v>
      </c>
      <c r="F5048">
        <v>5380</v>
      </c>
      <c r="G5048">
        <v>7577</v>
      </c>
      <c r="H5048">
        <v>34395</v>
      </c>
      <c r="I5048" s="1">
        <v>45108</v>
      </c>
      <c r="J5048">
        <v>12957</v>
      </c>
      <c r="K5048" t="s">
        <v>23</v>
      </c>
    </row>
    <row r="5049" spans="1:11">
      <c r="A5049" s="1">
        <v>45134</v>
      </c>
      <c r="B5049" t="s">
        <v>40</v>
      </c>
      <c r="C5049" t="s">
        <v>32</v>
      </c>
      <c r="D5049">
        <v>2404</v>
      </c>
      <c r="E5049">
        <v>637</v>
      </c>
      <c r="F5049">
        <v>289</v>
      </c>
      <c r="G5049">
        <v>123</v>
      </c>
      <c r="H5049">
        <v>3454</v>
      </c>
      <c r="I5049" s="1">
        <v>45108</v>
      </c>
      <c r="J5049">
        <v>412</v>
      </c>
      <c r="K5049" t="s">
        <v>23</v>
      </c>
    </row>
    <row r="5050" spans="1:11">
      <c r="A5050" s="1">
        <v>45134</v>
      </c>
      <c r="B5050" t="s">
        <v>40</v>
      </c>
      <c r="C5050" t="s">
        <v>44</v>
      </c>
      <c r="D5050">
        <v>6175</v>
      </c>
      <c r="E5050">
        <v>1641</v>
      </c>
      <c r="F5050">
        <v>814</v>
      </c>
      <c r="G5050">
        <v>345</v>
      </c>
      <c r="H5050">
        <v>8976</v>
      </c>
      <c r="I5050" s="1">
        <v>45108</v>
      </c>
      <c r="J5050">
        <v>1159</v>
      </c>
      <c r="K5050" t="s">
        <v>23</v>
      </c>
    </row>
    <row r="5051" spans="1:11">
      <c r="A5051" s="1">
        <v>45134</v>
      </c>
      <c r="B5051" t="s">
        <v>40</v>
      </c>
      <c r="C5051" t="s">
        <v>59</v>
      </c>
      <c r="D5051">
        <v>14505</v>
      </c>
      <c r="E5051">
        <v>5554</v>
      </c>
      <c r="F5051">
        <v>3072</v>
      </c>
      <c r="G5051">
        <v>2007</v>
      </c>
      <c r="H5051">
        <v>25139</v>
      </c>
      <c r="I5051" s="1">
        <v>45108</v>
      </c>
      <c r="J5051">
        <v>5079</v>
      </c>
      <c r="K5051" t="s">
        <v>23</v>
      </c>
    </row>
    <row r="5052" spans="1:11">
      <c r="A5052" s="1">
        <v>45134</v>
      </c>
      <c r="B5052" t="s">
        <v>40</v>
      </c>
      <c r="C5052" t="s">
        <v>67</v>
      </c>
      <c r="D5052">
        <v>18063</v>
      </c>
      <c r="E5052">
        <v>6502</v>
      </c>
      <c r="F5052">
        <v>3556</v>
      </c>
      <c r="G5052">
        <v>4772</v>
      </c>
      <c r="H5052">
        <v>32894</v>
      </c>
      <c r="I5052" s="1">
        <v>45108</v>
      </c>
      <c r="J5052">
        <v>8328</v>
      </c>
      <c r="K5052" t="s">
        <v>23</v>
      </c>
    </row>
    <row r="5053" spans="1:11">
      <c r="A5053" s="1">
        <v>45134</v>
      </c>
      <c r="B5053" t="s">
        <v>40</v>
      </c>
      <c r="C5053" t="s">
        <v>49</v>
      </c>
      <c r="D5053">
        <v>2986</v>
      </c>
      <c r="E5053">
        <v>750</v>
      </c>
      <c r="F5053">
        <v>223</v>
      </c>
      <c r="G5053">
        <v>18</v>
      </c>
      <c r="H5053">
        <v>3978</v>
      </c>
      <c r="I5053" s="1">
        <v>45108</v>
      </c>
      <c r="J5053">
        <v>241</v>
      </c>
      <c r="K5053" t="s">
        <v>23</v>
      </c>
    </row>
    <row r="5054" spans="1:11">
      <c r="A5054" s="1">
        <v>45169</v>
      </c>
      <c r="B5054" t="s">
        <v>40</v>
      </c>
      <c r="C5054" t="s">
        <v>50</v>
      </c>
      <c r="D5054">
        <v>776</v>
      </c>
      <c r="E5054">
        <v>226</v>
      </c>
      <c r="F5054">
        <v>57</v>
      </c>
      <c r="G5054">
        <v>9</v>
      </c>
      <c r="H5054">
        <v>1068</v>
      </c>
      <c r="I5054" s="1">
        <v>45139</v>
      </c>
      <c r="J5054">
        <v>66</v>
      </c>
      <c r="K5054" t="s">
        <v>23</v>
      </c>
    </row>
    <row r="5055" spans="1:11">
      <c r="A5055" s="1">
        <v>45169</v>
      </c>
      <c r="B5055" t="s">
        <v>40</v>
      </c>
      <c r="C5055" t="s">
        <v>48</v>
      </c>
      <c r="D5055">
        <v>24655</v>
      </c>
      <c r="E5055">
        <v>9575</v>
      </c>
      <c r="F5055">
        <v>1888</v>
      </c>
      <c r="G5055">
        <v>23</v>
      </c>
      <c r="H5055">
        <v>36141</v>
      </c>
      <c r="I5055" s="1">
        <v>45139</v>
      </c>
      <c r="J5055">
        <v>1911</v>
      </c>
      <c r="K5055" t="s">
        <v>23</v>
      </c>
    </row>
    <row r="5056" spans="1:11">
      <c r="A5056" s="1">
        <v>45169</v>
      </c>
      <c r="B5056" t="s">
        <v>40</v>
      </c>
      <c r="C5056" t="s">
        <v>41</v>
      </c>
      <c r="D5056">
        <v>4871</v>
      </c>
      <c r="E5056">
        <v>2529</v>
      </c>
      <c r="F5056">
        <v>910</v>
      </c>
      <c r="G5056">
        <v>19</v>
      </c>
      <c r="H5056">
        <v>8329</v>
      </c>
      <c r="I5056" s="1">
        <v>45139</v>
      </c>
      <c r="J5056">
        <v>929</v>
      </c>
      <c r="K5056" t="s">
        <v>23</v>
      </c>
    </row>
    <row r="5057" spans="1:11">
      <c r="A5057" s="1">
        <v>45169</v>
      </c>
      <c r="B5057" t="s">
        <v>40</v>
      </c>
      <c r="C5057" t="s">
        <v>55</v>
      </c>
      <c r="D5057">
        <v>4869</v>
      </c>
      <c r="E5057">
        <v>280</v>
      </c>
      <c r="F5057">
        <v>202</v>
      </c>
      <c r="G5057">
        <v>6</v>
      </c>
      <c r="H5057">
        <v>5357</v>
      </c>
      <c r="I5057" s="1">
        <v>45139</v>
      </c>
      <c r="J5057">
        <v>208</v>
      </c>
      <c r="K5057" t="s">
        <v>23</v>
      </c>
    </row>
    <row r="5058" spans="1:11">
      <c r="A5058" s="1">
        <v>45169</v>
      </c>
      <c r="B5058" t="s">
        <v>40</v>
      </c>
      <c r="C5058" t="s">
        <v>33</v>
      </c>
      <c r="D5058">
        <v>1758</v>
      </c>
      <c r="E5058">
        <v>778</v>
      </c>
      <c r="F5058">
        <v>297</v>
      </c>
      <c r="G5058">
        <v>87</v>
      </c>
      <c r="H5058">
        <v>2920</v>
      </c>
      <c r="I5058" s="1">
        <v>45139</v>
      </c>
      <c r="J5058">
        <v>384</v>
      </c>
      <c r="K5058" t="s">
        <v>23</v>
      </c>
    </row>
    <row r="5059" spans="1:11">
      <c r="A5059" s="1">
        <v>45169</v>
      </c>
      <c r="B5059" t="s">
        <v>40</v>
      </c>
      <c r="C5059" t="s">
        <v>65</v>
      </c>
      <c r="D5059">
        <v>13691</v>
      </c>
      <c r="E5059">
        <v>6569</v>
      </c>
      <c r="F5059">
        <v>4217</v>
      </c>
      <c r="G5059">
        <v>7135</v>
      </c>
      <c r="H5059">
        <v>31613</v>
      </c>
      <c r="I5059" s="1">
        <v>45139</v>
      </c>
      <c r="J5059">
        <v>11352</v>
      </c>
      <c r="K5059" t="s">
        <v>23</v>
      </c>
    </row>
    <row r="5060" spans="1:11">
      <c r="A5060" s="1">
        <v>45169</v>
      </c>
      <c r="B5060" t="s">
        <v>40</v>
      </c>
      <c r="C5060" t="s">
        <v>27</v>
      </c>
      <c r="D5060">
        <v>3072</v>
      </c>
      <c r="E5060">
        <v>931</v>
      </c>
      <c r="F5060">
        <v>448</v>
      </c>
      <c r="G5060">
        <v>397</v>
      </c>
      <c r="H5060">
        <v>4848</v>
      </c>
      <c r="I5060" s="1">
        <v>45139</v>
      </c>
      <c r="J5060">
        <v>845</v>
      </c>
      <c r="K5060" t="s">
        <v>23</v>
      </c>
    </row>
    <row r="5061" spans="1:11">
      <c r="A5061" s="1">
        <v>45169</v>
      </c>
      <c r="B5061" t="s">
        <v>40</v>
      </c>
      <c r="C5061" t="s">
        <v>37</v>
      </c>
      <c r="D5061">
        <v>532</v>
      </c>
      <c r="E5061">
        <v>303</v>
      </c>
      <c r="F5061">
        <v>129</v>
      </c>
      <c r="G5061">
        <v>4</v>
      </c>
      <c r="H5061">
        <v>968</v>
      </c>
      <c r="I5061" s="1">
        <v>45139</v>
      </c>
      <c r="J5061">
        <v>133</v>
      </c>
      <c r="K5061" t="s">
        <v>23</v>
      </c>
    </row>
    <row r="5062" spans="1:11">
      <c r="A5062" s="1">
        <v>45169</v>
      </c>
      <c r="B5062" t="s">
        <v>40</v>
      </c>
      <c r="C5062" t="s">
        <v>66</v>
      </c>
      <c r="D5062">
        <v>21179</v>
      </c>
      <c r="E5062">
        <v>9247</v>
      </c>
      <c r="F5062">
        <v>5707</v>
      </c>
      <c r="G5062">
        <v>9719</v>
      </c>
      <c r="H5062">
        <v>45852</v>
      </c>
      <c r="I5062" s="1">
        <v>45139</v>
      </c>
      <c r="J5062">
        <v>15426</v>
      </c>
      <c r="K5062" t="s">
        <v>23</v>
      </c>
    </row>
    <row r="5063" spans="1:11">
      <c r="A5063" s="1">
        <v>45169</v>
      </c>
      <c r="B5063" t="s">
        <v>40</v>
      </c>
      <c r="C5063" t="s">
        <v>57</v>
      </c>
      <c r="D5063">
        <v>7196</v>
      </c>
      <c r="E5063">
        <v>2224</v>
      </c>
      <c r="F5063">
        <v>1463</v>
      </c>
      <c r="G5063">
        <v>2575</v>
      </c>
      <c r="H5063">
        <v>13459</v>
      </c>
      <c r="I5063" s="1">
        <v>45139</v>
      </c>
      <c r="J5063">
        <v>4038</v>
      </c>
      <c r="K5063" t="s">
        <v>23</v>
      </c>
    </row>
    <row r="5064" spans="1:11">
      <c r="A5064" s="1">
        <v>45169</v>
      </c>
      <c r="B5064" t="s">
        <v>40</v>
      </c>
      <c r="C5064" t="s">
        <v>28</v>
      </c>
      <c r="D5064">
        <v>2193</v>
      </c>
      <c r="E5064">
        <v>1063</v>
      </c>
      <c r="F5064">
        <v>227</v>
      </c>
      <c r="G5064">
        <v>164</v>
      </c>
      <c r="H5064">
        <v>3647</v>
      </c>
      <c r="I5064" s="1">
        <v>45139</v>
      </c>
      <c r="J5064">
        <v>391</v>
      </c>
      <c r="K5064" t="s">
        <v>23</v>
      </c>
    </row>
    <row r="5065" spans="1:11">
      <c r="A5065" s="1">
        <v>45169</v>
      </c>
      <c r="B5065" t="s">
        <v>40</v>
      </c>
      <c r="C5065" t="s">
        <v>68</v>
      </c>
      <c r="D5065">
        <v>22447</v>
      </c>
      <c r="E5065">
        <v>7148</v>
      </c>
      <c r="F5065">
        <v>3193</v>
      </c>
      <c r="G5065">
        <v>6360</v>
      </c>
      <c r="H5065">
        <v>39149</v>
      </c>
      <c r="I5065" s="1">
        <v>45139</v>
      </c>
      <c r="J5065">
        <v>9553</v>
      </c>
      <c r="K5065" t="s">
        <v>23</v>
      </c>
    </row>
    <row r="5066" spans="1:11">
      <c r="A5066" s="1">
        <v>45169</v>
      </c>
      <c r="B5066" t="s">
        <v>40</v>
      </c>
      <c r="C5066" t="s">
        <v>47</v>
      </c>
      <c r="D5066">
        <v>4041</v>
      </c>
      <c r="E5066">
        <v>1951</v>
      </c>
      <c r="F5066">
        <v>950</v>
      </c>
      <c r="G5066">
        <v>1070</v>
      </c>
      <c r="H5066">
        <v>8012</v>
      </c>
      <c r="I5066" s="1">
        <v>45139</v>
      </c>
      <c r="J5066">
        <v>2020</v>
      </c>
      <c r="K5066" t="s">
        <v>23</v>
      </c>
    </row>
    <row r="5067" spans="1:11">
      <c r="A5067" s="1">
        <v>45169</v>
      </c>
      <c r="B5067" t="s">
        <v>40</v>
      </c>
      <c r="C5067" t="s">
        <v>25</v>
      </c>
      <c r="D5067">
        <v>3021</v>
      </c>
      <c r="E5067">
        <v>1163</v>
      </c>
      <c r="F5067">
        <v>609</v>
      </c>
      <c r="G5067">
        <v>1246</v>
      </c>
      <c r="H5067">
        <v>6040</v>
      </c>
      <c r="I5067" s="1">
        <v>45139</v>
      </c>
      <c r="J5067">
        <v>1855</v>
      </c>
      <c r="K5067" t="s">
        <v>23</v>
      </c>
    </row>
    <row r="5068" spans="1:11">
      <c r="A5068" s="1">
        <v>45169</v>
      </c>
      <c r="B5068" t="s">
        <v>40</v>
      </c>
      <c r="C5068" t="s">
        <v>51</v>
      </c>
      <c r="D5068">
        <v>4282</v>
      </c>
      <c r="E5068">
        <v>2066</v>
      </c>
      <c r="F5068">
        <v>1432</v>
      </c>
      <c r="G5068">
        <v>1507</v>
      </c>
      <c r="H5068">
        <v>9287</v>
      </c>
      <c r="I5068" s="1">
        <v>45139</v>
      </c>
      <c r="J5068">
        <v>2939</v>
      </c>
      <c r="K5068" t="s">
        <v>23</v>
      </c>
    </row>
    <row r="5069" spans="1:11">
      <c r="A5069" s="1">
        <v>45169</v>
      </c>
      <c r="B5069" t="s">
        <v>40</v>
      </c>
      <c r="C5069" t="s">
        <v>45</v>
      </c>
      <c r="D5069">
        <v>2136</v>
      </c>
      <c r="E5069">
        <v>1078</v>
      </c>
      <c r="F5069">
        <v>622</v>
      </c>
      <c r="G5069">
        <v>507</v>
      </c>
      <c r="H5069">
        <v>4343</v>
      </c>
      <c r="I5069" s="1">
        <v>45139</v>
      </c>
      <c r="J5069">
        <v>1129</v>
      </c>
      <c r="K5069" t="s">
        <v>23</v>
      </c>
    </row>
    <row r="5070" spans="1:11">
      <c r="A5070" s="1">
        <v>45169</v>
      </c>
      <c r="B5070" t="s">
        <v>40</v>
      </c>
      <c r="C5070" t="s">
        <v>39</v>
      </c>
      <c r="D5070">
        <v>5914</v>
      </c>
      <c r="E5070">
        <v>2289</v>
      </c>
      <c r="F5070">
        <v>1084</v>
      </c>
      <c r="G5070">
        <v>281</v>
      </c>
      <c r="H5070">
        <v>9568</v>
      </c>
      <c r="I5070" s="1">
        <v>45139</v>
      </c>
      <c r="J5070">
        <v>1365</v>
      </c>
      <c r="K5070" t="s">
        <v>23</v>
      </c>
    </row>
    <row r="5071" spans="1:11">
      <c r="A5071" s="1">
        <v>45169</v>
      </c>
      <c r="B5071" t="s">
        <v>40</v>
      </c>
      <c r="C5071" t="s">
        <v>54</v>
      </c>
      <c r="D5071">
        <v>2004</v>
      </c>
      <c r="E5071">
        <v>1474</v>
      </c>
      <c r="F5071">
        <v>313</v>
      </c>
      <c r="G5071">
        <v>68</v>
      </c>
      <c r="H5071">
        <v>3859</v>
      </c>
      <c r="I5071" s="1">
        <v>45139</v>
      </c>
      <c r="J5071">
        <v>381</v>
      </c>
      <c r="K5071" t="s">
        <v>23</v>
      </c>
    </row>
    <row r="5072" spans="1:11">
      <c r="A5072" s="1">
        <v>45169</v>
      </c>
      <c r="B5072" t="s">
        <v>40</v>
      </c>
      <c r="C5072" t="s">
        <v>52</v>
      </c>
      <c r="D5072">
        <v>7934</v>
      </c>
      <c r="E5072">
        <v>2689</v>
      </c>
      <c r="F5072">
        <v>686</v>
      </c>
      <c r="G5072">
        <v>93</v>
      </c>
      <c r="H5072">
        <v>11403</v>
      </c>
      <c r="I5072" s="1">
        <v>45139</v>
      </c>
      <c r="J5072">
        <v>779</v>
      </c>
      <c r="K5072" t="s">
        <v>23</v>
      </c>
    </row>
    <row r="5073" spans="1:11">
      <c r="A5073" s="1">
        <v>45169</v>
      </c>
      <c r="B5073" t="s">
        <v>40</v>
      </c>
      <c r="C5073" t="s">
        <v>22</v>
      </c>
      <c r="D5073">
        <v>3524</v>
      </c>
      <c r="E5073">
        <v>1358</v>
      </c>
      <c r="F5073">
        <v>397</v>
      </c>
      <c r="G5073">
        <v>610</v>
      </c>
      <c r="H5073">
        <v>5889</v>
      </c>
      <c r="I5073" s="1">
        <v>45139</v>
      </c>
      <c r="J5073">
        <v>1007</v>
      </c>
      <c r="K5073" t="s">
        <v>23</v>
      </c>
    </row>
    <row r="5074" spans="1:11">
      <c r="A5074" s="1">
        <v>45169</v>
      </c>
      <c r="B5074" t="s">
        <v>40</v>
      </c>
      <c r="C5074" t="s">
        <v>46</v>
      </c>
      <c r="D5074">
        <v>1929</v>
      </c>
      <c r="E5074">
        <v>459</v>
      </c>
      <c r="F5074">
        <v>146</v>
      </c>
      <c r="G5074">
        <v>243</v>
      </c>
      <c r="H5074">
        <v>2777</v>
      </c>
      <c r="I5074" s="1">
        <v>45139</v>
      </c>
      <c r="J5074">
        <v>389</v>
      </c>
      <c r="K5074" t="s">
        <v>23</v>
      </c>
    </row>
    <row r="5075" spans="1:11">
      <c r="A5075" s="1">
        <v>45169</v>
      </c>
      <c r="B5075" t="s">
        <v>40</v>
      </c>
      <c r="C5075" t="s">
        <v>31</v>
      </c>
      <c r="D5075">
        <v>3140</v>
      </c>
      <c r="E5075">
        <v>1339</v>
      </c>
      <c r="F5075">
        <v>710</v>
      </c>
      <c r="G5075">
        <v>418</v>
      </c>
      <c r="H5075">
        <v>5607</v>
      </c>
      <c r="I5075" s="1">
        <v>45139</v>
      </c>
      <c r="J5075">
        <v>1128</v>
      </c>
      <c r="K5075" t="s">
        <v>23</v>
      </c>
    </row>
    <row r="5076" spans="1:11">
      <c r="A5076" s="1">
        <v>45169</v>
      </c>
      <c r="B5076" t="s">
        <v>40</v>
      </c>
      <c r="C5076" t="s">
        <v>63</v>
      </c>
      <c r="D5076">
        <v>5194</v>
      </c>
      <c r="E5076">
        <v>2646</v>
      </c>
      <c r="F5076">
        <v>1827</v>
      </c>
      <c r="G5076">
        <v>2677</v>
      </c>
      <c r="H5076">
        <v>12344</v>
      </c>
      <c r="I5076" s="1">
        <v>45139</v>
      </c>
      <c r="J5076">
        <v>4504</v>
      </c>
      <c r="K5076" t="s">
        <v>23</v>
      </c>
    </row>
    <row r="5077" spans="1:11">
      <c r="A5077" s="1">
        <v>45169</v>
      </c>
      <c r="B5077" t="s">
        <v>40</v>
      </c>
      <c r="C5077" t="s">
        <v>60</v>
      </c>
      <c r="D5077">
        <v>8313</v>
      </c>
      <c r="E5077">
        <v>2847</v>
      </c>
      <c r="F5077">
        <v>1748</v>
      </c>
      <c r="G5077">
        <v>2351</v>
      </c>
      <c r="H5077">
        <v>15259</v>
      </c>
      <c r="I5077" s="1">
        <v>45139</v>
      </c>
      <c r="J5077">
        <v>4099</v>
      </c>
      <c r="K5077" t="s">
        <v>23</v>
      </c>
    </row>
    <row r="5078" spans="1:11">
      <c r="A5078" s="1">
        <v>45169</v>
      </c>
      <c r="B5078" t="s">
        <v>40</v>
      </c>
      <c r="C5078" t="s">
        <v>61</v>
      </c>
      <c r="D5078">
        <v>10841</v>
      </c>
      <c r="E5078">
        <v>5193</v>
      </c>
      <c r="F5078">
        <v>2929</v>
      </c>
      <c r="G5078">
        <v>5761</v>
      </c>
      <c r="H5078">
        <v>24724</v>
      </c>
      <c r="I5078" s="1">
        <v>45139</v>
      </c>
      <c r="J5078">
        <v>8690</v>
      </c>
      <c r="K5078" t="s">
        <v>23</v>
      </c>
    </row>
    <row r="5079" spans="1:11">
      <c r="A5079" s="1">
        <v>45169</v>
      </c>
      <c r="B5079" t="s">
        <v>40</v>
      </c>
      <c r="C5079" t="s">
        <v>62</v>
      </c>
      <c r="D5079">
        <v>2290</v>
      </c>
      <c r="E5079">
        <v>1632</v>
      </c>
      <c r="F5079">
        <v>1639</v>
      </c>
      <c r="G5079">
        <v>3266</v>
      </c>
      <c r="H5079">
        <v>8828</v>
      </c>
      <c r="I5079" s="1">
        <v>45139</v>
      </c>
      <c r="J5079">
        <v>4905</v>
      </c>
      <c r="K5079" t="s">
        <v>23</v>
      </c>
    </row>
    <row r="5080" spans="1:11">
      <c r="A5080" s="1">
        <v>45169</v>
      </c>
      <c r="B5080" t="s">
        <v>40</v>
      </c>
      <c r="C5080" t="s">
        <v>69</v>
      </c>
      <c r="D5080">
        <v>17036</v>
      </c>
      <c r="E5080">
        <v>4844</v>
      </c>
      <c r="F5080">
        <v>2043</v>
      </c>
      <c r="G5080">
        <v>2044</v>
      </c>
      <c r="H5080">
        <v>25968</v>
      </c>
      <c r="I5080" s="1">
        <v>45139</v>
      </c>
      <c r="J5080">
        <v>4087</v>
      </c>
      <c r="K5080" t="s">
        <v>23</v>
      </c>
    </row>
    <row r="5081" spans="1:11">
      <c r="A5081" s="1">
        <v>45169</v>
      </c>
      <c r="B5081" t="s">
        <v>40</v>
      </c>
      <c r="C5081" t="s">
        <v>24</v>
      </c>
      <c r="D5081">
        <v>600</v>
      </c>
      <c r="E5081">
        <v>203</v>
      </c>
      <c r="F5081">
        <v>153</v>
      </c>
      <c r="G5081">
        <v>100</v>
      </c>
      <c r="H5081">
        <v>1056</v>
      </c>
      <c r="I5081" s="1">
        <v>45139</v>
      </c>
      <c r="J5081">
        <v>253</v>
      </c>
      <c r="K5081" t="s">
        <v>23</v>
      </c>
    </row>
    <row r="5082" spans="1:11">
      <c r="A5082" s="1">
        <v>45169</v>
      </c>
      <c r="B5082" t="s">
        <v>40</v>
      </c>
      <c r="C5082" t="s">
        <v>29</v>
      </c>
      <c r="D5082">
        <v>3805</v>
      </c>
      <c r="E5082">
        <v>1119</v>
      </c>
      <c r="F5082">
        <v>391</v>
      </c>
      <c r="G5082">
        <v>23</v>
      </c>
      <c r="H5082">
        <v>5338</v>
      </c>
      <c r="I5082" s="1">
        <v>45139</v>
      </c>
      <c r="J5082">
        <v>414</v>
      </c>
      <c r="K5082" t="s">
        <v>23</v>
      </c>
    </row>
    <row r="5083" spans="1:11">
      <c r="A5083" s="1">
        <v>45169</v>
      </c>
      <c r="B5083" t="s">
        <v>40</v>
      </c>
      <c r="C5083" t="s">
        <v>70</v>
      </c>
      <c r="D5083">
        <v>2634</v>
      </c>
      <c r="E5083">
        <v>831</v>
      </c>
      <c r="F5083">
        <v>322</v>
      </c>
      <c r="G5083">
        <v>256</v>
      </c>
      <c r="H5083">
        <v>4043</v>
      </c>
      <c r="I5083" s="1">
        <v>45139</v>
      </c>
      <c r="J5083">
        <v>578</v>
      </c>
      <c r="K5083" t="s">
        <v>23</v>
      </c>
    </row>
    <row r="5084" spans="1:11">
      <c r="A5084" s="1">
        <v>45169</v>
      </c>
      <c r="B5084" t="s">
        <v>40</v>
      </c>
      <c r="C5084" t="s">
        <v>71</v>
      </c>
      <c r="D5084">
        <v>18271</v>
      </c>
      <c r="E5084">
        <v>5569</v>
      </c>
      <c r="F5084">
        <v>1465</v>
      </c>
      <c r="G5084">
        <v>366</v>
      </c>
      <c r="H5084">
        <v>25672</v>
      </c>
      <c r="I5084" s="1">
        <v>45139</v>
      </c>
      <c r="J5084">
        <v>1831</v>
      </c>
      <c r="K5084" t="s">
        <v>23</v>
      </c>
    </row>
    <row r="5085" spans="1:11">
      <c r="A5085" s="1">
        <v>45169</v>
      </c>
      <c r="B5085" t="s">
        <v>40</v>
      </c>
      <c r="C5085" t="s">
        <v>36</v>
      </c>
      <c r="D5085">
        <v>13221</v>
      </c>
      <c r="E5085">
        <v>8217</v>
      </c>
      <c r="F5085">
        <v>5255</v>
      </c>
      <c r="G5085">
        <v>7234</v>
      </c>
      <c r="H5085">
        <v>33928</v>
      </c>
      <c r="I5085" s="1">
        <v>45139</v>
      </c>
      <c r="J5085">
        <v>12489</v>
      </c>
      <c r="K5085" t="s">
        <v>23</v>
      </c>
    </row>
    <row r="5086" spans="1:11">
      <c r="A5086" s="1">
        <v>45169</v>
      </c>
      <c r="B5086" t="s">
        <v>40</v>
      </c>
      <c r="C5086" t="s">
        <v>32</v>
      </c>
      <c r="D5086">
        <v>2455</v>
      </c>
      <c r="E5086">
        <v>715</v>
      </c>
      <c r="F5086">
        <v>278</v>
      </c>
      <c r="G5086">
        <v>122</v>
      </c>
      <c r="H5086">
        <v>3570</v>
      </c>
      <c r="I5086" s="1">
        <v>45139</v>
      </c>
      <c r="J5086">
        <v>400</v>
      </c>
      <c r="K5086" t="s">
        <v>23</v>
      </c>
    </row>
    <row r="5087" spans="1:11">
      <c r="A5087" s="1">
        <v>45169</v>
      </c>
      <c r="B5087" t="s">
        <v>40</v>
      </c>
      <c r="C5087" t="s">
        <v>44</v>
      </c>
      <c r="D5087">
        <v>6245</v>
      </c>
      <c r="E5087">
        <v>1673</v>
      </c>
      <c r="F5087">
        <v>765</v>
      </c>
      <c r="G5087">
        <v>388</v>
      </c>
      <c r="H5087">
        <v>9071</v>
      </c>
      <c r="I5087" s="1">
        <v>45139</v>
      </c>
      <c r="J5087">
        <v>1153</v>
      </c>
      <c r="K5087" t="s">
        <v>23</v>
      </c>
    </row>
    <row r="5088" spans="1:11">
      <c r="A5088" s="1">
        <v>45169</v>
      </c>
      <c r="B5088" t="s">
        <v>40</v>
      </c>
      <c r="C5088" t="s">
        <v>59</v>
      </c>
      <c r="D5088">
        <v>14820</v>
      </c>
      <c r="E5088">
        <v>5410</v>
      </c>
      <c r="F5088">
        <v>2852</v>
      </c>
      <c r="G5088">
        <v>1411</v>
      </c>
      <c r="H5088">
        <v>24494</v>
      </c>
      <c r="I5088" s="1">
        <v>45139</v>
      </c>
      <c r="J5088">
        <v>4263</v>
      </c>
      <c r="K5088" t="s">
        <v>23</v>
      </c>
    </row>
    <row r="5089" spans="1:11">
      <c r="A5089" s="1">
        <v>45169</v>
      </c>
      <c r="B5089" t="s">
        <v>40</v>
      </c>
      <c r="C5089" t="s">
        <v>67</v>
      </c>
      <c r="D5089">
        <v>18014</v>
      </c>
      <c r="E5089">
        <v>7157</v>
      </c>
      <c r="F5089">
        <v>3597</v>
      </c>
      <c r="G5089">
        <v>4914</v>
      </c>
      <c r="H5089">
        <v>33682</v>
      </c>
      <c r="I5089" s="1">
        <v>45139</v>
      </c>
      <c r="J5089">
        <v>8511</v>
      </c>
      <c r="K5089" t="s">
        <v>23</v>
      </c>
    </row>
    <row r="5090" spans="1:11">
      <c r="A5090" s="1">
        <v>45169</v>
      </c>
      <c r="B5090" t="s">
        <v>40</v>
      </c>
      <c r="C5090" t="s">
        <v>49</v>
      </c>
      <c r="D5090">
        <v>2941</v>
      </c>
      <c r="E5090">
        <v>817</v>
      </c>
      <c r="F5090">
        <v>246</v>
      </c>
      <c r="G5090">
        <v>30</v>
      </c>
      <c r="H5090">
        <v>4034</v>
      </c>
      <c r="I5090" s="1">
        <v>45139</v>
      </c>
      <c r="J5090">
        <v>276</v>
      </c>
      <c r="K5090" t="s">
        <v>23</v>
      </c>
    </row>
    <row r="5091" spans="1:11">
      <c r="A5091" s="1">
        <v>45197</v>
      </c>
      <c r="B5091" t="s">
        <v>40</v>
      </c>
      <c r="C5091" t="s">
        <v>50</v>
      </c>
      <c r="D5091">
        <v>757</v>
      </c>
      <c r="E5091">
        <v>239</v>
      </c>
      <c r="F5091">
        <v>69</v>
      </c>
      <c r="G5091">
        <v>14</v>
      </c>
      <c r="H5091">
        <v>1078</v>
      </c>
      <c r="I5091" s="1">
        <v>45170</v>
      </c>
      <c r="J5091">
        <v>83</v>
      </c>
      <c r="K5091" t="s">
        <v>23</v>
      </c>
    </row>
    <row r="5092" spans="1:11">
      <c r="A5092" s="1">
        <v>45197</v>
      </c>
      <c r="B5092" t="s">
        <v>40</v>
      </c>
      <c r="C5092" t="s">
        <v>48</v>
      </c>
      <c r="D5092">
        <v>24828</v>
      </c>
      <c r="E5092">
        <v>9706</v>
      </c>
      <c r="F5092">
        <v>1618</v>
      </c>
      <c r="G5092">
        <v>30</v>
      </c>
      <c r="H5092">
        <v>36181</v>
      </c>
      <c r="I5092" s="1">
        <v>45170</v>
      </c>
      <c r="J5092">
        <v>1648</v>
      </c>
      <c r="K5092" t="s">
        <v>23</v>
      </c>
    </row>
    <row r="5093" spans="1:11">
      <c r="A5093" s="1">
        <v>45197</v>
      </c>
      <c r="B5093" t="s">
        <v>40</v>
      </c>
      <c r="C5093" t="s">
        <v>41</v>
      </c>
      <c r="D5093">
        <v>4965</v>
      </c>
      <c r="E5093">
        <v>2534</v>
      </c>
      <c r="F5093">
        <v>831</v>
      </c>
      <c r="G5093">
        <v>32</v>
      </c>
      <c r="H5093">
        <v>8361</v>
      </c>
      <c r="I5093" s="1">
        <v>45170</v>
      </c>
      <c r="J5093">
        <v>863</v>
      </c>
      <c r="K5093" t="s">
        <v>23</v>
      </c>
    </row>
    <row r="5094" spans="1:11">
      <c r="A5094" s="1">
        <v>45197</v>
      </c>
      <c r="B5094" t="s">
        <v>40</v>
      </c>
      <c r="C5094" t="s">
        <v>55</v>
      </c>
      <c r="D5094">
        <v>4689</v>
      </c>
      <c r="E5094">
        <v>251</v>
      </c>
      <c r="F5094">
        <v>231</v>
      </c>
      <c r="G5094">
        <v>12</v>
      </c>
      <c r="H5094">
        <v>5183</v>
      </c>
      <c r="I5094" s="1">
        <v>45170</v>
      </c>
      <c r="J5094">
        <v>243</v>
      </c>
      <c r="K5094" t="s">
        <v>23</v>
      </c>
    </row>
    <row r="5095" spans="1:11">
      <c r="A5095" s="1">
        <v>45197</v>
      </c>
      <c r="B5095" t="s">
        <v>40</v>
      </c>
      <c r="C5095" t="s">
        <v>33</v>
      </c>
      <c r="D5095">
        <v>1780</v>
      </c>
      <c r="E5095">
        <v>782</v>
      </c>
      <c r="F5095">
        <v>269</v>
      </c>
      <c r="G5095">
        <v>111</v>
      </c>
      <c r="H5095">
        <v>2942</v>
      </c>
      <c r="I5095" s="1">
        <v>45170</v>
      </c>
      <c r="J5095">
        <v>380</v>
      </c>
      <c r="K5095" t="s">
        <v>23</v>
      </c>
    </row>
    <row r="5096" spans="1:11">
      <c r="A5096" s="1">
        <v>45197</v>
      </c>
      <c r="B5096" t="s">
        <v>40</v>
      </c>
      <c r="C5096" t="s">
        <v>65</v>
      </c>
      <c r="D5096">
        <v>13530</v>
      </c>
      <c r="E5096">
        <v>6621</v>
      </c>
      <c r="F5096">
        <v>4171</v>
      </c>
      <c r="G5096">
        <v>6931</v>
      </c>
      <c r="H5096">
        <v>31253</v>
      </c>
      <c r="I5096" s="1">
        <v>45170</v>
      </c>
      <c r="J5096">
        <v>11102</v>
      </c>
      <c r="K5096" t="s">
        <v>23</v>
      </c>
    </row>
    <row r="5097" spans="1:11">
      <c r="A5097" s="1">
        <v>45197</v>
      </c>
      <c r="B5097" t="s">
        <v>40</v>
      </c>
      <c r="C5097" t="s">
        <v>27</v>
      </c>
      <c r="D5097">
        <v>3131</v>
      </c>
      <c r="E5097">
        <v>984</v>
      </c>
      <c r="F5097">
        <v>418</v>
      </c>
      <c r="G5097">
        <v>341</v>
      </c>
      <c r="H5097">
        <v>4874</v>
      </c>
      <c r="I5097" s="1">
        <v>45170</v>
      </c>
      <c r="J5097">
        <v>759</v>
      </c>
      <c r="K5097" t="s">
        <v>23</v>
      </c>
    </row>
    <row r="5098" spans="1:11">
      <c r="A5098" s="1">
        <v>45197</v>
      </c>
      <c r="B5098" t="s">
        <v>40</v>
      </c>
      <c r="C5098" t="s">
        <v>37</v>
      </c>
      <c r="D5098">
        <v>535</v>
      </c>
      <c r="E5098">
        <v>315</v>
      </c>
      <c r="F5098">
        <v>144</v>
      </c>
      <c r="G5098">
        <v>7</v>
      </c>
      <c r="H5098">
        <v>1001</v>
      </c>
      <c r="I5098" s="1">
        <v>45170</v>
      </c>
      <c r="J5098">
        <v>151</v>
      </c>
      <c r="K5098" t="s">
        <v>23</v>
      </c>
    </row>
    <row r="5099" spans="1:11">
      <c r="A5099" s="1">
        <v>45197</v>
      </c>
      <c r="B5099" t="s">
        <v>40</v>
      </c>
      <c r="C5099" t="s">
        <v>66</v>
      </c>
      <c r="D5099">
        <v>20608</v>
      </c>
      <c r="E5099">
        <v>9149</v>
      </c>
      <c r="F5099">
        <v>5800</v>
      </c>
      <c r="G5099">
        <v>9430</v>
      </c>
      <c r="H5099">
        <v>44986</v>
      </c>
      <c r="I5099" s="1">
        <v>45170</v>
      </c>
      <c r="J5099">
        <v>15230</v>
      </c>
      <c r="K5099" t="s">
        <v>23</v>
      </c>
    </row>
    <row r="5100" spans="1:11">
      <c r="A5100" s="1">
        <v>45197</v>
      </c>
      <c r="B5100" t="s">
        <v>40</v>
      </c>
      <c r="C5100" t="s">
        <v>57</v>
      </c>
      <c r="D5100">
        <v>7573</v>
      </c>
      <c r="E5100">
        <v>2175</v>
      </c>
      <c r="F5100">
        <v>1456</v>
      </c>
      <c r="G5100">
        <v>2364</v>
      </c>
      <c r="H5100">
        <v>13567</v>
      </c>
      <c r="I5100" s="1">
        <v>45170</v>
      </c>
      <c r="J5100">
        <v>3820</v>
      </c>
      <c r="K5100" t="s">
        <v>23</v>
      </c>
    </row>
    <row r="5101" spans="1:11">
      <c r="A5101" s="1">
        <v>45197</v>
      </c>
      <c r="B5101" t="s">
        <v>40</v>
      </c>
      <c r="C5101" t="s">
        <v>28</v>
      </c>
      <c r="D5101">
        <v>2126</v>
      </c>
      <c r="E5101">
        <v>1055</v>
      </c>
      <c r="F5101">
        <v>277</v>
      </c>
      <c r="G5101">
        <v>164</v>
      </c>
      <c r="H5101">
        <v>3622</v>
      </c>
      <c r="I5101" s="1">
        <v>45170</v>
      </c>
      <c r="J5101">
        <v>441</v>
      </c>
      <c r="K5101" t="s">
        <v>23</v>
      </c>
    </row>
    <row r="5102" spans="1:11">
      <c r="A5102" s="1">
        <v>45197</v>
      </c>
      <c r="B5102" t="s">
        <v>40</v>
      </c>
      <c r="C5102" t="s">
        <v>68</v>
      </c>
      <c r="D5102">
        <v>22569</v>
      </c>
      <c r="E5102">
        <v>7231</v>
      </c>
      <c r="F5102">
        <v>3176</v>
      </c>
      <c r="G5102">
        <v>6039</v>
      </c>
      <c r="H5102">
        <v>39014</v>
      </c>
      <c r="I5102" s="1">
        <v>45170</v>
      </c>
      <c r="J5102">
        <v>9215</v>
      </c>
      <c r="K5102" t="s">
        <v>23</v>
      </c>
    </row>
    <row r="5103" spans="1:11">
      <c r="A5103" s="1">
        <v>45197</v>
      </c>
      <c r="B5103" t="s">
        <v>40</v>
      </c>
      <c r="C5103" t="s">
        <v>47</v>
      </c>
      <c r="D5103">
        <v>4229</v>
      </c>
      <c r="E5103">
        <v>1912</v>
      </c>
      <c r="F5103">
        <v>785</v>
      </c>
      <c r="G5103">
        <v>1027</v>
      </c>
      <c r="H5103">
        <v>7953</v>
      </c>
      <c r="I5103" s="1">
        <v>45170</v>
      </c>
      <c r="J5103">
        <v>1812</v>
      </c>
      <c r="K5103" t="s">
        <v>23</v>
      </c>
    </row>
    <row r="5104" spans="1:11">
      <c r="A5104" s="1">
        <v>45197</v>
      </c>
      <c r="B5104" t="s">
        <v>40</v>
      </c>
      <c r="C5104" t="s">
        <v>25</v>
      </c>
      <c r="D5104">
        <v>3168</v>
      </c>
      <c r="E5104">
        <v>1179</v>
      </c>
      <c r="F5104">
        <v>518</v>
      </c>
      <c r="G5104">
        <v>1211</v>
      </c>
      <c r="H5104">
        <v>6076</v>
      </c>
      <c r="I5104" s="1">
        <v>45170</v>
      </c>
      <c r="J5104">
        <v>1729</v>
      </c>
      <c r="K5104" t="s">
        <v>23</v>
      </c>
    </row>
    <row r="5105" spans="1:11">
      <c r="A5105" s="1">
        <v>45197</v>
      </c>
      <c r="B5105" t="s">
        <v>40</v>
      </c>
      <c r="C5105" t="s">
        <v>51</v>
      </c>
      <c r="D5105">
        <v>4493</v>
      </c>
      <c r="E5105">
        <v>2151</v>
      </c>
      <c r="F5105">
        <v>1479</v>
      </c>
      <c r="G5105">
        <v>1573</v>
      </c>
      <c r="H5105">
        <v>9696</v>
      </c>
      <c r="I5105" s="1">
        <v>45170</v>
      </c>
      <c r="J5105">
        <v>3052</v>
      </c>
      <c r="K5105" t="s">
        <v>23</v>
      </c>
    </row>
    <row r="5106" spans="1:11">
      <c r="A5106" s="1">
        <v>45197</v>
      </c>
      <c r="B5106" t="s">
        <v>40</v>
      </c>
      <c r="C5106" t="s">
        <v>45</v>
      </c>
      <c r="D5106">
        <v>2299</v>
      </c>
      <c r="E5106">
        <v>1023</v>
      </c>
      <c r="F5106">
        <v>609</v>
      </c>
      <c r="G5106">
        <v>475</v>
      </c>
      <c r="H5106">
        <v>4405</v>
      </c>
      <c r="I5106" s="1">
        <v>45170</v>
      </c>
      <c r="J5106">
        <v>1084</v>
      </c>
      <c r="K5106" t="s">
        <v>23</v>
      </c>
    </row>
    <row r="5107" spans="1:11">
      <c r="A5107" s="1">
        <v>45197</v>
      </c>
      <c r="B5107" t="s">
        <v>40</v>
      </c>
      <c r="C5107" t="s">
        <v>39</v>
      </c>
      <c r="D5107">
        <v>6016</v>
      </c>
      <c r="E5107">
        <v>2293</v>
      </c>
      <c r="F5107">
        <v>1052</v>
      </c>
      <c r="G5107">
        <v>203</v>
      </c>
      <c r="H5107">
        <v>9563</v>
      </c>
      <c r="I5107" s="1">
        <v>45170</v>
      </c>
      <c r="J5107">
        <v>1255</v>
      </c>
      <c r="K5107" t="s">
        <v>23</v>
      </c>
    </row>
    <row r="5108" spans="1:11">
      <c r="A5108" s="1">
        <v>45197</v>
      </c>
      <c r="B5108" t="s">
        <v>40</v>
      </c>
      <c r="C5108" t="s">
        <v>54</v>
      </c>
      <c r="D5108">
        <v>2169</v>
      </c>
      <c r="E5108">
        <v>1554</v>
      </c>
      <c r="F5108">
        <v>373</v>
      </c>
      <c r="G5108">
        <v>71</v>
      </c>
      <c r="H5108">
        <v>4167</v>
      </c>
      <c r="I5108" s="1">
        <v>45170</v>
      </c>
      <c r="J5108">
        <v>444</v>
      </c>
      <c r="K5108" t="s">
        <v>23</v>
      </c>
    </row>
    <row r="5109" spans="1:11">
      <c r="A5109" s="1">
        <v>45197</v>
      </c>
      <c r="B5109" t="s">
        <v>40</v>
      </c>
      <c r="C5109" t="s">
        <v>52</v>
      </c>
      <c r="D5109">
        <v>7997</v>
      </c>
      <c r="E5109">
        <v>2723</v>
      </c>
      <c r="F5109">
        <v>561</v>
      </c>
      <c r="G5109">
        <v>56</v>
      </c>
      <c r="H5109">
        <v>11336</v>
      </c>
      <c r="I5109" s="1">
        <v>45170</v>
      </c>
      <c r="J5109">
        <v>617</v>
      </c>
      <c r="K5109" t="s">
        <v>23</v>
      </c>
    </row>
    <row r="5110" spans="1:11">
      <c r="A5110" s="1">
        <v>45197</v>
      </c>
      <c r="B5110" t="s">
        <v>40</v>
      </c>
      <c r="C5110" t="s">
        <v>22</v>
      </c>
      <c r="D5110">
        <v>3515</v>
      </c>
      <c r="E5110">
        <v>1540</v>
      </c>
      <c r="F5110">
        <v>436</v>
      </c>
      <c r="G5110">
        <v>540</v>
      </c>
      <c r="H5110">
        <v>6031</v>
      </c>
      <c r="I5110" s="1">
        <v>45170</v>
      </c>
      <c r="J5110">
        <v>976</v>
      </c>
      <c r="K5110" t="s">
        <v>23</v>
      </c>
    </row>
    <row r="5111" spans="1:11">
      <c r="A5111" s="1">
        <v>45197</v>
      </c>
      <c r="B5111" t="s">
        <v>40</v>
      </c>
      <c r="C5111" t="s">
        <v>46</v>
      </c>
      <c r="D5111">
        <v>1858</v>
      </c>
      <c r="E5111">
        <v>421</v>
      </c>
      <c r="F5111">
        <v>139</v>
      </c>
      <c r="G5111">
        <v>227</v>
      </c>
      <c r="H5111">
        <v>2644</v>
      </c>
      <c r="I5111" s="1">
        <v>45170</v>
      </c>
      <c r="J5111">
        <v>366</v>
      </c>
      <c r="K5111" t="s">
        <v>23</v>
      </c>
    </row>
    <row r="5112" spans="1:11">
      <c r="A5112" s="1">
        <v>45197</v>
      </c>
      <c r="B5112" t="s">
        <v>40</v>
      </c>
      <c r="C5112" t="s">
        <v>31</v>
      </c>
      <c r="D5112">
        <v>2821</v>
      </c>
      <c r="E5112">
        <v>1197</v>
      </c>
      <c r="F5112">
        <v>575</v>
      </c>
      <c r="G5112">
        <v>392</v>
      </c>
      <c r="H5112">
        <v>4985</v>
      </c>
      <c r="I5112" s="1">
        <v>45170</v>
      </c>
      <c r="J5112">
        <v>967</v>
      </c>
      <c r="K5112" t="s">
        <v>23</v>
      </c>
    </row>
    <row r="5113" spans="1:11">
      <c r="A5113" s="1">
        <v>45197</v>
      </c>
      <c r="B5113" t="s">
        <v>40</v>
      </c>
      <c r="C5113" t="s">
        <v>63</v>
      </c>
      <c r="D5113">
        <v>5181</v>
      </c>
      <c r="E5113">
        <v>2729</v>
      </c>
      <c r="F5113">
        <v>1713</v>
      </c>
      <c r="G5113">
        <v>2700</v>
      </c>
      <c r="H5113">
        <v>12323</v>
      </c>
      <c r="I5113" s="1">
        <v>45170</v>
      </c>
      <c r="J5113">
        <v>4413</v>
      </c>
      <c r="K5113" t="s">
        <v>23</v>
      </c>
    </row>
    <row r="5114" spans="1:11">
      <c r="A5114" s="1">
        <v>45197</v>
      </c>
      <c r="B5114" t="s">
        <v>40</v>
      </c>
      <c r="C5114" t="s">
        <v>60</v>
      </c>
      <c r="D5114">
        <v>8410</v>
      </c>
      <c r="E5114">
        <v>2338</v>
      </c>
      <c r="F5114">
        <v>1602</v>
      </c>
      <c r="G5114">
        <v>2077</v>
      </c>
      <c r="H5114">
        <v>14426</v>
      </c>
      <c r="I5114" s="1">
        <v>45170</v>
      </c>
      <c r="J5114">
        <v>3679</v>
      </c>
      <c r="K5114" t="s">
        <v>23</v>
      </c>
    </row>
    <row r="5115" spans="1:11">
      <c r="A5115" s="1">
        <v>45197</v>
      </c>
      <c r="B5115" t="s">
        <v>40</v>
      </c>
      <c r="C5115" t="s">
        <v>61</v>
      </c>
      <c r="D5115">
        <v>10698</v>
      </c>
      <c r="E5115">
        <v>5314</v>
      </c>
      <c r="F5115">
        <v>3043</v>
      </c>
      <c r="G5115">
        <v>5780</v>
      </c>
      <c r="H5115">
        <v>24834</v>
      </c>
      <c r="I5115" s="1">
        <v>45170</v>
      </c>
      <c r="J5115">
        <v>8823</v>
      </c>
      <c r="K5115" t="s">
        <v>23</v>
      </c>
    </row>
    <row r="5116" spans="1:11">
      <c r="A5116" s="1">
        <v>45197</v>
      </c>
      <c r="B5116" t="s">
        <v>40</v>
      </c>
      <c r="C5116" t="s">
        <v>62</v>
      </c>
      <c r="D5116">
        <v>2020</v>
      </c>
      <c r="E5116">
        <v>1598</v>
      </c>
      <c r="F5116">
        <v>1715</v>
      </c>
      <c r="G5116">
        <v>3411</v>
      </c>
      <c r="H5116">
        <v>8743</v>
      </c>
      <c r="I5116" s="1">
        <v>45170</v>
      </c>
      <c r="J5116">
        <v>5126</v>
      </c>
      <c r="K5116" t="s">
        <v>23</v>
      </c>
    </row>
    <row r="5117" spans="1:11">
      <c r="A5117" s="1">
        <v>45197</v>
      </c>
      <c r="B5117" t="s">
        <v>40</v>
      </c>
      <c r="C5117" t="s">
        <v>69</v>
      </c>
      <c r="D5117">
        <v>17135</v>
      </c>
      <c r="E5117">
        <v>4994</v>
      </c>
      <c r="F5117">
        <v>1974</v>
      </c>
      <c r="G5117">
        <v>1955</v>
      </c>
      <c r="H5117">
        <v>26057</v>
      </c>
      <c r="I5117" s="1">
        <v>45170</v>
      </c>
      <c r="J5117">
        <v>3929</v>
      </c>
      <c r="K5117" t="s">
        <v>23</v>
      </c>
    </row>
    <row r="5118" spans="1:11">
      <c r="A5118" s="1">
        <v>45197</v>
      </c>
      <c r="B5118" t="s">
        <v>40</v>
      </c>
      <c r="C5118" t="s">
        <v>24</v>
      </c>
      <c r="D5118">
        <v>562</v>
      </c>
      <c r="E5118">
        <v>185</v>
      </c>
      <c r="F5118">
        <v>165</v>
      </c>
      <c r="G5118">
        <v>99</v>
      </c>
      <c r="H5118">
        <v>1011</v>
      </c>
      <c r="I5118" s="1">
        <v>45170</v>
      </c>
      <c r="J5118">
        <v>264</v>
      </c>
      <c r="K5118" t="s">
        <v>23</v>
      </c>
    </row>
    <row r="5119" spans="1:11">
      <c r="A5119" s="1">
        <v>45197</v>
      </c>
      <c r="B5119" t="s">
        <v>40</v>
      </c>
      <c r="C5119" t="s">
        <v>29</v>
      </c>
      <c r="D5119">
        <v>3803</v>
      </c>
      <c r="E5119">
        <v>1138</v>
      </c>
      <c r="F5119">
        <v>382</v>
      </c>
      <c r="G5119">
        <v>49</v>
      </c>
      <c r="H5119">
        <v>5371</v>
      </c>
      <c r="I5119" s="1">
        <v>45170</v>
      </c>
      <c r="J5119">
        <v>431</v>
      </c>
      <c r="K5119" t="s">
        <v>23</v>
      </c>
    </row>
    <row r="5120" spans="1:11">
      <c r="A5120" s="1">
        <v>45197</v>
      </c>
      <c r="B5120" t="s">
        <v>40</v>
      </c>
      <c r="C5120" t="s">
        <v>70</v>
      </c>
      <c r="D5120">
        <v>2605</v>
      </c>
      <c r="E5120">
        <v>885</v>
      </c>
      <c r="F5120">
        <v>356</v>
      </c>
      <c r="G5120">
        <v>171</v>
      </c>
      <c r="H5120">
        <v>4016</v>
      </c>
      <c r="I5120" s="1">
        <v>45170</v>
      </c>
      <c r="J5120">
        <v>527</v>
      </c>
      <c r="K5120" t="s">
        <v>23</v>
      </c>
    </row>
    <row r="5121" spans="1:11">
      <c r="A5121" s="1">
        <v>45197</v>
      </c>
      <c r="B5121" t="s">
        <v>40</v>
      </c>
      <c r="C5121" t="s">
        <v>71</v>
      </c>
      <c r="D5121">
        <v>18455</v>
      </c>
      <c r="E5121">
        <v>5801</v>
      </c>
      <c r="F5121">
        <v>1464</v>
      </c>
      <c r="G5121">
        <v>409</v>
      </c>
      <c r="H5121">
        <v>26128</v>
      </c>
      <c r="I5121" s="1">
        <v>45170</v>
      </c>
      <c r="J5121">
        <v>1873</v>
      </c>
      <c r="K5121" t="s">
        <v>23</v>
      </c>
    </row>
    <row r="5122" spans="1:11">
      <c r="A5122" s="1">
        <v>45197</v>
      </c>
      <c r="B5122" t="s">
        <v>40</v>
      </c>
      <c r="C5122" t="s">
        <v>36</v>
      </c>
      <c r="D5122">
        <v>13166</v>
      </c>
      <c r="E5122">
        <v>8228</v>
      </c>
      <c r="F5122">
        <v>5110</v>
      </c>
      <c r="G5122">
        <v>6413</v>
      </c>
      <c r="H5122">
        <v>32916</v>
      </c>
      <c r="I5122" s="1">
        <v>45170</v>
      </c>
      <c r="J5122">
        <v>11523</v>
      </c>
      <c r="K5122" t="s">
        <v>23</v>
      </c>
    </row>
    <row r="5123" spans="1:11">
      <c r="A5123" s="1">
        <v>45197</v>
      </c>
      <c r="B5123" t="s">
        <v>40</v>
      </c>
      <c r="C5123" t="s">
        <v>32</v>
      </c>
      <c r="D5123">
        <v>2505</v>
      </c>
      <c r="E5123">
        <v>764</v>
      </c>
      <c r="F5123">
        <v>279</v>
      </c>
      <c r="G5123">
        <v>146</v>
      </c>
      <c r="H5123">
        <v>3694</v>
      </c>
      <c r="I5123" s="1">
        <v>45170</v>
      </c>
      <c r="J5123">
        <v>425</v>
      </c>
      <c r="K5123" t="s">
        <v>23</v>
      </c>
    </row>
    <row r="5124" spans="1:11">
      <c r="A5124" s="1">
        <v>45197</v>
      </c>
      <c r="B5124" t="s">
        <v>40</v>
      </c>
      <c r="C5124" t="s">
        <v>44</v>
      </c>
      <c r="D5124">
        <v>6435</v>
      </c>
      <c r="E5124">
        <v>1845</v>
      </c>
      <c r="F5124">
        <v>736</v>
      </c>
      <c r="G5124">
        <v>356</v>
      </c>
      <c r="H5124">
        <v>9371</v>
      </c>
      <c r="I5124" s="1">
        <v>45170</v>
      </c>
      <c r="J5124">
        <v>1092</v>
      </c>
      <c r="K5124" t="s">
        <v>23</v>
      </c>
    </row>
    <row r="5125" spans="1:11">
      <c r="A5125" s="1">
        <v>45197</v>
      </c>
      <c r="B5125" t="s">
        <v>40</v>
      </c>
      <c r="C5125" t="s">
        <v>59</v>
      </c>
      <c r="D5125">
        <v>14818</v>
      </c>
      <c r="E5125">
        <v>5387</v>
      </c>
      <c r="F5125">
        <v>2555</v>
      </c>
      <c r="G5125">
        <v>1239</v>
      </c>
      <c r="H5125">
        <v>23999</v>
      </c>
      <c r="I5125" s="1">
        <v>45170</v>
      </c>
      <c r="J5125">
        <v>3794</v>
      </c>
      <c r="K5125" t="s">
        <v>23</v>
      </c>
    </row>
    <row r="5126" spans="1:11">
      <c r="A5126" s="1">
        <v>45197</v>
      </c>
      <c r="B5126" t="s">
        <v>40</v>
      </c>
      <c r="C5126" t="s">
        <v>67</v>
      </c>
      <c r="D5126">
        <v>18059</v>
      </c>
      <c r="E5126">
        <v>7401</v>
      </c>
      <c r="F5126">
        <v>3662</v>
      </c>
      <c r="G5126">
        <v>5110</v>
      </c>
      <c r="H5126">
        <v>34232</v>
      </c>
      <c r="I5126" s="1">
        <v>45170</v>
      </c>
      <c r="J5126">
        <v>8772</v>
      </c>
      <c r="K5126" t="s">
        <v>23</v>
      </c>
    </row>
    <row r="5127" spans="1:11">
      <c r="A5127" s="1">
        <v>45197</v>
      </c>
      <c r="B5127" t="s">
        <v>40</v>
      </c>
      <c r="C5127" t="s">
        <v>49</v>
      </c>
      <c r="D5127">
        <v>2995</v>
      </c>
      <c r="E5127">
        <v>739</v>
      </c>
      <c r="F5127">
        <v>253</v>
      </c>
      <c r="G5127">
        <v>55</v>
      </c>
      <c r="H5127">
        <v>4041</v>
      </c>
      <c r="I5127" s="1">
        <v>45170</v>
      </c>
      <c r="J5127">
        <v>308</v>
      </c>
      <c r="K5127" t="s">
        <v>23</v>
      </c>
    </row>
    <row r="5128" spans="1:11">
      <c r="A5128" s="1">
        <v>45225</v>
      </c>
      <c r="B5128" t="s">
        <v>40</v>
      </c>
      <c r="C5128" t="s">
        <v>50</v>
      </c>
      <c r="D5128">
        <v>709</v>
      </c>
      <c r="E5128">
        <v>214</v>
      </c>
      <c r="F5128">
        <v>91</v>
      </c>
      <c r="G5128">
        <v>15</v>
      </c>
      <c r="H5128">
        <v>1029</v>
      </c>
      <c r="I5128" s="1">
        <v>45200</v>
      </c>
      <c r="J5128">
        <v>106</v>
      </c>
      <c r="K5128" t="s">
        <v>23</v>
      </c>
    </row>
    <row r="5129" spans="1:11">
      <c r="A5129" s="1">
        <v>45225</v>
      </c>
      <c r="B5129" t="s">
        <v>40</v>
      </c>
      <c r="C5129" t="s">
        <v>48</v>
      </c>
      <c r="D5129">
        <v>24666</v>
      </c>
      <c r="E5129">
        <v>8618</v>
      </c>
      <c r="F5129">
        <v>1371</v>
      </c>
      <c r="G5129">
        <v>41</v>
      </c>
      <c r="H5129">
        <v>34696</v>
      </c>
      <c r="I5129" s="1">
        <v>45200</v>
      </c>
      <c r="J5129">
        <v>1412</v>
      </c>
      <c r="K5129" t="s">
        <v>23</v>
      </c>
    </row>
    <row r="5130" spans="1:11">
      <c r="A5130" s="1">
        <v>45225</v>
      </c>
      <c r="B5130" t="s">
        <v>40</v>
      </c>
      <c r="C5130" t="s">
        <v>41</v>
      </c>
      <c r="D5130">
        <v>4794</v>
      </c>
      <c r="E5130">
        <v>1890</v>
      </c>
      <c r="F5130">
        <v>595</v>
      </c>
      <c r="G5130">
        <v>36</v>
      </c>
      <c r="H5130">
        <v>7315</v>
      </c>
      <c r="I5130" s="1">
        <v>45200</v>
      </c>
      <c r="J5130">
        <v>631</v>
      </c>
      <c r="K5130" t="s">
        <v>23</v>
      </c>
    </row>
    <row r="5131" spans="1:11">
      <c r="A5131" s="1">
        <v>45225</v>
      </c>
      <c r="B5131" t="s">
        <v>40</v>
      </c>
      <c r="C5131" t="s">
        <v>33</v>
      </c>
      <c r="D5131">
        <v>1797</v>
      </c>
      <c r="E5131">
        <v>771</v>
      </c>
      <c r="F5131">
        <v>275</v>
      </c>
      <c r="G5131">
        <v>132</v>
      </c>
      <c r="H5131">
        <v>2975</v>
      </c>
      <c r="I5131" s="1">
        <v>45200</v>
      </c>
      <c r="J5131">
        <v>407</v>
      </c>
      <c r="K5131" t="s">
        <v>23</v>
      </c>
    </row>
    <row r="5132" spans="1:11">
      <c r="A5132" s="1">
        <v>45225</v>
      </c>
      <c r="B5132" t="s">
        <v>40</v>
      </c>
      <c r="C5132" t="s">
        <v>65</v>
      </c>
      <c r="D5132">
        <v>14098</v>
      </c>
      <c r="E5132">
        <v>6717</v>
      </c>
      <c r="F5132">
        <v>4190</v>
      </c>
      <c r="G5132">
        <v>6693</v>
      </c>
      <c r="H5132">
        <v>31697</v>
      </c>
      <c r="I5132" s="1">
        <v>45200</v>
      </c>
      <c r="J5132">
        <v>10883</v>
      </c>
      <c r="K5132" t="s">
        <v>23</v>
      </c>
    </row>
    <row r="5133" spans="1:11">
      <c r="A5133" s="1">
        <v>45225</v>
      </c>
      <c r="B5133" t="s">
        <v>40</v>
      </c>
      <c r="C5133" t="s">
        <v>27</v>
      </c>
      <c r="D5133">
        <v>3137</v>
      </c>
      <c r="E5133">
        <v>1007</v>
      </c>
      <c r="F5133">
        <v>391</v>
      </c>
      <c r="G5133">
        <v>324</v>
      </c>
      <c r="H5133">
        <v>4859</v>
      </c>
      <c r="I5133" s="1">
        <v>45200</v>
      </c>
      <c r="J5133">
        <v>715</v>
      </c>
      <c r="K5133" t="s">
        <v>23</v>
      </c>
    </row>
    <row r="5134" spans="1:11">
      <c r="A5134" s="1">
        <v>45225</v>
      </c>
      <c r="B5134" t="s">
        <v>40</v>
      </c>
      <c r="C5134" t="s">
        <v>66</v>
      </c>
      <c r="D5134">
        <v>20780</v>
      </c>
      <c r="E5134">
        <v>8717</v>
      </c>
      <c r="F5134">
        <v>5369</v>
      </c>
      <c r="G5134">
        <v>8983</v>
      </c>
      <c r="H5134">
        <v>43849</v>
      </c>
      <c r="I5134" s="1">
        <v>45200</v>
      </c>
      <c r="J5134">
        <v>14352</v>
      </c>
      <c r="K5134" t="s">
        <v>23</v>
      </c>
    </row>
    <row r="5135" spans="1:11">
      <c r="A5135" s="1">
        <v>45225</v>
      </c>
      <c r="B5135" t="s">
        <v>40</v>
      </c>
      <c r="C5135" t="s">
        <v>57</v>
      </c>
      <c r="D5135">
        <v>8012</v>
      </c>
      <c r="E5135">
        <v>2233</v>
      </c>
      <c r="F5135">
        <v>1448</v>
      </c>
      <c r="G5135">
        <v>2185</v>
      </c>
      <c r="H5135">
        <v>13878</v>
      </c>
      <c r="I5135" s="1">
        <v>45200</v>
      </c>
      <c r="J5135">
        <v>3633</v>
      </c>
      <c r="K5135" t="s">
        <v>23</v>
      </c>
    </row>
    <row r="5136" spans="1:11">
      <c r="A5136" s="1">
        <v>45225</v>
      </c>
      <c r="B5136" t="s">
        <v>40</v>
      </c>
      <c r="C5136" t="s">
        <v>28</v>
      </c>
      <c r="D5136">
        <v>2073</v>
      </c>
      <c r="E5136">
        <v>1128</v>
      </c>
      <c r="F5136">
        <v>289</v>
      </c>
      <c r="G5136">
        <v>171</v>
      </c>
      <c r="H5136">
        <v>3661</v>
      </c>
      <c r="I5136" s="1">
        <v>45200</v>
      </c>
      <c r="J5136">
        <v>460</v>
      </c>
      <c r="K5136" t="s">
        <v>23</v>
      </c>
    </row>
    <row r="5137" spans="1:11">
      <c r="A5137" s="1">
        <v>45225</v>
      </c>
      <c r="B5137" t="s">
        <v>40</v>
      </c>
      <c r="C5137" t="s">
        <v>68</v>
      </c>
      <c r="D5137">
        <v>22409</v>
      </c>
      <c r="E5137">
        <v>7471</v>
      </c>
      <c r="F5137">
        <v>3093</v>
      </c>
      <c r="G5137">
        <v>5792</v>
      </c>
      <c r="H5137">
        <v>38765</v>
      </c>
      <c r="I5137" s="1">
        <v>45200</v>
      </c>
      <c r="J5137">
        <v>8885</v>
      </c>
      <c r="K5137" t="s">
        <v>23</v>
      </c>
    </row>
    <row r="5138" spans="1:11">
      <c r="A5138" s="1">
        <v>45225</v>
      </c>
      <c r="B5138" t="s">
        <v>40</v>
      </c>
      <c r="C5138" t="s">
        <v>47</v>
      </c>
      <c r="D5138">
        <v>4160</v>
      </c>
      <c r="E5138">
        <v>1600</v>
      </c>
      <c r="F5138">
        <v>602</v>
      </c>
      <c r="G5138">
        <v>814</v>
      </c>
      <c r="H5138">
        <v>7176</v>
      </c>
      <c r="I5138" s="1">
        <v>45200</v>
      </c>
      <c r="J5138">
        <v>1416</v>
      </c>
      <c r="K5138" t="s">
        <v>23</v>
      </c>
    </row>
    <row r="5139" spans="1:11">
      <c r="A5139" s="1">
        <v>45225</v>
      </c>
      <c r="B5139" t="s">
        <v>40</v>
      </c>
      <c r="C5139" t="s">
        <v>25</v>
      </c>
      <c r="D5139">
        <v>3295</v>
      </c>
      <c r="E5139">
        <v>1172</v>
      </c>
      <c r="F5139">
        <v>585</v>
      </c>
      <c r="G5139">
        <v>1241</v>
      </c>
      <c r="H5139">
        <v>6293</v>
      </c>
      <c r="I5139" s="1">
        <v>45200</v>
      </c>
      <c r="J5139">
        <v>1826</v>
      </c>
      <c r="K5139" t="s">
        <v>23</v>
      </c>
    </row>
    <row r="5140" spans="1:11">
      <c r="A5140" s="1">
        <v>45225</v>
      </c>
      <c r="B5140" t="s">
        <v>40</v>
      </c>
      <c r="C5140" t="s">
        <v>51</v>
      </c>
      <c r="D5140">
        <v>4442</v>
      </c>
      <c r="E5140">
        <v>2122</v>
      </c>
      <c r="F5140">
        <v>1482</v>
      </c>
      <c r="G5140">
        <v>1657</v>
      </c>
      <c r="H5140">
        <v>9703</v>
      </c>
      <c r="I5140" s="1">
        <v>45200</v>
      </c>
      <c r="J5140">
        <v>3139</v>
      </c>
      <c r="K5140" t="s">
        <v>23</v>
      </c>
    </row>
    <row r="5141" spans="1:11">
      <c r="A5141" s="1">
        <v>45225</v>
      </c>
      <c r="B5141" t="s">
        <v>40</v>
      </c>
      <c r="C5141" t="s">
        <v>45</v>
      </c>
      <c r="D5141">
        <v>2271</v>
      </c>
      <c r="E5141">
        <v>1010</v>
      </c>
      <c r="F5141">
        <v>609</v>
      </c>
      <c r="G5141">
        <v>475</v>
      </c>
      <c r="H5141">
        <v>4365</v>
      </c>
      <c r="I5141" s="1">
        <v>45200</v>
      </c>
      <c r="J5141">
        <v>1084</v>
      </c>
      <c r="K5141" t="s">
        <v>23</v>
      </c>
    </row>
    <row r="5142" spans="1:11">
      <c r="A5142" s="1">
        <v>45225</v>
      </c>
      <c r="B5142" t="s">
        <v>40</v>
      </c>
      <c r="C5142" t="s">
        <v>43</v>
      </c>
      <c r="D5142">
        <v>8354</v>
      </c>
      <c r="E5142">
        <v>2859</v>
      </c>
      <c r="F5142">
        <v>329</v>
      </c>
      <c r="G5142">
        <v>4</v>
      </c>
      <c r="H5142">
        <v>11546</v>
      </c>
      <c r="I5142" s="1">
        <v>45200</v>
      </c>
      <c r="J5142">
        <v>333</v>
      </c>
      <c r="K5142" t="s">
        <v>23</v>
      </c>
    </row>
    <row r="5143" spans="1:11">
      <c r="A5143" s="1">
        <v>45225</v>
      </c>
      <c r="B5143" t="s">
        <v>40</v>
      </c>
      <c r="C5143" t="s">
        <v>39</v>
      </c>
      <c r="D5143">
        <v>6126</v>
      </c>
      <c r="E5143">
        <v>2296</v>
      </c>
      <c r="F5143">
        <v>1045</v>
      </c>
      <c r="G5143">
        <v>170</v>
      </c>
      <c r="H5143">
        <v>9637</v>
      </c>
      <c r="I5143" s="1">
        <v>45200</v>
      </c>
      <c r="J5143">
        <v>1215</v>
      </c>
      <c r="K5143" t="s">
        <v>23</v>
      </c>
    </row>
    <row r="5144" spans="1:11">
      <c r="A5144" s="1">
        <v>45225</v>
      </c>
      <c r="B5144" t="s">
        <v>40</v>
      </c>
      <c r="C5144" t="s">
        <v>54</v>
      </c>
      <c r="D5144">
        <v>2820</v>
      </c>
      <c r="E5144">
        <v>1493</v>
      </c>
      <c r="F5144">
        <v>440</v>
      </c>
      <c r="G5144">
        <v>85</v>
      </c>
      <c r="H5144">
        <v>4838</v>
      </c>
      <c r="I5144" s="1">
        <v>45200</v>
      </c>
      <c r="J5144">
        <v>525</v>
      </c>
      <c r="K5144" t="s">
        <v>23</v>
      </c>
    </row>
    <row r="5145" spans="1:11">
      <c r="A5145" s="1">
        <v>45225</v>
      </c>
      <c r="B5145" t="s">
        <v>40</v>
      </c>
      <c r="C5145" t="s">
        <v>52</v>
      </c>
      <c r="D5145">
        <v>8247</v>
      </c>
      <c r="E5145">
        <v>2709</v>
      </c>
      <c r="F5145">
        <v>428</v>
      </c>
      <c r="G5145">
        <v>53</v>
      </c>
      <c r="H5145">
        <v>11436</v>
      </c>
      <c r="I5145" s="1">
        <v>45200</v>
      </c>
      <c r="J5145">
        <v>481</v>
      </c>
      <c r="K5145" t="s">
        <v>23</v>
      </c>
    </row>
    <row r="5146" spans="1:11">
      <c r="A5146" s="1">
        <v>45225</v>
      </c>
      <c r="B5146" t="s">
        <v>40</v>
      </c>
      <c r="C5146" t="s">
        <v>22</v>
      </c>
      <c r="D5146">
        <v>3290</v>
      </c>
      <c r="E5146">
        <v>1676</v>
      </c>
      <c r="F5146">
        <v>411</v>
      </c>
      <c r="G5146">
        <v>452</v>
      </c>
      <c r="H5146">
        <v>5829</v>
      </c>
      <c r="I5146" s="1">
        <v>45200</v>
      </c>
      <c r="J5146">
        <v>863</v>
      </c>
      <c r="K5146" t="s">
        <v>23</v>
      </c>
    </row>
    <row r="5147" spans="1:11">
      <c r="A5147" s="1">
        <v>45225</v>
      </c>
      <c r="B5147" t="s">
        <v>40</v>
      </c>
      <c r="C5147" t="s">
        <v>46</v>
      </c>
      <c r="D5147">
        <v>1797</v>
      </c>
      <c r="E5147">
        <v>392</v>
      </c>
      <c r="F5147">
        <v>152</v>
      </c>
      <c r="G5147">
        <v>202</v>
      </c>
      <c r="H5147">
        <v>2543</v>
      </c>
      <c r="I5147" s="1">
        <v>45200</v>
      </c>
      <c r="J5147">
        <v>354</v>
      </c>
      <c r="K5147" t="s">
        <v>23</v>
      </c>
    </row>
    <row r="5148" spans="1:11">
      <c r="A5148" s="1">
        <v>45225</v>
      </c>
      <c r="B5148" t="s">
        <v>40</v>
      </c>
      <c r="C5148" t="s">
        <v>31</v>
      </c>
      <c r="D5148">
        <v>2688</v>
      </c>
      <c r="E5148">
        <v>1194</v>
      </c>
      <c r="F5148">
        <v>438</v>
      </c>
      <c r="G5148">
        <v>313</v>
      </c>
      <c r="H5148">
        <v>4633</v>
      </c>
      <c r="I5148" s="1">
        <v>45200</v>
      </c>
      <c r="J5148">
        <v>751</v>
      </c>
      <c r="K5148" t="s">
        <v>23</v>
      </c>
    </row>
    <row r="5149" spans="1:11">
      <c r="A5149" s="1">
        <v>45225</v>
      </c>
      <c r="B5149" t="s">
        <v>40</v>
      </c>
      <c r="C5149" t="s">
        <v>63</v>
      </c>
      <c r="D5149">
        <v>5395</v>
      </c>
      <c r="E5149">
        <v>2804</v>
      </c>
      <c r="F5149">
        <v>1629</v>
      </c>
      <c r="G5149">
        <v>2566</v>
      </c>
      <c r="H5149">
        <v>12394</v>
      </c>
      <c r="I5149" s="1">
        <v>45200</v>
      </c>
      <c r="J5149">
        <v>4195</v>
      </c>
      <c r="K5149" t="s">
        <v>23</v>
      </c>
    </row>
    <row r="5150" spans="1:11">
      <c r="A5150" s="1">
        <v>45225</v>
      </c>
      <c r="B5150" t="s">
        <v>40</v>
      </c>
      <c r="C5150" t="s">
        <v>60</v>
      </c>
      <c r="D5150">
        <v>7782</v>
      </c>
      <c r="E5150">
        <v>2289</v>
      </c>
      <c r="F5150">
        <v>1505</v>
      </c>
      <c r="G5150">
        <v>2031</v>
      </c>
      <c r="H5150">
        <v>13607</v>
      </c>
      <c r="I5150" s="1">
        <v>45200</v>
      </c>
      <c r="J5150">
        <v>3536</v>
      </c>
      <c r="K5150" t="s">
        <v>23</v>
      </c>
    </row>
    <row r="5151" spans="1:11">
      <c r="A5151" s="1">
        <v>45225</v>
      </c>
      <c r="B5151" t="s">
        <v>40</v>
      </c>
      <c r="C5151" t="s">
        <v>61</v>
      </c>
      <c r="D5151">
        <v>10868</v>
      </c>
      <c r="E5151">
        <v>5520</v>
      </c>
      <c r="F5151">
        <v>3007</v>
      </c>
      <c r="G5151">
        <v>5640</v>
      </c>
      <c r="H5151">
        <v>25035</v>
      </c>
      <c r="I5151" s="1">
        <v>45200</v>
      </c>
      <c r="J5151">
        <v>8647</v>
      </c>
      <c r="K5151" t="s">
        <v>23</v>
      </c>
    </row>
    <row r="5152" spans="1:11">
      <c r="A5152" s="1">
        <v>45225</v>
      </c>
      <c r="B5152" t="s">
        <v>40</v>
      </c>
      <c r="C5152" t="s">
        <v>62</v>
      </c>
      <c r="D5152">
        <v>2048</v>
      </c>
      <c r="E5152">
        <v>1602</v>
      </c>
      <c r="F5152">
        <v>1735</v>
      </c>
      <c r="G5152">
        <v>3574</v>
      </c>
      <c r="H5152">
        <v>8959</v>
      </c>
      <c r="I5152" s="1">
        <v>45200</v>
      </c>
      <c r="J5152">
        <v>5309</v>
      </c>
      <c r="K5152" t="s">
        <v>23</v>
      </c>
    </row>
    <row r="5153" spans="1:11">
      <c r="A5153" s="1">
        <v>45225</v>
      </c>
      <c r="B5153" t="s">
        <v>40</v>
      </c>
      <c r="C5153" t="s">
        <v>69</v>
      </c>
      <c r="D5153">
        <v>17013</v>
      </c>
      <c r="E5153">
        <v>5006</v>
      </c>
      <c r="F5153">
        <v>1799</v>
      </c>
      <c r="G5153">
        <v>1765</v>
      </c>
      <c r="H5153">
        <v>25583</v>
      </c>
      <c r="I5153" s="1">
        <v>45200</v>
      </c>
      <c r="J5153">
        <v>3564</v>
      </c>
      <c r="K5153" t="s">
        <v>23</v>
      </c>
    </row>
    <row r="5154" spans="1:11">
      <c r="A5154" s="1">
        <v>45225</v>
      </c>
      <c r="B5154" t="s">
        <v>40</v>
      </c>
      <c r="C5154" t="s">
        <v>24</v>
      </c>
      <c r="D5154">
        <v>514</v>
      </c>
      <c r="E5154">
        <v>210</v>
      </c>
      <c r="F5154">
        <v>120</v>
      </c>
      <c r="G5154">
        <v>90</v>
      </c>
      <c r="H5154">
        <v>934</v>
      </c>
      <c r="I5154" s="1">
        <v>45200</v>
      </c>
      <c r="J5154">
        <v>210</v>
      </c>
      <c r="K5154" t="s">
        <v>23</v>
      </c>
    </row>
    <row r="5155" spans="1:11">
      <c r="A5155" s="1">
        <v>45225</v>
      </c>
      <c r="B5155" t="s">
        <v>40</v>
      </c>
      <c r="C5155" t="s">
        <v>29</v>
      </c>
      <c r="D5155">
        <v>3874</v>
      </c>
      <c r="E5155">
        <v>1136</v>
      </c>
      <c r="F5155">
        <v>323</v>
      </c>
      <c r="G5155">
        <v>59</v>
      </c>
      <c r="H5155">
        <v>5392</v>
      </c>
      <c r="I5155" s="1">
        <v>45200</v>
      </c>
      <c r="J5155">
        <v>382</v>
      </c>
      <c r="K5155" t="s">
        <v>23</v>
      </c>
    </row>
    <row r="5156" spans="1:11">
      <c r="A5156" s="1">
        <v>45225</v>
      </c>
      <c r="B5156" t="s">
        <v>40</v>
      </c>
      <c r="C5156" t="s">
        <v>70</v>
      </c>
      <c r="D5156">
        <v>2730</v>
      </c>
      <c r="E5156">
        <v>852</v>
      </c>
      <c r="F5156">
        <v>375</v>
      </c>
      <c r="G5156">
        <v>195</v>
      </c>
      <c r="H5156">
        <v>4152</v>
      </c>
      <c r="I5156" s="1">
        <v>45200</v>
      </c>
      <c r="J5156">
        <v>570</v>
      </c>
      <c r="K5156" t="s">
        <v>23</v>
      </c>
    </row>
    <row r="5157" spans="1:11">
      <c r="A5157" s="1">
        <v>45225</v>
      </c>
      <c r="B5157" t="s">
        <v>40</v>
      </c>
      <c r="C5157" t="s">
        <v>71</v>
      </c>
      <c r="D5157">
        <v>17848</v>
      </c>
      <c r="E5157">
        <v>5977</v>
      </c>
      <c r="F5157">
        <v>1530</v>
      </c>
      <c r="G5157">
        <v>415</v>
      </c>
      <c r="H5157">
        <v>25770</v>
      </c>
      <c r="I5157" s="1">
        <v>45200</v>
      </c>
      <c r="J5157">
        <v>1945</v>
      </c>
      <c r="K5157" t="s">
        <v>23</v>
      </c>
    </row>
    <row r="5158" spans="1:11">
      <c r="A5158" s="1">
        <v>45225</v>
      </c>
      <c r="B5158" t="s">
        <v>40</v>
      </c>
      <c r="C5158" t="s">
        <v>36</v>
      </c>
      <c r="D5158">
        <v>13401</v>
      </c>
      <c r="E5158">
        <v>8228</v>
      </c>
      <c r="F5158">
        <v>5054</v>
      </c>
      <c r="G5158">
        <v>5614</v>
      </c>
      <c r="H5158">
        <v>32297</v>
      </c>
      <c r="I5158" s="1">
        <v>45200</v>
      </c>
      <c r="J5158">
        <v>10668</v>
      </c>
      <c r="K5158" t="s">
        <v>23</v>
      </c>
    </row>
    <row r="5159" spans="1:11">
      <c r="A5159" s="1">
        <v>45225</v>
      </c>
      <c r="B5159" t="s">
        <v>40</v>
      </c>
      <c r="C5159" t="s">
        <v>32</v>
      </c>
      <c r="D5159">
        <v>2414</v>
      </c>
      <c r="E5159">
        <v>845</v>
      </c>
      <c r="F5159">
        <v>262</v>
      </c>
      <c r="G5159">
        <v>80</v>
      </c>
      <c r="H5159">
        <v>3601</v>
      </c>
      <c r="I5159" s="1">
        <v>45200</v>
      </c>
      <c r="J5159">
        <v>342</v>
      </c>
      <c r="K5159" t="s">
        <v>23</v>
      </c>
    </row>
    <row r="5160" spans="1:11">
      <c r="A5160" s="1">
        <v>45225</v>
      </c>
      <c r="B5160" t="s">
        <v>40</v>
      </c>
      <c r="C5160" t="s">
        <v>44</v>
      </c>
      <c r="D5160">
        <v>6489</v>
      </c>
      <c r="E5160">
        <v>2045</v>
      </c>
      <c r="F5160">
        <v>673</v>
      </c>
      <c r="G5160">
        <v>358</v>
      </c>
      <c r="H5160">
        <v>9565</v>
      </c>
      <c r="I5160" s="1">
        <v>45200</v>
      </c>
      <c r="J5160">
        <v>1031</v>
      </c>
      <c r="K5160" t="s">
        <v>23</v>
      </c>
    </row>
    <row r="5161" spans="1:11">
      <c r="A5161" s="1">
        <v>45225</v>
      </c>
      <c r="B5161" t="s">
        <v>40</v>
      </c>
      <c r="C5161" t="s">
        <v>59</v>
      </c>
      <c r="D5161">
        <v>14828</v>
      </c>
      <c r="E5161">
        <v>4899</v>
      </c>
      <c r="F5161">
        <v>2300</v>
      </c>
      <c r="G5161">
        <v>1041</v>
      </c>
      <c r="H5161">
        <v>23068</v>
      </c>
      <c r="I5161" s="1">
        <v>45200</v>
      </c>
      <c r="J5161">
        <v>3341</v>
      </c>
      <c r="K5161" t="s">
        <v>23</v>
      </c>
    </row>
    <row r="5162" spans="1:11">
      <c r="A5162" s="1">
        <v>45225</v>
      </c>
      <c r="B5162" t="s">
        <v>40</v>
      </c>
      <c r="C5162" t="s">
        <v>67</v>
      </c>
      <c r="D5162">
        <v>18459</v>
      </c>
      <c r="E5162">
        <v>7448</v>
      </c>
      <c r="F5162">
        <v>3704</v>
      </c>
      <c r="G5162">
        <v>5074</v>
      </c>
      <c r="H5162">
        <v>34685</v>
      </c>
      <c r="I5162" s="1">
        <v>45200</v>
      </c>
      <c r="J5162">
        <v>8778</v>
      </c>
      <c r="K5162" t="s">
        <v>23</v>
      </c>
    </row>
    <row r="5163" spans="1:11">
      <c r="A5163" s="1">
        <v>45225</v>
      </c>
      <c r="B5163" t="s">
        <v>40</v>
      </c>
      <c r="C5163" t="s">
        <v>49</v>
      </c>
      <c r="D5163">
        <v>2991</v>
      </c>
      <c r="E5163">
        <v>708</v>
      </c>
      <c r="F5163">
        <v>189</v>
      </c>
      <c r="G5163">
        <v>25</v>
      </c>
      <c r="H5163">
        <v>3913</v>
      </c>
      <c r="I5163" s="1">
        <v>45200</v>
      </c>
      <c r="J5163">
        <v>214</v>
      </c>
      <c r="K5163" t="s">
        <v>23</v>
      </c>
    </row>
    <row r="5164" spans="1:11">
      <c r="A5164" s="1">
        <v>45260</v>
      </c>
      <c r="B5164" t="s">
        <v>40</v>
      </c>
      <c r="C5164" t="s">
        <v>50</v>
      </c>
      <c r="D5164">
        <v>619</v>
      </c>
      <c r="E5164">
        <v>236</v>
      </c>
      <c r="F5164">
        <v>84</v>
      </c>
      <c r="G5164">
        <v>23</v>
      </c>
      <c r="H5164">
        <v>963</v>
      </c>
      <c r="I5164" s="1">
        <v>45231</v>
      </c>
      <c r="J5164">
        <v>107</v>
      </c>
      <c r="K5164" t="s">
        <v>23</v>
      </c>
    </row>
    <row r="5165" spans="1:11">
      <c r="A5165" s="1">
        <v>45260</v>
      </c>
      <c r="B5165" t="s">
        <v>40</v>
      </c>
      <c r="C5165" t="s">
        <v>48</v>
      </c>
      <c r="D5165">
        <v>24787</v>
      </c>
      <c r="E5165">
        <v>8170</v>
      </c>
      <c r="F5165">
        <v>1137</v>
      </c>
      <c r="G5165">
        <v>40</v>
      </c>
      <c r="H5165">
        <v>34134</v>
      </c>
      <c r="I5165" s="1">
        <v>45231</v>
      </c>
      <c r="J5165">
        <v>1177</v>
      </c>
      <c r="K5165" t="s">
        <v>23</v>
      </c>
    </row>
    <row r="5166" spans="1:11">
      <c r="A5166" s="1">
        <v>45260</v>
      </c>
      <c r="B5166" t="s">
        <v>40</v>
      </c>
      <c r="C5166" t="s">
        <v>41</v>
      </c>
      <c r="D5166">
        <v>5089</v>
      </c>
      <c r="E5166">
        <v>1328</v>
      </c>
      <c r="F5166">
        <v>162</v>
      </c>
      <c r="G5166">
        <v>35</v>
      </c>
      <c r="H5166">
        <v>6613</v>
      </c>
      <c r="I5166" s="1">
        <v>45231</v>
      </c>
      <c r="J5166">
        <v>197</v>
      </c>
      <c r="K5166" t="s">
        <v>23</v>
      </c>
    </row>
    <row r="5167" spans="1:11">
      <c r="A5167" s="1">
        <v>45260</v>
      </c>
      <c r="B5167" t="s">
        <v>40</v>
      </c>
      <c r="C5167" t="s">
        <v>33</v>
      </c>
      <c r="D5167">
        <v>1559</v>
      </c>
      <c r="E5167">
        <v>805</v>
      </c>
      <c r="F5167">
        <v>298</v>
      </c>
      <c r="G5167">
        <v>110</v>
      </c>
      <c r="H5167">
        <v>2772</v>
      </c>
      <c r="I5167" s="1">
        <v>45231</v>
      </c>
      <c r="J5167">
        <v>408</v>
      </c>
      <c r="K5167" t="s">
        <v>23</v>
      </c>
    </row>
    <row r="5168" spans="1:11">
      <c r="A5168" s="1">
        <v>45260</v>
      </c>
      <c r="B5168" t="s">
        <v>40</v>
      </c>
      <c r="C5168" t="s">
        <v>65</v>
      </c>
      <c r="D5168">
        <v>14271</v>
      </c>
      <c r="E5168">
        <v>6888</v>
      </c>
      <c r="F5168">
        <v>3910</v>
      </c>
      <c r="G5168">
        <v>6165</v>
      </c>
      <c r="H5168">
        <v>31234</v>
      </c>
      <c r="I5168" s="1">
        <v>45231</v>
      </c>
      <c r="J5168">
        <v>10075</v>
      </c>
      <c r="K5168" t="s">
        <v>23</v>
      </c>
    </row>
    <row r="5169" spans="1:11">
      <c r="A5169" s="1">
        <v>45260</v>
      </c>
      <c r="B5169" t="s">
        <v>40</v>
      </c>
      <c r="C5169" t="s">
        <v>27</v>
      </c>
      <c r="D5169">
        <v>3091</v>
      </c>
      <c r="E5169">
        <v>1021</v>
      </c>
      <c r="F5169">
        <v>326</v>
      </c>
      <c r="G5169">
        <v>247</v>
      </c>
      <c r="H5169">
        <v>4685</v>
      </c>
      <c r="I5169" s="1">
        <v>45231</v>
      </c>
      <c r="J5169">
        <v>573</v>
      </c>
      <c r="K5169" t="s">
        <v>23</v>
      </c>
    </row>
    <row r="5170" spans="1:11">
      <c r="A5170" s="1">
        <v>45260</v>
      </c>
      <c r="B5170" t="s">
        <v>40</v>
      </c>
      <c r="C5170" t="s">
        <v>66</v>
      </c>
      <c r="D5170">
        <v>22169</v>
      </c>
      <c r="E5170">
        <v>8751</v>
      </c>
      <c r="F5170">
        <v>4844</v>
      </c>
      <c r="G5170">
        <v>8424</v>
      </c>
      <c r="H5170">
        <v>44187</v>
      </c>
      <c r="I5170" s="1">
        <v>45231</v>
      </c>
      <c r="J5170">
        <v>13268</v>
      </c>
      <c r="K5170" t="s">
        <v>23</v>
      </c>
    </row>
    <row r="5171" spans="1:11">
      <c r="A5171" s="1">
        <v>45260</v>
      </c>
      <c r="B5171" t="s">
        <v>40</v>
      </c>
      <c r="C5171" t="s">
        <v>57</v>
      </c>
      <c r="D5171">
        <v>7714</v>
      </c>
      <c r="E5171">
        <v>2274</v>
      </c>
      <c r="F5171">
        <v>1294</v>
      </c>
      <c r="G5171">
        <v>1996</v>
      </c>
      <c r="H5171">
        <v>13278</v>
      </c>
      <c r="I5171" s="1">
        <v>45231</v>
      </c>
      <c r="J5171">
        <v>3290</v>
      </c>
      <c r="K5171" t="s">
        <v>23</v>
      </c>
    </row>
    <row r="5172" spans="1:11">
      <c r="A5172" s="1">
        <v>45260</v>
      </c>
      <c r="B5172" t="s">
        <v>40</v>
      </c>
      <c r="C5172" t="s">
        <v>28</v>
      </c>
      <c r="D5172">
        <v>2078</v>
      </c>
      <c r="E5172">
        <v>1042</v>
      </c>
      <c r="F5172">
        <v>276</v>
      </c>
      <c r="G5172">
        <v>137</v>
      </c>
      <c r="H5172">
        <v>3533</v>
      </c>
      <c r="I5172" s="1">
        <v>45231</v>
      </c>
      <c r="J5172">
        <v>413</v>
      </c>
      <c r="K5172" t="s">
        <v>23</v>
      </c>
    </row>
    <row r="5173" spans="1:11">
      <c r="A5173" s="1">
        <v>45260</v>
      </c>
      <c r="B5173" t="s">
        <v>40</v>
      </c>
      <c r="C5173" t="s">
        <v>68</v>
      </c>
      <c r="D5173">
        <v>22169</v>
      </c>
      <c r="E5173">
        <v>7701</v>
      </c>
      <c r="F5173">
        <v>3129</v>
      </c>
      <c r="G5173">
        <v>5515</v>
      </c>
      <c r="H5173">
        <v>38513</v>
      </c>
      <c r="I5173" s="1">
        <v>45231</v>
      </c>
      <c r="J5173">
        <v>8644</v>
      </c>
      <c r="K5173" t="s">
        <v>23</v>
      </c>
    </row>
    <row r="5174" spans="1:11">
      <c r="A5174" s="1">
        <v>45260</v>
      </c>
      <c r="B5174" t="s">
        <v>40</v>
      </c>
      <c r="C5174" t="s">
        <v>47</v>
      </c>
      <c r="D5174">
        <v>4052</v>
      </c>
      <c r="E5174">
        <v>1498</v>
      </c>
      <c r="F5174">
        <v>524</v>
      </c>
      <c r="G5174">
        <v>587</v>
      </c>
      <c r="H5174">
        <v>6661</v>
      </c>
      <c r="I5174" s="1">
        <v>45231</v>
      </c>
      <c r="J5174">
        <v>1111</v>
      </c>
      <c r="K5174" t="s">
        <v>23</v>
      </c>
    </row>
    <row r="5175" spans="1:11">
      <c r="A5175" s="1">
        <v>45260</v>
      </c>
      <c r="B5175" t="s">
        <v>40</v>
      </c>
      <c r="C5175" t="s">
        <v>25</v>
      </c>
      <c r="D5175">
        <v>3170</v>
      </c>
      <c r="E5175">
        <v>1295</v>
      </c>
      <c r="F5175">
        <v>600</v>
      </c>
      <c r="G5175">
        <v>1206</v>
      </c>
      <c r="H5175">
        <v>6271</v>
      </c>
      <c r="I5175" s="1">
        <v>45231</v>
      </c>
      <c r="J5175">
        <v>1806</v>
      </c>
      <c r="K5175" t="s">
        <v>23</v>
      </c>
    </row>
    <row r="5176" spans="1:11">
      <c r="A5176" s="1">
        <v>45260</v>
      </c>
      <c r="B5176" t="s">
        <v>40</v>
      </c>
      <c r="C5176" t="s">
        <v>51</v>
      </c>
      <c r="D5176">
        <v>4226</v>
      </c>
      <c r="E5176">
        <v>2062</v>
      </c>
      <c r="F5176">
        <v>1296</v>
      </c>
      <c r="G5176">
        <v>1290</v>
      </c>
      <c r="H5176">
        <v>8875</v>
      </c>
      <c r="I5176" s="1">
        <v>45231</v>
      </c>
      <c r="J5176">
        <v>2586</v>
      </c>
      <c r="K5176" t="s">
        <v>23</v>
      </c>
    </row>
    <row r="5177" spans="1:11">
      <c r="A5177" s="1">
        <v>45260</v>
      </c>
      <c r="B5177" t="s">
        <v>40</v>
      </c>
      <c r="C5177" t="s">
        <v>45</v>
      </c>
      <c r="D5177">
        <v>2232</v>
      </c>
      <c r="E5177">
        <v>1032</v>
      </c>
      <c r="F5177">
        <v>558</v>
      </c>
      <c r="G5177">
        <v>428</v>
      </c>
      <c r="H5177">
        <v>4251</v>
      </c>
      <c r="I5177" s="1">
        <v>45231</v>
      </c>
      <c r="J5177">
        <v>986</v>
      </c>
      <c r="K5177" t="s">
        <v>23</v>
      </c>
    </row>
    <row r="5178" spans="1:11">
      <c r="A5178" s="1">
        <v>45260</v>
      </c>
      <c r="B5178" t="s">
        <v>40</v>
      </c>
      <c r="C5178" t="s">
        <v>39</v>
      </c>
      <c r="D5178">
        <v>6028</v>
      </c>
      <c r="E5178">
        <v>2368</v>
      </c>
      <c r="F5178">
        <v>931</v>
      </c>
      <c r="G5178">
        <v>162</v>
      </c>
      <c r="H5178">
        <v>9489</v>
      </c>
      <c r="I5178" s="1">
        <v>45231</v>
      </c>
      <c r="J5178">
        <v>1093</v>
      </c>
      <c r="K5178" t="s">
        <v>23</v>
      </c>
    </row>
    <row r="5179" spans="1:11">
      <c r="A5179" s="1">
        <v>45260</v>
      </c>
      <c r="B5179" t="s">
        <v>40</v>
      </c>
      <c r="C5179" t="s">
        <v>54</v>
      </c>
      <c r="D5179">
        <v>3219</v>
      </c>
      <c r="E5179">
        <v>1770</v>
      </c>
      <c r="F5179">
        <v>494</v>
      </c>
      <c r="G5179">
        <v>137</v>
      </c>
      <c r="H5179">
        <v>5620</v>
      </c>
      <c r="I5179" s="1">
        <v>45231</v>
      </c>
      <c r="J5179">
        <v>631</v>
      </c>
      <c r="K5179" t="s">
        <v>23</v>
      </c>
    </row>
    <row r="5180" spans="1:11">
      <c r="A5180" s="1">
        <v>45260</v>
      </c>
      <c r="B5180" t="s">
        <v>40</v>
      </c>
      <c r="C5180" t="s">
        <v>52</v>
      </c>
      <c r="D5180">
        <v>7966</v>
      </c>
      <c r="E5180">
        <v>2302</v>
      </c>
      <c r="F5180">
        <v>157</v>
      </c>
      <c r="G5180">
        <v>51</v>
      </c>
      <c r="H5180">
        <v>10476</v>
      </c>
      <c r="I5180" s="1">
        <v>45231</v>
      </c>
      <c r="J5180">
        <v>208</v>
      </c>
      <c r="K5180" t="s">
        <v>23</v>
      </c>
    </row>
    <row r="5181" spans="1:11">
      <c r="A5181" s="1">
        <v>45260</v>
      </c>
      <c r="B5181" t="s">
        <v>40</v>
      </c>
      <c r="C5181" t="s">
        <v>22</v>
      </c>
      <c r="D5181">
        <v>3264</v>
      </c>
      <c r="E5181">
        <v>1905</v>
      </c>
      <c r="F5181">
        <v>423</v>
      </c>
      <c r="G5181">
        <v>416</v>
      </c>
      <c r="H5181">
        <v>6008</v>
      </c>
      <c r="I5181" s="1">
        <v>45231</v>
      </c>
      <c r="J5181">
        <v>839</v>
      </c>
      <c r="K5181" t="s">
        <v>23</v>
      </c>
    </row>
    <row r="5182" spans="1:11">
      <c r="A5182" s="1">
        <v>45260</v>
      </c>
      <c r="B5182" t="s">
        <v>40</v>
      </c>
      <c r="C5182" t="s">
        <v>46</v>
      </c>
      <c r="D5182">
        <v>1838</v>
      </c>
      <c r="E5182">
        <v>368</v>
      </c>
      <c r="F5182">
        <v>153</v>
      </c>
      <c r="G5182">
        <v>174</v>
      </c>
      <c r="H5182">
        <v>2533</v>
      </c>
      <c r="I5182" s="1">
        <v>45231</v>
      </c>
      <c r="J5182">
        <v>327</v>
      </c>
      <c r="K5182" t="s">
        <v>23</v>
      </c>
    </row>
    <row r="5183" spans="1:11">
      <c r="A5183" s="1">
        <v>45260</v>
      </c>
      <c r="B5183" t="s">
        <v>40</v>
      </c>
      <c r="C5183" t="s">
        <v>31</v>
      </c>
      <c r="D5183">
        <v>2451</v>
      </c>
      <c r="E5183">
        <v>1036</v>
      </c>
      <c r="F5183">
        <v>316</v>
      </c>
      <c r="G5183">
        <v>310</v>
      </c>
      <c r="H5183">
        <v>4113</v>
      </c>
      <c r="I5183" s="1">
        <v>45231</v>
      </c>
      <c r="J5183">
        <v>626</v>
      </c>
      <c r="K5183" t="s">
        <v>23</v>
      </c>
    </row>
    <row r="5184" spans="1:11">
      <c r="A5184" s="1">
        <v>45260</v>
      </c>
      <c r="B5184" t="s">
        <v>40</v>
      </c>
      <c r="C5184" t="s">
        <v>63</v>
      </c>
      <c r="D5184">
        <v>5580</v>
      </c>
      <c r="E5184">
        <v>2781</v>
      </c>
      <c r="F5184">
        <v>1528</v>
      </c>
      <c r="G5184">
        <v>2399</v>
      </c>
      <c r="H5184">
        <v>12288</v>
      </c>
      <c r="I5184" s="1">
        <v>45231</v>
      </c>
      <c r="J5184">
        <v>3927</v>
      </c>
      <c r="K5184" t="s">
        <v>23</v>
      </c>
    </row>
    <row r="5185" spans="1:11">
      <c r="A5185" s="1">
        <v>45260</v>
      </c>
      <c r="B5185" t="s">
        <v>40</v>
      </c>
      <c r="C5185" t="s">
        <v>60</v>
      </c>
      <c r="D5185">
        <v>7625</v>
      </c>
      <c r="E5185">
        <v>2271</v>
      </c>
      <c r="F5185">
        <v>1366</v>
      </c>
      <c r="G5185">
        <v>1744</v>
      </c>
      <c r="H5185">
        <v>13005</v>
      </c>
      <c r="I5185" s="1">
        <v>45231</v>
      </c>
      <c r="J5185">
        <v>3110</v>
      </c>
      <c r="K5185" t="s">
        <v>23</v>
      </c>
    </row>
    <row r="5186" spans="1:11">
      <c r="A5186" s="1">
        <v>45260</v>
      </c>
      <c r="B5186" t="s">
        <v>40</v>
      </c>
      <c r="C5186" t="s">
        <v>61</v>
      </c>
      <c r="D5186">
        <v>10968</v>
      </c>
      <c r="E5186">
        <v>5717</v>
      </c>
      <c r="F5186">
        <v>2898</v>
      </c>
      <c r="G5186">
        <v>5479</v>
      </c>
      <c r="H5186">
        <v>25062</v>
      </c>
      <c r="I5186" s="1">
        <v>45231</v>
      </c>
      <c r="J5186">
        <v>8377</v>
      </c>
      <c r="K5186" t="s">
        <v>23</v>
      </c>
    </row>
    <row r="5187" spans="1:11">
      <c r="A5187" s="1">
        <v>45260</v>
      </c>
      <c r="B5187" t="s">
        <v>40</v>
      </c>
      <c r="C5187" t="s">
        <v>62</v>
      </c>
      <c r="D5187">
        <v>2133</v>
      </c>
      <c r="E5187">
        <v>1582</v>
      </c>
      <c r="F5187">
        <v>1646</v>
      </c>
      <c r="G5187">
        <v>3853</v>
      </c>
      <c r="H5187">
        <v>9215</v>
      </c>
      <c r="I5187" s="1">
        <v>45231</v>
      </c>
      <c r="J5187">
        <v>5499</v>
      </c>
      <c r="K5187" t="s">
        <v>23</v>
      </c>
    </row>
    <row r="5188" spans="1:11">
      <c r="A5188" s="1">
        <v>45260</v>
      </c>
      <c r="B5188" t="s">
        <v>40</v>
      </c>
      <c r="C5188" t="s">
        <v>69</v>
      </c>
      <c r="D5188">
        <v>16740</v>
      </c>
      <c r="E5188">
        <v>5013</v>
      </c>
      <c r="F5188">
        <v>1445</v>
      </c>
      <c r="G5188">
        <v>1608</v>
      </c>
      <c r="H5188">
        <v>24807</v>
      </c>
      <c r="I5188" s="1">
        <v>45231</v>
      </c>
      <c r="J5188">
        <v>3053</v>
      </c>
      <c r="K5188" t="s">
        <v>23</v>
      </c>
    </row>
    <row r="5189" spans="1:11">
      <c r="A5189" s="1">
        <v>45260</v>
      </c>
      <c r="B5189" t="s">
        <v>40</v>
      </c>
      <c r="C5189" t="s">
        <v>24</v>
      </c>
      <c r="D5189">
        <v>496</v>
      </c>
      <c r="E5189">
        <v>204</v>
      </c>
      <c r="F5189">
        <v>73</v>
      </c>
      <c r="G5189">
        <v>50</v>
      </c>
      <c r="H5189">
        <v>824</v>
      </c>
      <c r="I5189" s="1">
        <v>45231</v>
      </c>
      <c r="J5189">
        <v>123</v>
      </c>
      <c r="K5189" t="s">
        <v>23</v>
      </c>
    </row>
    <row r="5190" spans="1:11">
      <c r="A5190" s="1">
        <v>45260</v>
      </c>
      <c r="B5190" t="s">
        <v>40</v>
      </c>
      <c r="C5190" t="s">
        <v>29</v>
      </c>
      <c r="D5190">
        <v>3720</v>
      </c>
      <c r="E5190">
        <v>1297</v>
      </c>
      <c r="F5190">
        <v>336</v>
      </c>
      <c r="G5190">
        <v>73</v>
      </c>
      <c r="H5190">
        <v>5426</v>
      </c>
      <c r="I5190" s="1">
        <v>45231</v>
      </c>
      <c r="J5190">
        <v>409</v>
      </c>
      <c r="K5190" t="s">
        <v>23</v>
      </c>
    </row>
    <row r="5191" spans="1:11">
      <c r="A5191" s="1">
        <v>45260</v>
      </c>
      <c r="B5191" t="s">
        <v>40</v>
      </c>
      <c r="C5191" t="s">
        <v>70</v>
      </c>
      <c r="D5191">
        <v>2736</v>
      </c>
      <c r="E5191">
        <v>894</v>
      </c>
      <c r="F5191">
        <v>398</v>
      </c>
      <c r="G5191">
        <v>187</v>
      </c>
      <c r="H5191">
        <v>4215</v>
      </c>
      <c r="I5191" s="1">
        <v>45231</v>
      </c>
      <c r="J5191">
        <v>585</v>
      </c>
      <c r="K5191" t="s">
        <v>23</v>
      </c>
    </row>
    <row r="5192" spans="1:11">
      <c r="A5192" s="1">
        <v>45260</v>
      </c>
      <c r="B5192" t="s">
        <v>40</v>
      </c>
      <c r="C5192" t="s">
        <v>71</v>
      </c>
      <c r="D5192">
        <v>17623</v>
      </c>
      <c r="E5192">
        <v>6486</v>
      </c>
      <c r="F5192">
        <v>1625</v>
      </c>
      <c r="G5192">
        <v>459</v>
      </c>
      <c r="H5192">
        <v>26193</v>
      </c>
      <c r="I5192" s="1">
        <v>45231</v>
      </c>
      <c r="J5192">
        <v>2084</v>
      </c>
      <c r="K5192" t="s">
        <v>23</v>
      </c>
    </row>
    <row r="5193" spans="1:11">
      <c r="A5193" s="1">
        <v>45260</v>
      </c>
      <c r="B5193" t="s">
        <v>40</v>
      </c>
      <c r="C5193" t="s">
        <v>36</v>
      </c>
      <c r="D5193">
        <v>15244</v>
      </c>
      <c r="E5193">
        <v>8492</v>
      </c>
      <c r="F5193">
        <v>4698</v>
      </c>
      <c r="G5193">
        <v>5016</v>
      </c>
      <c r="H5193">
        <v>33450</v>
      </c>
      <c r="I5193" s="1">
        <v>45231</v>
      </c>
      <c r="J5193">
        <v>9714</v>
      </c>
      <c r="K5193" t="s">
        <v>23</v>
      </c>
    </row>
    <row r="5194" spans="1:11">
      <c r="A5194" s="1">
        <v>45260</v>
      </c>
      <c r="B5194" t="s">
        <v>40</v>
      </c>
      <c r="C5194" t="s">
        <v>32</v>
      </c>
      <c r="D5194">
        <v>2421</v>
      </c>
      <c r="E5194">
        <v>722</v>
      </c>
      <c r="F5194">
        <v>193</v>
      </c>
      <c r="G5194">
        <v>73</v>
      </c>
      <c r="H5194">
        <v>3410</v>
      </c>
      <c r="I5194" s="1">
        <v>45231</v>
      </c>
      <c r="J5194">
        <v>266</v>
      </c>
      <c r="K5194" t="s">
        <v>23</v>
      </c>
    </row>
    <row r="5195" spans="1:11">
      <c r="A5195" s="1">
        <v>45260</v>
      </c>
      <c r="B5195" t="s">
        <v>40</v>
      </c>
      <c r="C5195" t="s">
        <v>44</v>
      </c>
      <c r="D5195">
        <v>6145</v>
      </c>
      <c r="E5195">
        <v>2235</v>
      </c>
      <c r="F5195">
        <v>588</v>
      </c>
      <c r="G5195">
        <v>255</v>
      </c>
      <c r="H5195">
        <v>9223</v>
      </c>
      <c r="I5195" s="1">
        <v>45231</v>
      </c>
      <c r="J5195">
        <v>843</v>
      </c>
      <c r="K5195" t="s">
        <v>23</v>
      </c>
    </row>
    <row r="5196" spans="1:11">
      <c r="A5196" s="1">
        <v>45260</v>
      </c>
      <c r="B5196" t="s">
        <v>40</v>
      </c>
      <c r="C5196" t="s">
        <v>59</v>
      </c>
      <c r="D5196">
        <v>14640</v>
      </c>
      <c r="E5196">
        <v>4762</v>
      </c>
      <c r="F5196">
        <v>1793</v>
      </c>
      <c r="G5196">
        <v>727</v>
      </c>
      <c r="H5196">
        <v>21922</v>
      </c>
      <c r="I5196" s="1">
        <v>45231</v>
      </c>
      <c r="J5196">
        <v>2520</v>
      </c>
      <c r="K5196" t="s">
        <v>23</v>
      </c>
    </row>
    <row r="5197" spans="1:11">
      <c r="A5197" s="1">
        <v>45260</v>
      </c>
      <c r="B5197" t="s">
        <v>40</v>
      </c>
      <c r="C5197" t="s">
        <v>67</v>
      </c>
      <c r="D5197">
        <v>18593</v>
      </c>
      <c r="E5197">
        <v>7807</v>
      </c>
      <c r="F5197">
        <v>3492</v>
      </c>
      <c r="G5197">
        <v>4968</v>
      </c>
      <c r="H5197">
        <v>34860</v>
      </c>
      <c r="I5197" s="1">
        <v>45231</v>
      </c>
      <c r="J5197">
        <v>8460</v>
      </c>
      <c r="K5197" t="s">
        <v>23</v>
      </c>
    </row>
    <row r="5198" spans="1:11">
      <c r="A5198" s="1">
        <v>45260</v>
      </c>
      <c r="B5198" t="s">
        <v>40</v>
      </c>
      <c r="C5198" t="s">
        <v>49</v>
      </c>
      <c r="D5198">
        <v>2824</v>
      </c>
      <c r="E5198">
        <v>782</v>
      </c>
      <c r="F5198">
        <v>179</v>
      </c>
      <c r="G5198">
        <v>56</v>
      </c>
      <c r="H5198">
        <v>3842</v>
      </c>
      <c r="I5198" s="1">
        <v>45231</v>
      </c>
      <c r="J5198">
        <v>235</v>
      </c>
      <c r="K5198" t="s">
        <v>23</v>
      </c>
    </row>
    <row r="5199" spans="1:11">
      <c r="A5199" s="1">
        <v>45288</v>
      </c>
      <c r="B5199" t="s">
        <v>40</v>
      </c>
      <c r="C5199" t="s">
        <v>50</v>
      </c>
      <c r="D5199">
        <v>623</v>
      </c>
      <c r="E5199">
        <v>258</v>
      </c>
      <c r="F5199">
        <v>71</v>
      </c>
      <c r="G5199">
        <v>36</v>
      </c>
      <c r="H5199">
        <v>989</v>
      </c>
      <c r="I5199" s="1">
        <v>45261</v>
      </c>
      <c r="J5199">
        <v>107</v>
      </c>
      <c r="K5199" t="s">
        <v>23</v>
      </c>
    </row>
    <row r="5200" spans="1:11">
      <c r="A5200" s="1">
        <v>45288</v>
      </c>
      <c r="B5200" t="s">
        <v>40</v>
      </c>
      <c r="C5200" t="s">
        <v>48</v>
      </c>
      <c r="D5200">
        <v>24734</v>
      </c>
      <c r="E5200">
        <v>8382</v>
      </c>
      <c r="F5200">
        <v>550</v>
      </c>
      <c r="G5200">
        <v>59</v>
      </c>
      <c r="H5200">
        <v>33726</v>
      </c>
      <c r="I5200" s="1">
        <v>45261</v>
      </c>
      <c r="J5200">
        <v>609</v>
      </c>
      <c r="K5200" t="s">
        <v>23</v>
      </c>
    </row>
    <row r="5201" spans="1:11">
      <c r="A5201" s="1">
        <v>45288</v>
      </c>
      <c r="B5201" t="s">
        <v>40</v>
      </c>
      <c r="C5201" t="s">
        <v>33</v>
      </c>
      <c r="D5201">
        <v>1430</v>
      </c>
      <c r="E5201">
        <v>885</v>
      </c>
      <c r="F5201">
        <v>294</v>
      </c>
      <c r="G5201">
        <v>71</v>
      </c>
      <c r="H5201">
        <v>2680</v>
      </c>
      <c r="I5201" s="1">
        <v>45261</v>
      </c>
      <c r="J5201">
        <v>365</v>
      </c>
      <c r="K5201" t="s">
        <v>23</v>
      </c>
    </row>
    <row r="5202" spans="1:11">
      <c r="A5202" s="1">
        <v>45288</v>
      </c>
      <c r="B5202" t="s">
        <v>40</v>
      </c>
      <c r="C5202" t="s">
        <v>65</v>
      </c>
      <c r="D5202">
        <v>14009</v>
      </c>
      <c r="E5202">
        <v>6919</v>
      </c>
      <c r="F5202">
        <v>3467</v>
      </c>
      <c r="G5202">
        <v>5266</v>
      </c>
      <c r="H5202">
        <v>29661</v>
      </c>
      <c r="I5202" s="1">
        <v>45261</v>
      </c>
      <c r="J5202">
        <v>8733</v>
      </c>
      <c r="K5202" t="s">
        <v>23</v>
      </c>
    </row>
    <row r="5203" spans="1:11">
      <c r="A5203" s="1">
        <v>45288</v>
      </c>
      <c r="B5203" t="s">
        <v>40</v>
      </c>
      <c r="C5203" t="s">
        <v>27</v>
      </c>
      <c r="D5203">
        <v>2969</v>
      </c>
      <c r="E5203">
        <v>1228</v>
      </c>
      <c r="F5203">
        <v>259</v>
      </c>
      <c r="G5203">
        <v>219</v>
      </c>
      <c r="H5203">
        <v>4675</v>
      </c>
      <c r="I5203" s="1">
        <v>45261</v>
      </c>
      <c r="J5203">
        <v>478</v>
      </c>
      <c r="K5203" t="s">
        <v>23</v>
      </c>
    </row>
    <row r="5204" spans="1:11">
      <c r="A5204" s="1">
        <v>45288</v>
      </c>
      <c r="B5204" t="s">
        <v>40</v>
      </c>
      <c r="C5204" t="s">
        <v>66</v>
      </c>
      <c r="D5204">
        <v>20948</v>
      </c>
      <c r="E5204">
        <v>8675</v>
      </c>
      <c r="F5204">
        <v>4516</v>
      </c>
      <c r="G5204">
        <v>7808</v>
      </c>
      <c r="H5204">
        <v>41948</v>
      </c>
      <c r="I5204" s="1">
        <v>45261</v>
      </c>
      <c r="J5204">
        <v>12324</v>
      </c>
      <c r="K5204" t="s">
        <v>23</v>
      </c>
    </row>
    <row r="5205" spans="1:11">
      <c r="A5205" s="1">
        <v>45288</v>
      </c>
      <c r="B5205" t="s">
        <v>40</v>
      </c>
      <c r="C5205" t="s">
        <v>57</v>
      </c>
      <c r="D5205">
        <v>7573</v>
      </c>
      <c r="E5205">
        <v>2119</v>
      </c>
      <c r="F5205">
        <v>1157</v>
      </c>
      <c r="G5205">
        <v>1520</v>
      </c>
      <c r="H5205">
        <v>12369</v>
      </c>
      <c r="I5205" s="1">
        <v>45261</v>
      </c>
      <c r="J5205">
        <v>2677</v>
      </c>
      <c r="K5205" t="s">
        <v>23</v>
      </c>
    </row>
    <row r="5206" spans="1:11">
      <c r="A5206" s="1">
        <v>45288</v>
      </c>
      <c r="B5206" t="s">
        <v>40</v>
      </c>
      <c r="C5206" t="s">
        <v>28</v>
      </c>
      <c r="D5206">
        <v>2067</v>
      </c>
      <c r="E5206">
        <v>859</v>
      </c>
      <c r="F5206">
        <v>196</v>
      </c>
      <c r="G5206">
        <v>48</v>
      </c>
      <c r="H5206">
        <v>3171</v>
      </c>
      <c r="I5206" s="1">
        <v>45261</v>
      </c>
      <c r="J5206">
        <v>244</v>
      </c>
      <c r="K5206" t="s">
        <v>23</v>
      </c>
    </row>
    <row r="5207" spans="1:11">
      <c r="A5207" s="1">
        <v>45288</v>
      </c>
      <c r="B5207" t="s">
        <v>40</v>
      </c>
      <c r="C5207" t="s">
        <v>68</v>
      </c>
      <c r="D5207">
        <v>21934</v>
      </c>
      <c r="E5207">
        <v>7959</v>
      </c>
      <c r="F5207">
        <v>3256</v>
      </c>
      <c r="G5207">
        <v>5230</v>
      </c>
      <c r="H5207">
        <v>38378</v>
      </c>
      <c r="I5207" s="1">
        <v>45261</v>
      </c>
      <c r="J5207">
        <v>8486</v>
      </c>
      <c r="K5207" t="s">
        <v>23</v>
      </c>
    </row>
    <row r="5208" spans="1:11">
      <c r="A5208" s="1">
        <v>45288</v>
      </c>
      <c r="B5208" t="s">
        <v>40</v>
      </c>
      <c r="C5208" t="s">
        <v>47</v>
      </c>
      <c r="D5208">
        <v>3796</v>
      </c>
      <c r="E5208">
        <v>1313</v>
      </c>
      <c r="F5208">
        <v>496</v>
      </c>
      <c r="G5208">
        <v>501</v>
      </c>
      <c r="H5208">
        <v>6107</v>
      </c>
      <c r="I5208" s="1">
        <v>45261</v>
      </c>
      <c r="J5208">
        <v>997</v>
      </c>
      <c r="K5208" t="s">
        <v>23</v>
      </c>
    </row>
    <row r="5209" spans="1:11">
      <c r="A5209" s="1">
        <v>45288</v>
      </c>
      <c r="B5209" t="s">
        <v>40</v>
      </c>
      <c r="C5209" t="s">
        <v>25</v>
      </c>
      <c r="D5209">
        <v>3110</v>
      </c>
      <c r="E5209">
        <v>1358</v>
      </c>
      <c r="F5209">
        <v>442</v>
      </c>
      <c r="G5209">
        <v>651</v>
      </c>
      <c r="H5209">
        <v>5561</v>
      </c>
      <c r="I5209" s="1">
        <v>45261</v>
      </c>
      <c r="J5209">
        <v>1093</v>
      </c>
      <c r="K5209" t="s">
        <v>23</v>
      </c>
    </row>
    <row r="5210" spans="1:11">
      <c r="A5210" s="1">
        <v>45288</v>
      </c>
      <c r="B5210" t="s">
        <v>40</v>
      </c>
      <c r="C5210" t="s">
        <v>51</v>
      </c>
      <c r="D5210">
        <v>4245</v>
      </c>
      <c r="E5210">
        <v>1690</v>
      </c>
      <c r="F5210">
        <v>1060</v>
      </c>
      <c r="G5210">
        <v>1039</v>
      </c>
      <c r="H5210">
        <v>8035</v>
      </c>
      <c r="I5210" s="1">
        <v>45261</v>
      </c>
      <c r="J5210">
        <v>2099</v>
      </c>
      <c r="K5210" t="s">
        <v>23</v>
      </c>
    </row>
    <row r="5211" spans="1:11">
      <c r="A5211" s="1">
        <v>45288</v>
      </c>
      <c r="B5211" t="s">
        <v>40</v>
      </c>
      <c r="C5211" t="s">
        <v>45</v>
      </c>
      <c r="D5211">
        <v>2127</v>
      </c>
      <c r="E5211">
        <v>1070</v>
      </c>
      <c r="F5211">
        <v>483</v>
      </c>
      <c r="G5211">
        <v>451</v>
      </c>
      <c r="H5211">
        <v>4132</v>
      </c>
      <c r="I5211" s="1">
        <v>45261</v>
      </c>
      <c r="J5211">
        <v>934</v>
      </c>
      <c r="K5211" t="s">
        <v>23</v>
      </c>
    </row>
    <row r="5212" spans="1:11">
      <c r="A5212" s="1">
        <v>45288</v>
      </c>
      <c r="B5212" t="s">
        <v>40</v>
      </c>
      <c r="C5212" t="s">
        <v>39</v>
      </c>
      <c r="D5212">
        <v>5854</v>
      </c>
      <c r="E5212">
        <v>2515</v>
      </c>
      <c r="F5212">
        <v>864</v>
      </c>
      <c r="G5212">
        <v>160</v>
      </c>
      <c r="H5212">
        <v>9394</v>
      </c>
      <c r="I5212" s="1">
        <v>45261</v>
      </c>
      <c r="J5212">
        <v>1024</v>
      </c>
      <c r="K5212" t="s">
        <v>23</v>
      </c>
    </row>
    <row r="5213" spans="1:11">
      <c r="A5213" s="1">
        <v>45288</v>
      </c>
      <c r="B5213" t="s">
        <v>40</v>
      </c>
      <c r="C5213" t="s">
        <v>54</v>
      </c>
      <c r="D5213">
        <v>2949</v>
      </c>
      <c r="E5213">
        <v>1767</v>
      </c>
      <c r="F5213">
        <v>546</v>
      </c>
      <c r="G5213">
        <v>130</v>
      </c>
      <c r="H5213">
        <v>5392</v>
      </c>
      <c r="I5213" s="1">
        <v>45261</v>
      </c>
      <c r="J5213">
        <v>676</v>
      </c>
      <c r="K5213" t="s">
        <v>23</v>
      </c>
    </row>
    <row r="5214" spans="1:11">
      <c r="A5214" s="1">
        <v>45288</v>
      </c>
      <c r="B5214" t="s">
        <v>40</v>
      </c>
      <c r="C5214" t="s">
        <v>52</v>
      </c>
      <c r="D5214">
        <v>7951</v>
      </c>
      <c r="E5214">
        <v>2271</v>
      </c>
      <c r="F5214">
        <v>79</v>
      </c>
      <c r="G5214">
        <v>32</v>
      </c>
      <c r="H5214">
        <v>10333</v>
      </c>
      <c r="I5214" s="1">
        <v>45261</v>
      </c>
      <c r="J5214">
        <v>111</v>
      </c>
      <c r="K5214" t="s">
        <v>23</v>
      </c>
    </row>
    <row r="5215" spans="1:11">
      <c r="A5215" s="1">
        <v>45288</v>
      </c>
      <c r="B5215" t="s">
        <v>40</v>
      </c>
      <c r="C5215" t="s">
        <v>22</v>
      </c>
      <c r="D5215">
        <v>3281</v>
      </c>
      <c r="E5215">
        <v>1967</v>
      </c>
      <c r="F5215">
        <v>467</v>
      </c>
      <c r="G5215">
        <v>388</v>
      </c>
      <c r="H5215">
        <v>6103</v>
      </c>
      <c r="I5215" s="1">
        <v>45261</v>
      </c>
      <c r="J5215">
        <v>855</v>
      </c>
      <c r="K5215" t="s">
        <v>23</v>
      </c>
    </row>
    <row r="5216" spans="1:11">
      <c r="A5216" s="1">
        <v>45288</v>
      </c>
      <c r="B5216" t="s">
        <v>40</v>
      </c>
      <c r="C5216" t="s">
        <v>46</v>
      </c>
      <c r="D5216">
        <v>1783</v>
      </c>
      <c r="E5216">
        <v>351</v>
      </c>
      <c r="F5216">
        <v>145</v>
      </c>
      <c r="G5216">
        <v>107</v>
      </c>
      <c r="H5216">
        <v>2386</v>
      </c>
      <c r="I5216" s="1">
        <v>45261</v>
      </c>
      <c r="J5216">
        <v>252</v>
      </c>
      <c r="K5216" t="s">
        <v>23</v>
      </c>
    </row>
    <row r="5217" spans="1:11">
      <c r="A5217" s="1">
        <v>45288</v>
      </c>
      <c r="B5217" t="s">
        <v>40</v>
      </c>
      <c r="C5217" t="s">
        <v>31</v>
      </c>
      <c r="D5217">
        <v>2272</v>
      </c>
      <c r="E5217">
        <v>945</v>
      </c>
      <c r="F5217">
        <v>253</v>
      </c>
      <c r="G5217">
        <v>314</v>
      </c>
      <c r="H5217">
        <v>3785</v>
      </c>
      <c r="I5217" s="1">
        <v>45261</v>
      </c>
      <c r="J5217">
        <v>567</v>
      </c>
      <c r="K5217" t="s">
        <v>23</v>
      </c>
    </row>
    <row r="5218" spans="1:11">
      <c r="A5218" s="1">
        <v>45288</v>
      </c>
      <c r="B5218" t="s">
        <v>40</v>
      </c>
      <c r="C5218" t="s">
        <v>63</v>
      </c>
      <c r="D5218">
        <v>5341</v>
      </c>
      <c r="E5218">
        <v>2775</v>
      </c>
      <c r="F5218">
        <v>1498</v>
      </c>
      <c r="G5218">
        <v>2316</v>
      </c>
      <c r="H5218">
        <v>11930</v>
      </c>
      <c r="I5218" s="1">
        <v>45261</v>
      </c>
      <c r="J5218">
        <v>3814</v>
      </c>
      <c r="K5218" t="s">
        <v>23</v>
      </c>
    </row>
    <row r="5219" spans="1:11">
      <c r="A5219" s="1">
        <v>45288</v>
      </c>
      <c r="B5219" t="s">
        <v>40</v>
      </c>
      <c r="C5219" t="s">
        <v>60</v>
      </c>
      <c r="D5219">
        <v>7112</v>
      </c>
      <c r="E5219">
        <v>2143</v>
      </c>
      <c r="F5219">
        <v>1219</v>
      </c>
      <c r="G5219">
        <v>1397</v>
      </c>
      <c r="H5219">
        <v>11872</v>
      </c>
      <c r="I5219" s="1">
        <v>45261</v>
      </c>
      <c r="J5219">
        <v>2616</v>
      </c>
      <c r="K5219" t="s">
        <v>23</v>
      </c>
    </row>
    <row r="5220" spans="1:11">
      <c r="A5220" s="1">
        <v>45288</v>
      </c>
      <c r="B5220" t="s">
        <v>40</v>
      </c>
      <c r="C5220" t="s">
        <v>61</v>
      </c>
      <c r="D5220">
        <v>10665</v>
      </c>
      <c r="E5220">
        <v>6122</v>
      </c>
      <c r="F5220">
        <v>2630</v>
      </c>
      <c r="G5220">
        <v>4274</v>
      </c>
      <c r="H5220">
        <v>23692</v>
      </c>
      <c r="I5220" s="1">
        <v>45261</v>
      </c>
      <c r="J5220">
        <v>6904</v>
      </c>
      <c r="K5220" t="s">
        <v>23</v>
      </c>
    </row>
    <row r="5221" spans="1:11">
      <c r="A5221" s="1">
        <v>45288</v>
      </c>
      <c r="B5221" t="s">
        <v>40</v>
      </c>
      <c r="C5221" t="s">
        <v>62</v>
      </c>
      <c r="D5221">
        <v>2035</v>
      </c>
      <c r="E5221">
        <v>1615</v>
      </c>
      <c r="F5221">
        <v>1455</v>
      </c>
      <c r="G5221">
        <v>3710</v>
      </c>
      <c r="H5221">
        <v>8816</v>
      </c>
      <c r="I5221" s="1">
        <v>45261</v>
      </c>
      <c r="J5221">
        <v>5165</v>
      </c>
      <c r="K5221" t="s">
        <v>23</v>
      </c>
    </row>
    <row r="5222" spans="1:11">
      <c r="A5222" s="1">
        <v>45288</v>
      </c>
      <c r="B5222" t="s">
        <v>40</v>
      </c>
      <c r="C5222" t="s">
        <v>69</v>
      </c>
      <c r="D5222">
        <v>16088</v>
      </c>
      <c r="E5222">
        <v>4859</v>
      </c>
      <c r="F5222">
        <v>1325</v>
      </c>
      <c r="G5222">
        <v>1313</v>
      </c>
      <c r="H5222">
        <v>23585</v>
      </c>
      <c r="I5222" s="1">
        <v>45261</v>
      </c>
      <c r="J5222">
        <v>2638</v>
      </c>
      <c r="K5222" t="s">
        <v>23</v>
      </c>
    </row>
    <row r="5223" spans="1:11">
      <c r="A5223" s="1">
        <v>45288</v>
      </c>
      <c r="B5223" t="s">
        <v>40</v>
      </c>
      <c r="C5223" t="s">
        <v>24</v>
      </c>
      <c r="D5223">
        <v>443</v>
      </c>
      <c r="E5223">
        <v>219</v>
      </c>
      <c r="F5223">
        <v>54</v>
      </c>
      <c r="G5223">
        <v>16</v>
      </c>
      <c r="H5223">
        <v>732</v>
      </c>
      <c r="I5223" s="1">
        <v>45261</v>
      </c>
      <c r="J5223">
        <v>70</v>
      </c>
      <c r="K5223" t="s">
        <v>23</v>
      </c>
    </row>
    <row r="5224" spans="1:11">
      <c r="A5224" s="1">
        <v>45288</v>
      </c>
      <c r="B5224" t="s">
        <v>40</v>
      </c>
      <c r="C5224" t="s">
        <v>29</v>
      </c>
      <c r="D5224">
        <v>3674</v>
      </c>
      <c r="E5224">
        <v>1314</v>
      </c>
      <c r="F5224">
        <v>320</v>
      </c>
      <c r="G5224">
        <v>80</v>
      </c>
      <c r="H5224">
        <v>5389</v>
      </c>
      <c r="I5224" s="1">
        <v>45261</v>
      </c>
      <c r="J5224">
        <v>400</v>
      </c>
      <c r="K5224" t="s">
        <v>23</v>
      </c>
    </row>
    <row r="5225" spans="1:11">
      <c r="A5225" s="1">
        <v>45288</v>
      </c>
      <c r="B5225" t="s">
        <v>40</v>
      </c>
      <c r="C5225" t="s">
        <v>70</v>
      </c>
      <c r="D5225">
        <v>2713</v>
      </c>
      <c r="E5225">
        <v>930</v>
      </c>
      <c r="F5225">
        <v>406</v>
      </c>
      <c r="G5225">
        <v>210</v>
      </c>
      <c r="H5225">
        <v>4260</v>
      </c>
      <c r="I5225" s="1">
        <v>45261</v>
      </c>
      <c r="J5225">
        <v>616</v>
      </c>
      <c r="K5225" t="s">
        <v>23</v>
      </c>
    </row>
    <row r="5226" spans="1:11">
      <c r="A5226" s="1">
        <v>45288</v>
      </c>
      <c r="B5226" t="s">
        <v>40</v>
      </c>
      <c r="C5226" t="s">
        <v>71</v>
      </c>
      <c r="D5226">
        <v>17060</v>
      </c>
      <c r="E5226">
        <v>6544</v>
      </c>
      <c r="F5226">
        <v>1874</v>
      </c>
      <c r="G5226">
        <v>455</v>
      </c>
      <c r="H5226">
        <v>25933</v>
      </c>
      <c r="I5226" s="1">
        <v>45261</v>
      </c>
      <c r="J5226">
        <v>2329</v>
      </c>
      <c r="K5226" t="s">
        <v>23</v>
      </c>
    </row>
    <row r="5227" spans="1:11">
      <c r="A5227" s="1">
        <v>45288</v>
      </c>
      <c r="B5227" t="s">
        <v>40</v>
      </c>
      <c r="C5227" t="s">
        <v>36</v>
      </c>
      <c r="D5227">
        <v>14821</v>
      </c>
      <c r="E5227">
        <v>8786</v>
      </c>
      <c r="F5227">
        <v>4486</v>
      </c>
      <c r="G5227">
        <v>4661</v>
      </c>
      <c r="H5227">
        <v>32755</v>
      </c>
      <c r="I5227" s="1">
        <v>45261</v>
      </c>
      <c r="J5227">
        <v>9147</v>
      </c>
      <c r="K5227" t="s">
        <v>23</v>
      </c>
    </row>
    <row r="5228" spans="1:11">
      <c r="A5228" s="1">
        <v>45288</v>
      </c>
      <c r="B5228" t="s">
        <v>40</v>
      </c>
      <c r="C5228" t="s">
        <v>32</v>
      </c>
      <c r="D5228">
        <v>2418</v>
      </c>
      <c r="E5228">
        <v>748</v>
      </c>
      <c r="F5228">
        <v>141</v>
      </c>
      <c r="G5228">
        <v>52</v>
      </c>
      <c r="H5228">
        <v>3360</v>
      </c>
      <c r="I5228" s="1">
        <v>45261</v>
      </c>
      <c r="J5228">
        <v>193</v>
      </c>
      <c r="K5228" t="s">
        <v>23</v>
      </c>
    </row>
    <row r="5229" spans="1:11">
      <c r="A5229" s="1">
        <v>45288</v>
      </c>
      <c r="B5229" t="s">
        <v>40</v>
      </c>
      <c r="C5229" t="s">
        <v>44</v>
      </c>
      <c r="D5229">
        <v>5900</v>
      </c>
      <c r="E5229">
        <v>2380</v>
      </c>
      <c r="F5229">
        <v>562</v>
      </c>
      <c r="G5229">
        <v>140</v>
      </c>
      <c r="H5229">
        <v>8983</v>
      </c>
      <c r="I5229" s="1">
        <v>45261</v>
      </c>
      <c r="J5229">
        <v>702</v>
      </c>
      <c r="K5229" t="s">
        <v>23</v>
      </c>
    </row>
    <row r="5230" spans="1:11">
      <c r="A5230" s="1">
        <v>45288</v>
      </c>
      <c r="B5230" t="s">
        <v>40</v>
      </c>
      <c r="C5230" t="s">
        <v>59</v>
      </c>
      <c r="D5230">
        <v>14111</v>
      </c>
      <c r="E5230">
        <v>4478</v>
      </c>
      <c r="F5230">
        <v>1570</v>
      </c>
      <c r="G5230">
        <v>655</v>
      </c>
      <c r="H5230">
        <v>20815</v>
      </c>
      <c r="I5230" s="1">
        <v>45261</v>
      </c>
      <c r="J5230">
        <v>2225</v>
      </c>
      <c r="K5230" t="s">
        <v>23</v>
      </c>
    </row>
    <row r="5231" spans="1:11">
      <c r="A5231" s="1">
        <v>45288</v>
      </c>
      <c r="B5231" t="s">
        <v>40</v>
      </c>
      <c r="C5231" t="s">
        <v>67</v>
      </c>
      <c r="D5231">
        <v>18231</v>
      </c>
      <c r="E5231">
        <v>8275</v>
      </c>
      <c r="F5231">
        <v>3514</v>
      </c>
      <c r="G5231">
        <v>4808</v>
      </c>
      <c r="H5231">
        <v>34829</v>
      </c>
      <c r="I5231" s="1">
        <v>45261</v>
      </c>
      <c r="J5231">
        <v>8322</v>
      </c>
      <c r="K5231" t="s">
        <v>23</v>
      </c>
    </row>
    <row r="5232" spans="1:11">
      <c r="A5232" s="1">
        <v>45288</v>
      </c>
      <c r="B5232" t="s">
        <v>40</v>
      </c>
      <c r="C5232" t="s">
        <v>49</v>
      </c>
      <c r="D5232">
        <v>2875</v>
      </c>
      <c r="E5232">
        <v>778</v>
      </c>
      <c r="F5232">
        <v>204</v>
      </c>
      <c r="G5232">
        <v>80</v>
      </c>
      <c r="H5232">
        <v>3938</v>
      </c>
      <c r="I5232" s="1">
        <v>45261</v>
      </c>
      <c r="J5232">
        <v>284</v>
      </c>
      <c r="K5232" t="s">
        <v>23</v>
      </c>
    </row>
    <row r="5233" spans="1:11">
      <c r="A5233" s="1">
        <v>45316</v>
      </c>
      <c r="B5233" t="s">
        <v>40</v>
      </c>
      <c r="C5233" t="s">
        <v>50</v>
      </c>
      <c r="D5233">
        <v>626</v>
      </c>
      <c r="E5233">
        <v>218</v>
      </c>
      <c r="F5233">
        <v>63</v>
      </c>
      <c r="G5233">
        <v>37</v>
      </c>
      <c r="H5233">
        <v>944</v>
      </c>
      <c r="I5233" s="1">
        <v>45292</v>
      </c>
      <c r="J5233">
        <v>100</v>
      </c>
      <c r="K5233" t="s">
        <v>23</v>
      </c>
    </row>
    <row r="5234" spans="1:11">
      <c r="A5234" s="1">
        <v>45316</v>
      </c>
      <c r="B5234" t="s">
        <v>40</v>
      </c>
      <c r="C5234" t="s">
        <v>48</v>
      </c>
      <c r="D5234">
        <v>24513</v>
      </c>
      <c r="E5234">
        <v>9977</v>
      </c>
      <c r="F5234">
        <v>910</v>
      </c>
      <c r="G5234">
        <v>98</v>
      </c>
      <c r="H5234">
        <v>35497</v>
      </c>
      <c r="I5234" s="1">
        <v>45292</v>
      </c>
      <c r="J5234">
        <v>1008</v>
      </c>
      <c r="K5234" t="s">
        <v>23</v>
      </c>
    </row>
    <row r="5235" spans="1:11">
      <c r="A5235" s="1">
        <v>45316</v>
      </c>
      <c r="B5235" t="s">
        <v>40</v>
      </c>
      <c r="C5235" t="s">
        <v>41</v>
      </c>
      <c r="D5235">
        <v>5588</v>
      </c>
      <c r="E5235">
        <v>1652</v>
      </c>
      <c r="F5235">
        <v>22</v>
      </c>
      <c r="G5235">
        <v>18</v>
      </c>
      <c r="H5235">
        <v>7279</v>
      </c>
      <c r="I5235" s="1">
        <v>45292</v>
      </c>
      <c r="J5235">
        <v>40</v>
      </c>
      <c r="K5235" t="s">
        <v>23</v>
      </c>
    </row>
    <row r="5236" spans="1:11">
      <c r="A5236" s="1">
        <v>45316</v>
      </c>
      <c r="B5236" t="s">
        <v>40</v>
      </c>
      <c r="C5236" t="s">
        <v>33</v>
      </c>
      <c r="D5236">
        <v>1370</v>
      </c>
      <c r="E5236">
        <v>922</v>
      </c>
      <c r="F5236">
        <v>285</v>
      </c>
      <c r="G5236">
        <v>60</v>
      </c>
      <c r="H5236">
        <v>2636</v>
      </c>
      <c r="I5236" s="1">
        <v>45292</v>
      </c>
      <c r="J5236">
        <v>345</v>
      </c>
      <c r="K5236" t="s">
        <v>23</v>
      </c>
    </row>
    <row r="5237" spans="1:11">
      <c r="A5237" s="1">
        <v>45316</v>
      </c>
      <c r="B5237" t="s">
        <v>40</v>
      </c>
      <c r="C5237" t="s">
        <v>65</v>
      </c>
      <c r="D5237">
        <v>13986</v>
      </c>
      <c r="E5237">
        <v>7351</v>
      </c>
      <c r="F5237">
        <v>3463</v>
      </c>
      <c r="G5237">
        <v>5222</v>
      </c>
      <c r="H5237">
        <v>30021</v>
      </c>
      <c r="I5237" s="1">
        <v>45292</v>
      </c>
      <c r="J5237">
        <v>8685</v>
      </c>
      <c r="K5237" t="s">
        <v>23</v>
      </c>
    </row>
    <row r="5238" spans="1:11">
      <c r="A5238" s="1">
        <v>45316</v>
      </c>
      <c r="B5238" t="s">
        <v>40</v>
      </c>
      <c r="C5238" t="s">
        <v>27</v>
      </c>
      <c r="D5238">
        <v>2951</v>
      </c>
      <c r="E5238">
        <v>1347</v>
      </c>
      <c r="F5238">
        <v>255</v>
      </c>
      <c r="G5238">
        <v>112</v>
      </c>
      <c r="H5238">
        <v>4665</v>
      </c>
      <c r="I5238" s="1">
        <v>45292</v>
      </c>
      <c r="J5238">
        <v>367</v>
      </c>
      <c r="K5238" t="s">
        <v>23</v>
      </c>
    </row>
    <row r="5239" spans="1:11">
      <c r="A5239" s="1">
        <v>45316</v>
      </c>
      <c r="B5239" t="s">
        <v>40</v>
      </c>
      <c r="C5239" t="s">
        <v>37</v>
      </c>
      <c r="D5239">
        <v>480</v>
      </c>
      <c r="E5239">
        <v>354</v>
      </c>
      <c r="F5239">
        <v>227</v>
      </c>
      <c r="G5239">
        <v>5</v>
      </c>
      <c r="H5239">
        <v>1066</v>
      </c>
      <c r="I5239" s="1">
        <v>45292</v>
      </c>
      <c r="J5239">
        <v>232</v>
      </c>
      <c r="K5239" t="s">
        <v>23</v>
      </c>
    </row>
    <row r="5240" spans="1:11">
      <c r="A5240" s="1">
        <v>45316</v>
      </c>
      <c r="B5240" t="s">
        <v>40</v>
      </c>
      <c r="C5240" t="s">
        <v>66</v>
      </c>
      <c r="D5240">
        <v>20817</v>
      </c>
      <c r="E5240">
        <v>9212</v>
      </c>
      <c r="F5240">
        <v>4327</v>
      </c>
      <c r="G5240">
        <v>7475</v>
      </c>
      <c r="H5240">
        <v>41830</v>
      </c>
      <c r="I5240" s="1">
        <v>45292</v>
      </c>
      <c r="J5240">
        <v>11802</v>
      </c>
      <c r="K5240" t="s">
        <v>23</v>
      </c>
    </row>
    <row r="5241" spans="1:11">
      <c r="A5241" s="1">
        <v>45316</v>
      </c>
      <c r="B5241" t="s">
        <v>40</v>
      </c>
      <c r="C5241" t="s">
        <v>57</v>
      </c>
      <c r="D5241">
        <v>7678</v>
      </c>
      <c r="E5241">
        <v>2203</v>
      </c>
      <c r="F5241">
        <v>1098</v>
      </c>
      <c r="G5241">
        <v>1586</v>
      </c>
      <c r="H5241">
        <v>12565</v>
      </c>
      <c r="I5241" s="1">
        <v>45292</v>
      </c>
      <c r="J5241">
        <v>2684</v>
      </c>
      <c r="K5241" t="s">
        <v>23</v>
      </c>
    </row>
    <row r="5242" spans="1:11">
      <c r="A5242" s="1">
        <v>45316</v>
      </c>
      <c r="B5242" t="s">
        <v>40</v>
      </c>
      <c r="C5242" t="s">
        <v>28</v>
      </c>
      <c r="D5242">
        <v>2178</v>
      </c>
      <c r="E5242">
        <v>851</v>
      </c>
      <c r="F5242">
        <v>228</v>
      </c>
      <c r="G5242">
        <v>52</v>
      </c>
      <c r="H5242">
        <v>3308</v>
      </c>
      <c r="I5242" s="1">
        <v>45292</v>
      </c>
      <c r="J5242">
        <v>280</v>
      </c>
      <c r="K5242" t="s">
        <v>23</v>
      </c>
    </row>
    <row r="5243" spans="1:11">
      <c r="A5243" s="1">
        <v>45316</v>
      </c>
      <c r="B5243" t="s">
        <v>40</v>
      </c>
      <c r="C5243" t="s">
        <v>68</v>
      </c>
      <c r="D5243">
        <v>22236</v>
      </c>
      <c r="E5243">
        <v>8233</v>
      </c>
      <c r="F5243">
        <v>3266</v>
      </c>
      <c r="G5243">
        <v>5288</v>
      </c>
      <c r="H5243">
        <v>39024</v>
      </c>
      <c r="I5243" s="1">
        <v>45292</v>
      </c>
      <c r="J5243">
        <v>8554</v>
      </c>
      <c r="K5243" t="s">
        <v>23</v>
      </c>
    </row>
    <row r="5244" spans="1:11">
      <c r="A5244" s="1">
        <v>45316</v>
      </c>
      <c r="B5244" t="s">
        <v>40</v>
      </c>
      <c r="C5244" t="s">
        <v>47</v>
      </c>
      <c r="D5244">
        <v>3716</v>
      </c>
      <c r="E5244">
        <v>1371</v>
      </c>
      <c r="F5244">
        <v>462</v>
      </c>
      <c r="G5244">
        <v>449</v>
      </c>
      <c r="H5244">
        <v>5999</v>
      </c>
      <c r="I5244" s="1">
        <v>45292</v>
      </c>
      <c r="J5244">
        <v>911</v>
      </c>
      <c r="K5244" t="s">
        <v>23</v>
      </c>
    </row>
    <row r="5245" spans="1:11">
      <c r="A5245" s="1">
        <v>45316</v>
      </c>
      <c r="B5245" t="s">
        <v>40</v>
      </c>
      <c r="C5245" t="s">
        <v>25</v>
      </c>
      <c r="D5245">
        <v>2944</v>
      </c>
      <c r="E5245">
        <v>1531</v>
      </c>
      <c r="F5245">
        <v>469</v>
      </c>
      <c r="G5245">
        <v>697</v>
      </c>
      <c r="H5245">
        <v>5642</v>
      </c>
      <c r="I5245" s="1">
        <v>45292</v>
      </c>
      <c r="J5245">
        <v>1166</v>
      </c>
      <c r="K5245" t="s">
        <v>23</v>
      </c>
    </row>
    <row r="5246" spans="1:11">
      <c r="A5246" s="1">
        <v>45316</v>
      </c>
      <c r="B5246" t="s">
        <v>40</v>
      </c>
      <c r="C5246" t="s">
        <v>51</v>
      </c>
      <c r="D5246">
        <v>4445</v>
      </c>
      <c r="E5246">
        <v>1842</v>
      </c>
      <c r="F5246">
        <v>992</v>
      </c>
      <c r="G5246">
        <v>1148</v>
      </c>
      <c r="H5246">
        <v>8426</v>
      </c>
      <c r="I5246" s="1">
        <v>45292</v>
      </c>
      <c r="J5246">
        <v>2140</v>
      </c>
      <c r="K5246" t="s">
        <v>23</v>
      </c>
    </row>
    <row r="5247" spans="1:11">
      <c r="A5247" s="1">
        <v>45316</v>
      </c>
      <c r="B5247" t="s">
        <v>40</v>
      </c>
      <c r="C5247" t="s">
        <v>45</v>
      </c>
      <c r="D5247">
        <v>2137</v>
      </c>
      <c r="E5247">
        <v>1079</v>
      </c>
      <c r="F5247">
        <v>447</v>
      </c>
      <c r="G5247">
        <v>423</v>
      </c>
      <c r="H5247">
        <v>4086</v>
      </c>
      <c r="I5247" s="1">
        <v>45292</v>
      </c>
      <c r="J5247">
        <v>870</v>
      </c>
      <c r="K5247" t="s">
        <v>23</v>
      </c>
    </row>
    <row r="5248" spans="1:11">
      <c r="A5248" s="1">
        <v>45316</v>
      </c>
      <c r="B5248" t="s">
        <v>40</v>
      </c>
      <c r="C5248" t="s">
        <v>39</v>
      </c>
      <c r="D5248">
        <v>6107</v>
      </c>
      <c r="E5248">
        <v>2782</v>
      </c>
      <c r="F5248">
        <v>680</v>
      </c>
      <c r="G5248">
        <v>159</v>
      </c>
      <c r="H5248">
        <v>9727</v>
      </c>
      <c r="I5248" s="1">
        <v>45292</v>
      </c>
      <c r="J5248">
        <v>839</v>
      </c>
      <c r="K5248" t="s">
        <v>23</v>
      </c>
    </row>
    <row r="5249" spans="1:11">
      <c r="A5249" s="1">
        <v>45316</v>
      </c>
      <c r="B5249" t="s">
        <v>40</v>
      </c>
      <c r="C5249" t="s">
        <v>54</v>
      </c>
      <c r="D5249">
        <v>2889</v>
      </c>
      <c r="E5249">
        <v>1838</v>
      </c>
      <c r="F5249">
        <v>530</v>
      </c>
      <c r="G5249">
        <v>139</v>
      </c>
      <c r="H5249">
        <v>5396</v>
      </c>
      <c r="I5249" s="1">
        <v>45292</v>
      </c>
      <c r="J5249">
        <v>669</v>
      </c>
      <c r="K5249" t="s">
        <v>23</v>
      </c>
    </row>
    <row r="5250" spans="1:11">
      <c r="A5250" s="1">
        <v>45316</v>
      </c>
      <c r="B5250" t="s">
        <v>40</v>
      </c>
      <c r="C5250" t="s">
        <v>35</v>
      </c>
      <c r="D5250">
        <v>324</v>
      </c>
      <c r="E5250">
        <v>256</v>
      </c>
      <c r="F5250">
        <v>186</v>
      </c>
      <c r="G5250">
        <v>24</v>
      </c>
      <c r="H5250">
        <v>790</v>
      </c>
      <c r="I5250" s="1">
        <v>45292</v>
      </c>
      <c r="J5250">
        <v>210</v>
      </c>
      <c r="K5250" t="s">
        <v>23</v>
      </c>
    </row>
    <row r="5251" spans="1:11">
      <c r="A5251" s="1">
        <v>45316</v>
      </c>
      <c r="B5251" t="s">
        <v>40</v>
      </c>
      <c r="C5251" t="s">
        <v>52</v>
      </c>
      <c r="D5251">
        <v>7978</v>
      </c>
      <c r="E5251">
        <v>2770</v>
      </c>
      <c r="F5251">
        <v>96</v>
      </c>
      <c r="G5251">
        <v>52</v>
      </c>
      <c r="H5251">
        <v>10896</v>
      </c>
      <c r="I5251" s="1">
        <v>45292</v>
      </c>
      <c r="J5251">
        <v>148</v>
      </c>
      <c r="K5251" t="s">
        <v>23</v>
      </c>
    </row>
    <row r="5252" spans="1:11">
      <c r="A5252" s="1">
        <v>45316</v>
      </c>
      <c r="B5252" t="s">
        <v>40</v>
      </c>
      <c r="C5252" t="s">
        <v>22</v>
      </c>
      <c r="D5252">
        <v>3288</v>
      </c>
      <c r="E5252">
        <v>2072</v>
      </c>
      <c r="F5252">
        <v>510</v>
      </c>
      <c r="G5252">
        <v>358</v>
      </c>
      <c r="H5252">
        <v>6228</v>
      </c>
      <c r="I5252" s="1">
        <v>45292</v>
      </c>
      <c r="J5252">
        <v>868</v>
      </c>
      <c r="K5252" t="s">
        <v>23</v>
      </c>
    </row>
    <row r="5253" spans="1:11">
      <c r="A5253" s="1">
        <v>45316</v>
      </c>
      <c r="B5253" t="s">
        <v>40</v>
      </c>
      <c r="C5253" t="s">
        <v>46</v>
      </c>
      <c r="D5253">
        <v>1840</v>
      </c>
      <c r="E5253">
        <v>366</v>
      </c>
      <c r="F5253">
        <v>139</v>
      </c>
      <c r="G5253">
        <v>121</v>
      </c>
      <c r="H5253">
        <v>2466</v>
      </c>
      <c r="I5253" s="1">
        <v>45292</v>
      </c>
      <c r="J5253">
        <v>260</v>
      </c>
      <c r="K5253" t="s">
        <v>23</v>
      </c>
    </row>
    <row r="5254" spans="1:11">
      <c r="A5254" s="1">
        <v>45316</v>
      </c>
      <c r="B5254" t="s">
        <v>40</v>
      </c>
      <c r="C5254" t="s">
        <v>31</v>
      </c>
      <c r="D5254">
        <v>2244</v>
      </c>
      <c r="E5254">
        <v>918</v>
      </c>
      <c r="F5254">
        <v>250</v>
      </c>
      <c r="G5254">
        <v>291</v>
      </c>
      <c r="H5254">
        <v>3703</v>
      </c>
      <c r="I5254" s="1">
        <v>45292</v>
      </c>
      <c r="J5254">
        <v>541</v>
      </c>
      <c r="K5254" t="s">
        <v>23</v>
      </c>
    </row>
    <row r="5255" spans="1:11">
      <c r="A5255" s="1">
        <v>45316</v>
      </c>
      <c r="B5255" t="s">
        <v>40</v>
      </c>
      <c r="C5255" t="s">
        <v>63</v>
      </c>
      <c r="D5255">
        <v>5487</v>
      </c>
      <c r="E5255">
        <v>2898</v>
      </c>
      <c r="F5255">
        <v>1535</v>
      </c>
      <c r="G5255">
        <v>2202</v>
      </c>
      <c r="H5255">
        <v>12122</v>
      </c>
      <c r="I5255" s="1">
        <v>45292</v>
      </c>
      <c r="J5255">
        <v>3737</v>
      </c>
      <c r="K5255" t="s">
        <v>23</v>
      </c>
    </row>
    <row r="5256" spans="1:11">
      <c r="A5256" s="1">
        <v>45316</v>
      </c>
      <c r="B5256" t="s">
        <v>40</v>
      </c>
      <c r="C5256" t="s">
        <v>60</v>
      </c>
      <c r="D5256">
        <v>7221</v>
      </c>
      <c r="E5256">
        <v>2112</v>
      </c>
      <c r="F5256">
        <v>1140</v>
      </c>
      <c r="G5256">
        <v>1407</v>
      </c>
      <c r="H5256">
        <v>11880</v>
      </c>
      <c r="I5256" s="1">
        <v>45292</v>
      </c>
      <c r="J5256">
        <v>2547</v>
      </c>
      <c r="K5256" t="s">
        <v>23</v>
      </c>
    </row>
    <row r="5257" spans="1:11">
      <c r="A5257" s="1">
        <v>45316</v>
      </c>
      <c r="B5257" t="s">
        <v>40</v>
      </c>
      <c r="C5257" t="s">
        <v>61</v>
      </c>
      <c r="D5257">
        <v>10725</v>
      </c>
      <c r="E5257">
        <v>6310</v>
      </c>
      <c r="F5257">
        <v>2645</v>
      </c>
      <c r="G5257">
        <v>4132</v>
      </c>
      <c r="H5257">
        <v>23811</v>
      </c>
      <c r="I5257" s="1">
        <v>45292</v>
      </c>
      <c r="J5257">
        <v>6777</v>
      </c>
      <c r="K5257" t="s">
        <v>23</v>
      </c>
    </row>
    <row r="5258" spans="1:11">
      <c r="A5258" s="1">
        <v>45316</v>
      </c>
      <c r="B5258" t="s">
        <v>40</v>
      </c>
      <c r="C5258" t="s">
        <v>62</v>
      </c>
      <c r="D5258">
        <v>1902</v>
      </c>
      <c r="E5258">
        <v>1430</v>
      </c>
      <c r="F5258">
        <v>1111</v>
      </c>
      <c r="G5258">
        <v>3404</v>
      </c>
      <c r="H5258">
        <v>7848</v>
      </c>
      <c r="I5258" s="1">
        <v>45292</v>
      </c>
      <c r="J5258">
        <v>4515</v>
      </c>
      <c r="K5258" t="s">
        <v>23</v>
      </c>
    </row>
    <row r="5259" spans="1:11">
      <c r="A5259" s="1">
        <v>45316</v>
      </c>
      <c r="B5259" t="s">
        <v>40</v>
      </c>
      <c r="C5259" t="s">
        <v>69</v>
      </c>
      <c r="D5259">
        <v>16083</v>
      </c>
      <c r="E5259">
        <v>4857</v>
      </c>
      <c r="F5259">
        <v>1320</v>
      </c>
      <c r="G5259">
        <v>1312</v>
      </c>
      <c r="H5259">
        <v>23572</v>
      </c>
      <c r="I5259" s="1">
        <v>45292</v>
      </c>
      <c r="J5259">
        <v>2632</v>
      </c>
      <c r="K5259" t="s">
        <v>23</v>
      </c>
    </row>
    <row r="5260" spans="1:11">
      <c r="A5260" s="1">
        <v>45316</v>
      </c>
      <c r="B5260" t="s">
        <v>40</v>
      </c>
      <c r="C5260" t="s">
        <v>24</v>
      </c>
      <c r="D5260">
        <v>464</v>
      </c>
      <c r="E5260">
        <v>261</v>
      </c>
      <c r="F5260">
        <v>37</v>
      </c>
      <c r="G5260">
        <v>3</v>
      </c>
      <c r="H5260">
        <v>765</v>
      </c>
      <c r="I5260" s="1">
        <v>45292</v>
      </c>
      <c r="J5260">
        <v>40</v>
      </c>
      <c r="K5260" t="s">
        <v>23</v>
      </c>
    </row>
    <row r="5261" spans="1:11">
      <c r="A5261" s="1">
        <v>45316</v>
      </c>
      <c r="B5261" t="s">
        <v>40</v>
      </c>
      <c r="C5261" t="s">
        <v>29</v>
      </c>
      <c r="D5261">
        <v>3604</v>
      </c>
      <c r="E5261">
        <v>1377</v>
      </c>
      <c r="F5261">
        <v>350</v>
      </c>
      <c r="G5261">
        <v>109</v>
      </c>
      <c r="H5261">
        <v>5440</v>
      </c>
      <c r="I5261" s="1">
        <v>45292</v>
      </c>
      <c r="J5261">
        <v>459</v>
      </c>
      <c r="K5261" t="s">
        <v>23</v>
      </c>
    </row>
    <row r="5262" spans="1:11">
      <c r="A5262" s="1">
        <v>45316</v>
      </c>
      <c r="B5262" t="s">
        <v>40</v>
      </c>
      <c r="C5262" t="s">
        <v>70</v>
      </c>
      <c r="D5262">
        <v>2588</v>
      </c>
      <c r="E5262">
        <v>977</v>
      </c>
      <c r="F5262">
        <v>364</v>
      </c>
      <c r="G5262">
        <v>236</v>
      </c>
      <c r="H5262">
        <v>4166</v>
      </c>
      <c r="I5262" s="1">
        <v>45292</v>
      </c>
      <c r="J5262">
        <v>600</v>
      </c>
      <c r="K5262" t="s">
        <v>23</v>
      </c>
    </row>
    <row r="5263" spans="1:11">
      <c r="A5263" s="1">
        <v>45316</v>
      </c>
      <c r="B5263" t="s">
        <v>40</v>
      </c>
      <c r="C5263" t="s">
        <v>71</v>
      </c>
      <c r="D5263">
        <v>17124</v>
      </c>
      <c r="E5263">
        <v>7172</v>
      </c>
      <c r="F5263">
        <v>1945</v>
      </c>
      <c r="G5263">
        <v>560</v>
      </c>
      <c r="H5263">
        <v>26801</v>
      </c>
      <c r="I5263" s="1">
        <v>45292</v>
      </c>
      <c r="J5263">
        <v>2505</v>
      </c>
      <c r="K5263" t="s">
        <v>23</v>
      </c>
    </row>
    <row r="5264" spans="1:11">
      <c r="A5264" s="1">
        <v>45316</v>
      </c>
      <c r="B5264" t="s">
        <v>40</v>
      </c>
      <c r="C5264" t="s">
        <v>36</v>
      </c>
      <c r="D5264">
        <v>14201</v>
      </c>
      <c r="E5264">
        <v>8856</v>
      </c>
      <c r="F5264">
        <v>4254</v>
      </c>
      <c r="G5264">
        <v>4435</v>
      </c>
      <c r="H5264">
        <v>31745</v>
      </c>
      <c r="I5264" s="1">
        <v>45292</v>
      </c>
      <c r="J5264">
        <v>8689</v>
      </c>
      <c r="K5264" t="s">
        <v>23</v>
      </c>
    </row>
    <row r="5265" spans="1:11">
      <c r="A5265" s="1">
        <v>45316</v>
      </c>
      <c r="B5265" t="s">
        <v>40</v>
      </c>
      <c r="C5265" t="s">
        <v>32</v>
      </c>
      <c r="D5265">
        <v>2315</v>
      </c>
      <c r="E5265">
        <v>852</v>
      </c>
      <c r="F5265">
        <v>133</v>
      </c>
      <c r="G5265">
        <v>50</v>
      </c>
      <c r="H5265">
        <v>3351</v>
      </c>
      <c r="I5265" s="1">
        <v>45292</v>
      </c>
      <c r="J5265">
        <v>183</v>
      </c>
      <c r="K5265" t="s">
        <v>23</v>
      </c>
    </row>
    <row r="5266" spans="1:11">
      <c r="A5266" s="1">
        <v>45316</v>
      </c>
      <c r="B5266" t="s">
        <v>40</v>
      </c>
      <c r="C5266" t="s">
        <v>44</v>
      </c>
      <c r="D5266">
        <v>6271</v>
      </c>
      <c r="E5266">
        <v>2520</v>
      </c>
      <c r="F5266">
        <v>648</v>
      </c>
      <c r="G5266">
        <v>117</v>
      </c>
      <c r="H5266">
        <v>9556</v>
      </c>
      <c r="I5266" s="1">
        <v>45292</v>
      </c>
      <c r="J5266">
        <v>765</v>
      </c>
      <c r="K5266" t="s">
        <v>23</v>
      </c>
    </row>
    <row r="5267" spans="1:11">
      <c r="A5267" s="1">
        <v>45316</v>
      </c>
      <c r="B5267" t="s">
        <v>40</v>
      </c>
      <c r="C5267" t="s">
        <v>59</v>
      </c>
      <c r="D5267">
        <v>14095</v>
      </c>
      <c r="E5267">
        <v>4579</v>
      </c>
      <c r="F5267">
        <v>1297</v>
      </c>
      <c r="G5267">
        <v>702</v>
      </c>
      <c r="H5267">
        <v>20674</v>
      </c>
      <c r="I5267" s="1">
        <v>45292</v>
      </c>
      <c r="J5267">
        <v>1999</v>
      </c>
      <c r="K5267" t="s">
        <v>23</v>
      </c>
    </row>
    <row r="5268" spans="1:11">
      <c r="A5268" s="1">
        <v>45316</v>
      </c>
      <c r="B5268" t="s">
        <v>40</v>
      </c>
      <c r="C5268" t="s">
        <v>67</v>
      </c>
      <c r="D5268">
        <v>17757</v>
      </c>
      <c r="E5268">
        <v>8863</v>
      </c>
      <c r="F5268">
        <v>3548</v>
      </c>
      <c r="G5268">
        <v>4915</v>
      </c>
      <c r="H5268">
        <v>35083</v>
      </c>
      <c r="I5268" s="1">
        <v>45292</v>
      </c>
      <c r="J5268">
        <v>8463</v>
      </c>
      <c r="K5268" t="s">
        <v>23</v>
      </c>
    </row>
    <row r="5269" spans="1:11">
      <c r="A5269" s="1">
        <v>45316</v>
      </c>
      <c r="B5269" t="s">
        <v>40</v>
      </c>
      <c r="C5269" t="s">
        <v>49</v>
      </c>
      <c r="D5269">
        <v>2761</v>
      </c>
      <c r="E5269">
        <v>874</v>
      </c>
      <c r="F5269">
        <v>195</v>
      </c>
      <c r="G5269">
        <v>83</v>
      </c>
      <c r="H5269">
        <v>3912</v>
      </c>
      <c r="I5269" s="1">
        <v>45292</v>
      </c>
      <c r="J5269">
        <v>278</v>
      </c>
      <c r="K5269" t="s">
        <v>23</v>
      </c>
    </row>
    <row r="5270" spans="1:11">
      <c r="A5270" s="1">
        <v>45351</v>
      </c>
      <c r="B5270" t="s">
        <v>40</v>
      </c>
      <c r="C5270" t="s">
        <v>50</v>
      </c>
      <c r="D5270">
        <v>678</v>
      </c>
      <c r="E5270">
        <v>214</v>
      </c>
      <c r="F5270">
        <v>76</v>
      </c>
      <c r="G5270">
        <v>40</v>
      </c>
      <c r="H5270">
        <v>1008</v>
      </c>
      <c r="I5270" s="1">
        <v>45323</v>
      </c>
      <c r="J5270">
        <v>116</v>
      </c>
      <c r="K5270" t="s">
        <v>23</v>
      </c>
    </row>
    <row r="5271" spans="1:11">
      <c r="A5271" s="1">
        <v>45351</v>
      </c>
      <c r="B5271" t="s">
        <v>40</v>
      </c>
      <c r="C5271" t="s">
        <v>48</v>
      </c>
      <c r="D5271">
        <v>25466</v>
      </c>
      <c r="E5271">
        <v>10376</v>
      </c>
      <c r="F5271">
        <v>1341</v>
      </c>
      <c r="G5271">
        <v>150</v>
      </c>
      <c r="H5271">
        <v>37333</v>
      </c>
      <c r="I5271" s="1">
        <v>45323</v>
      </c>
      <c r="J5271">
        <v>1491</v>
      </c>
      <c r="K5271" t="s">
        <v>23</v>
      </c>
    </row>
    <row r="5272" spans="1:11">
      <c r="A5272" s="1">
        <v>45351</v>
      </c>
      <c r="B5272" t="s">
        <v>40</v>
      </c>
      <c r="C5272" t="s">
        <v>33</v>
      </c>
      <c r="D5272">
        <v>1462</v>
      </c>
      <c r="E5272">
        <v>895</v>
      </c>
      <c r="F5272">
        <v>263</v>
      </c>
      <c r="G5272">
        <v>36</v>
      </c>
      <c r="H5272">
        <v>2655</v>
      </c>
      <c r="I5272" s="1">
        <v>45323</v>
      </c>
      <c r="J5272">
        <v>299</v>
      </c>
      <c r="K5272" t="s">
        <v>23</v>
      </c>
    </row>
    <row r="5273" spans="1:11">
      <c r="A5273" s="1">
        <v>45351</v>
      </c>
      <c r="B5273" t="s">
        <v>40</v>
      </c>
      <c r="C5273" t="s">
        <v>65</v>
      </c>
      <c r="D5273">
        <v>14669</v>
      </c>
      <c r="E5273">
        <v>7393</v>
      </c>
      <c r="F5273">
        <v>3374</v>
      </c>
      <c r="G5273">
        <v>5048</v>
      </c>
      <c r="H5273">
        <v>30484</v>
      </c>
      <c r="I5273" s="1">
        <v>45323</v>
      </c>
      <c r="J5273">
        <v>8422</v>
      </c>
      <c r="K5273" t="s">
        <v>23</v>
      </c>
    </row>
    <row r="5274" spans="1:11">
      <c r="A5274" s="1">
        <v>45351</v>
      </c>
      <c r="B5274" t="s">
        <v>40</v>
      </c>
      <c r="C5274" t="s">
        <v>27</v>
      </c>
      <c r="D5274">
        <v>3102</v>
      </c>
      <c r="E5274">
        <v>1373</v>
      </c>
      <c r="F5274">
        <v>308</v>
      </c>
      <c r="G5274">
        <v>91</v>
      </c>
      <c r="H5274">
        <v>4874</v>
      </c>
      <c r="I5274" s="1">
        <v>45323</v>
      </c>
      <c r="J5274">
        <v>399</v>
      </c>
      <c r="K5274" t="s">
        <v>23</v>
      </c>
    </row>
    <row r="5275" spans="1:11">
      <c r="A5275" s="1">
        <v>45351</v>
      </c>
      <c r="B5275" t="s">
        <v>40</v>
      </c>
      <c r="C5275" t="s">
        <v>37</v>
      </c>
      <c r="D5275">
        <v>460</v>
      </c>
      <c r="E5275">
        <v>373</v>
      </c>
      <c r="F5275">
        <v>234</v>
      </c>
      <c r="G5275">
        <v>19</v>
      </c>
      <c r="H5275">
        <v>1086</v>
      </c>
      <c r="I5275" s="1">
        <v>45323</v>
      </c>
      <c r="J5275">
        <v>253</v>
      </c>
      <c r="K5275" t="s">
        <v>23</v>
      </c>
    </row>
    <row r="5276" spans="1:11">
      <c r="A5276" s="1">
        <v>45351</v>
      </c>
      <c r="B5276" t="s">
        <v>40</v>
      </c>
      <c r="C5276" t="s">
        <v>66</v>
      </c>
      <c r="D5276">
        <v>22013</v>
      </c>
      <c r="E5276">
        <v>8536</v>
      </c>
      <c r="F5276">
        <v>4250</v>
      </c>
      <c r="G5276">
        <v>7699</v>
      </c>
      <c r="H5276">
        <v>42498</v>
      </c>
      <c r="I5276" s="1">
        <v>45323</v>
      </c>
      <c r="J5276">
        <v>11949</v>
      </c>
      <c r="K5276" t="s">
        <v>23</v>
      </c>
    </row>
    <row r="5277" spans="1:11">
      <c r="A5277" s="1">
        <v>45351</v>
      </c>
      <c r="B5277" t="s">
        <v>40</v>
      </c>
      <c r="C5277" t="s">
        <v>57</v>
      </c>
      <c r="D5277">
        <v>7795</v>
      </c>
      <c r="E5277">
        <v>2221</v>
      </c>
      <c r="F5277">
        <v>1060</v>
      </c>
      <c r="G5277">
        <v>1660</v>
      </c>
      <c r="H5277">
        <v>12736</v>
      </c>
      <c r="I5277" s="1">
        <v>45323</v>
      </c>
      <c r="J5277">
        <v>2720</v>
      </c>
      <c r="K5277" t="s">
        <v>23</v>
      </c>
    </row>
    <row r="5278" spans="1:11">
      <c r="A5278" s="1">
        <v>45351</v>
      </c>
      <c r="B5278" t="s">
        <v>40</v>
      </c>
      <c r="C5278" t="s">
        <v>28</v>
      </c>
      <c r="D5278">
        <v>2251</v>
      </c>
      <c r="E5278">
        <v>826</v>
      </c>
      <c r="F5278">
        <v>282</v>
      </c>
      <c r="G5278">
        <v>43</v>
      </c>
      <c r="H5278">
        <v>3402</v>
      </c>
      <c r="I5278" s="1">
        <v>45323</v>
      </c>
      <c r="J5278">
        <v>325</v>
      </c>
      <c r="K5278" t="s">
        <v>23</v>
      </c>
    </row>
    <row r="5279" spans="1:11">
      <c r="A5279" s="1">
        <v>45351</v>
      </c>
      <c r="B5279" t="s">
        <v>40</v>
      </c>
      <c r="C5279" t="s">
        <v>68</v>
      </c>
      <c r="D5279">
        <v>21994</v>
      </c>
      <c r="E5279">
        <v>7767</v>
      </c>
      <c r="F5279">
        <v>3176</v>
      </c>
      <c r="G5279">
        <v>5191</v>
      </c>
      <c r="H5279">
        <v>38127</v>
      </c>
      <c r="I5279" s="1">
        <v>45323</v>
      </c>
      <c r="J5279">
        <v>8367</v>
      </c>
      <c r="K5279" t="s">
        <v>23</v>
      </c>
    </row>
    <row r="5280" spans="1:11">
      <c r="A5280" s="1">
        <v>45351</v>
      </c>
      <c r="B5280" t="s">
        <v>40</v>
      </c>
      <c r="C5280" t="s">
        <v>47</v>
      </c>
      <c r="D5280">
        <v>3882</v>
      </c>
      <c r="E5280">
        <v>1315</v>
      </c>
      <c r="F5280">
        <v>447</v>
      </c>
      <c r="G5280">
        <v>427</v>
      </c>
      <c r="H5280">
        <v>6071</v>
      </c>
      <c r="I5280" s="1">
        <v>45323</v>
      </c>
      <c r="J5280">
        <v>874</v>
      </c>
      <c r="K5280" t="s">
        <v>23</v>
      </c>
    </row>
    <row r="5281" spans="1:11">
      <c r="A5281" s="1">
        <v>45351</v>
      </c>
      <c r="B5281" t="s">
        <v>40</v>
      </c>
      <c r="C5281" t="s">
        <v>25</v>
      </c>
      <c r="D5281">
        <v>3025</v>
      </c>
      <c r="E5281">
        <v>1358</v>
      </c>
      <c r="F5281">
        <v>557</v>
      </c>
      <c r="G5281">
        <v>846</v>
      </c>
      <c r="H5281">
        <v>5786</v>
      </c>
      <c r="I5281" s="1">
        <v>45323</v>
      </c>
      <c r="J5281">
        <v>1403</v>
      </c>
      <c r="K5281" t="s">
        <v>23</v>
      </c>
    </row>
    <row r="5282" spans="1:11">
      <c r="A5282" s="1">
        <v>45351</v>
      </c>
      <c r="B5282" t="s">
        <v>40</v>
      </c>
      <c r="C5282" t="s">
        <v>51</v>
      </c>
      <c r="D5282">
        <v>4531</v>
      </c>
      <c r="E5282">
        <v>1684</v>
      </c>
      <c r="F5282">
        <v>1011</v>
      </c>
      <c r="G5282">
        <v>1073</v>
      </c>
      <c r="H5282">
        <v>8299</v>
      </c>
      <c r="I5282" s="1">
        <v>45323</v>
      </c>
      <c r="J5282">
        <v>2084</v>
      </c>
      <c r="K5282" t="s">
        <v>23</v>
      </c>
    </row>
    <row r="5283" spans="1:11">
      <c r="A5283" s="1">
        <v>45351</v>
      </c>
      <c r="B5283" t="s">
        <v>40</v>
      </c>
      <c r="C5283" t="s">
        <v>45</v>
      </c>
      <c r="D5283">
        <v>2232</v>
      </c>
      <c r="E5283">
        <v>1075</v>
      </c>
      <c r="F5283">
        <v>455</v>
      </c>
      <c r="G5283">
        <v>453</v>
      </c>
      <c r="H5283">
        <v>4214</v>
      </c>
      <c r="I5283" s="1">
        <v>45323</v>
      </c>
      <c r="J5283">
        <v>908</v>
      </c>
      <c r="K5283" t="s">
        <v>23</v>
      </c>
    </row>
    <row r="5284" spans="1:11">
      <c r="A5284" s="1">
        <v>45351</v>
      </c>
      <c r="B5284" t="s">
        <v>40</v>
      </c>
      <c r="C5284" t="s">
        <v>39</v>
      </c>
      <c r="D5284">
        <v>6312</v>
      </c>
      <c r="E5284">
        <v>2820</v>
      </c>
      <c r="F5284">
        <v>708</v>
      </c>
      <c r="G5284">
        <v>152</v>
      </c>
      <c r="H5284">
        <v>9992</v>
      </c>
      <c r="I5284" s="1">
        <v>45323</v>
      </c>
      <c r="J5284">
        <v>860</v>
      </c>
      <c r="K5284" t="s">
        <v>23</v>
      </c>
    </row>
    <row r="5285" spans="1:11">
      <c r="A5285" s="1">
        <v>45351</v>
      </c>
      <c r="B5285" t="s">
        <v>40</v>
      </c>
      <c r="C5285" t="s">
        <v>54</v>
      </c>
      <c r="D5285">
        <v>3009</v>
      </c>
      <c r="E5285">
        <v>1804</v>
      </c>
      <c r="F5285">
        <v>578</v>
      </c>
      <c r="G5285">
        <v>181</v>
      </c>
      <c r="H5285">
        <v>5571</v>
      </c>
      <c r="I5285" s="1">
        <v>45323</v>
      </c>
      <c r="J5285">
        <v>759</v>
      </c>
      <c r="K5285" t="s">
        <v>23</v>
      </c>
    </row>
    <row r="5286" spans="1:11">
      <c r="A5286" s="1">
        <v>45351</v>
      </c>
      <c r="B5286" t="s">
        <v>40</v>
      </c>
      <c r="C5286" t="s">
        <v>35</v>
      </c>
      <c r="D5286">
        <v>337</v>
      </c>
      <c r="E5286">
        <v>260</v>
      </c>
      <c r="F5286">
        <v>207</v>
      </c>
      <c r="G5286">
        <v>33</v>
      </c>
      <c r="H5286">
        <v>837</v>
      </c>
      <c r="I5286" s="1">
        <v>45323</v>
      </c>
      <c r="J5286">
        <v>240</v>
      </c>
      <c r="K5286" t="s">
        <v>23</v>
      </c>
    </row>
    <row r="5287" spans="1:11">
      <c r="A5287" s="1">
        <v>45351</v>
      </c>
      <c r="B5287" t="s">
        <v>40</v>
      </c>
      <c r="C5287" t="s">
        <v>52</v>
      </c>
      <c r="D5287">
        <v>8228</v>
      </c>
      <c r="E5287">
        <v>2990</v>
      </c>
      <c r="F5287">
        <v>233</v>
      </c>
      <c r="G5287">
        <v>91</v>
      </c>
      <c r="H5287">
        <v>11542</v>
      </c>
      <c r="I5287" s="1">
        <v>45323</v>
      </c>
      <c r="J5287">
        <v>324</v>
      </c>
      <c r="K5287" t="s">
        <v>23</v>
      </c>
    </row>
    <row r="5288" spans="1:11">
      <c r="A5288" s="1">
        <v>45351</v>
      </c>
      <c r="B5288" t="s">
        <v>40</v>
      </c>
      <c r="C5288" t="s">
        <v>22</v>
      </c>
      <c r="D5288">
        <v>3432</v>
      </c>
      <c r="E5288">
        <v>2009</v>
      </c>
      <c r="F5288">
        <v>552</v>
      </c>
      <c r="G5288">
        <v>239</v>
      </c>
      <c r="H5288">
        <v>6232</v>
      </c>
      <c r="I5288" s="1">
        <v>45323</v>
      </c>
      <c r="J5288">
        <v>791</v>
      </c>
      <c r="K5288" t="s">
        <v>23</v>
      </c>
    </row>
    <row r="5289" spans="1:11">
      <c r="A5289" s="1">
        <v>45351</v>
      </c>
      <c r="B5289" t="s">
        <v>40</v>
      </c>
      <c r="C5289" t="s">
        <v>46</v>
      </c>
      <c r="D5289">
        <v>1872</v>
      </c>
      <c r="E5289">
        <v>358</v>
      </c>
      <c r="F5289">
        <v>135</v>
      </c>
      <c r="G5289">
        <v>99</v>
      </c>
      <c r="H5289">
        <v>2463</v>
      </c>
      <c r="I5289" s="1">
        <v>45323</v>
      </c>
      <c r="J5289">
        <v>234</v>
      </c>
      <c r="K5289" t="s">
        <v>23</v>
      </c>
    </row>
    <row r="5290" spans="1:11">
      <c r="A5290" s="1">
        <v>45351</v>
      </c>
      <c r="B5290" t="s">
        <v>40</v>
      </c>
      <c r="C5290" t="s">
        <v>31</v>
      </c>
      <c r="D5290">
        <v>2172</v>
      </c>
      <c r="E5290">
        <v>780</v>
      </c>
      <c r="F5290">
        <v>180</v>
      </c>
      <c r="G5290">
        <v>222</v>
      </c>
      <c r="H5290">
        <v>3354</v>
      </c>
      <c r="I5290" s="1">
        <v>45323</v>
      </c>
      <c r="J5290">
        <v>402</v>
      </c>
      <c r="K5290" t="s">
        <v>23</v>
      </c>
    </row>
    <row r="5291" spans="1:11">
      <c r="A5291" s="1">
        <v>45351</v>
      </c>
      <c r="B5291" t="s">
        <v>40</v>
      </c>
      <c r="C5291" t="s">
        <v>63</v>
      </c>
      <c r="D5291">
        <v>5674</v>
      </c>
      <c r="E5291">
        <v>2782</v>
      </c>
      <c r="F5291">
        <v>1719</v>
      </c>
      <c r="G5291">
        <v>1906</v>
      </c>
      <c r="H5291">
        <v>12081</v>
      </c>
      <c r="I5291" s="1">
        <v>45323</v>
      </c>
      <c r="J5291">
        <v>3625</v>
      </c>
      <c r="K5291" t="s">
        <v>23</v>
      </c>
    </row>
    <row r="5292" spans="1:11">
      <c r="A5292" s="1">
        <v>45351</v>
      </c>
      <c r="B5292" t="s">
        <v>40</v>
      </c>
      <c r="C5292" t="s">
        <v>60</v>
      </c>
      <c r="D5292">
        <v>7277</v>
      </c>
      <c r="E5292">
        <v>2262</v>
      </c>
      <c r="F5292">
        <v>1078</v>
      </c>
      <c r="G5292">
        <v>1429</v>
      </c>
      <c r="H5292">
        <v>12046</v>
      </c>
      <c r="I5292" s="1">
        <v>45323</v>
      </c>
      <c r="J5292">
        <v>2507</v>
      </c>
      <c r="K5292" t="s">
        <v>23</v>
      </c>
    </row>
    <row r="5293" spans="1:11">
      <c r="A5293" s="1">
        <v>45351</v>
      </c>
      <c r="B5293" t="s">
        <v>40</v>
      </c>
      <c r="C5293" t="s">
        <v>61</v>
      </c>
      <c r="D5293">
        <v>11222</v>
      </c>
      <c r="E5293">
        <v>6377</v>
      </c>
      <c r="F5293">
        <v>2645</v>
      </c>
      <c r="G5293">
        <v>4056</v>
      </c>
      <c r="H5293">
        <v>24299</v>
      </c>
      <c r="I5293" s="1">
        <v>45323</v>
      </c>
      <c r="J5293">
        <v>6701</v>
      </c>
      <c r="K5293" t="s">
        <v>23</v>
      </c>
    </row>
    <row r="5294" spans="1:11">
      <c r="A5294" s="1">
        <v>45351</v>
      </c>
      <c r="B5294" t="s">
        <v>40</v>
      </c>
      <c r="C5294" t="s">
        <v>62</v>
      </c>
      <c r="D5294">
        <v>2086</v>
      </c>
      <c r="E5294">
        <v>1542</v>
      </c>
      <c r="F5294">
        <v>1226</v>
      </c>
      <c r="G5294">
        <v>3831</v>
      </c>
      <c r="H5294">
        <v>8685</v>
      </c>
      <c r="I5294" s="1">
        <v>45323</v>
      </c>
      <c r="J5294">
        <v>5057</v>
      </c>
      <c r="K5294" t="s">
        <v>23</v>
      </c>
    </row>
    <row r="5295" spans="1:11">
      <c r="A5295" s="1">
        <v>45351</v>
      </c>
      <c r="B5295" t="s">
        <v>40</v>
      </c>
      <c r="C5295" t="s">
        <v>69</v>
      </c>
      <c r="D5295">
        <v>16853</v>
      </c>
      <c r="E5295">
        <v>4923</v>
      </c>
      <c r="F5295">
        <v>1266</v>
      </c>
      <c r="G5295">
        <v>1277</v>
      </c>
      <c r="H5295">
        <v>24318</v>
      </c>
      <c r="I5295" s="1">
        <v>45323</v>
      </c>
      <c r="J5295">
        <v>2543</v>
      </c>
      <c r="K5295" t="s">
        <v>23</v>
      </c>
    </row>
    <row r="5296" spans="1:11">
      <c r="A5296" s="1">
        <v>45351</v>
      </c>
      <c r="B5296" t="s">
        <v>40</v>
      </c>
      <c r="C5296" t="s">
        <v>24</v>
      </c>
      <c r="D5296">
        <v>442</v>
      </c>
      <c r="E5296">
        <v>270</v>
      </c>
      <c r="F5296">
        <v>22</v>
      </c>
      <c r="G5296">
        <v>4</v>
      </c>
      <c r="H5296">
        <v>738</v>
      </c>
      <c r="I5296" s="1">
        <v>45323</v>
      </c>
      <c r="J5296">
        <v>26</v>
      </c>
      <c r="K5296" t="s">
        <v>23</v>
      </c>
    </row>
    <row r="5297" spans="1:11">
      <c r="A5297" s="1">
        <v>45351</v>
      </c>
      <c r="B5297" t="s">
        <v>40</v>
      </c>
      <c r="C5297" t="s">
        <v>29</v>
      </c>
      <c r="D5297">
        <v>3523</v>
      </c>
      <c r="E5297">
        <v>1346</v>
      </c>
      <c r="F5297">
        <v>404</v>
      </c>
      <c r="G5297">
        <v>141</v>
      </c>
      <c r="H5297">
        <v>5415</v>
      </c>
      <c r="I5297" s="1">
        <v>45323</v>
      </c>
      <c r="J5297">
        <v>545</v>
      </c>
      <c r="K5297" t="s">
        <v>23</v>
      </c>
    </row>
    <row r="5298" spans="1:11">
      <c r="A5298" s="1">
        <v>45351</v>
      </c>
      <c r="B5298" t="s">
        <v>40</v>
      </c>
      <c r="C5298" t="s">
        <v>70</v>
      </c>
      <c r="D5298">
        <v>2633</v>
      </c>
      <c r="E5298">
        <v>861</v>
      </c>
      <c r="F5298">
        <v>339</v>
      </c>
      <c r="G5298">
        <v>281</v>
      </c>
      <c r="H5298">
        <v>4114</v>
      </c>
      <c r="I5298" s="1">
        <v>45323</v>
      </c>
      <c r="J5298">
        <v>620</v>
      </c>
      <c r="K5298" t="s">
        <v>23</v>
      </c>
    </row>
    <row r="5299" spans="1:11">
      <c r="A5299" s="1">
        <v>45351</v>
      </c>
      <c r="B5299" t="s">
        <v>40</v>
      </c>
      <c r="C5299" t="s">
        <v>71</v>
      </c>
      <c r="D5299">
        <v>17795</v>
      </c>
      <c r="E5299">
        <v>7409</v>
      </c>
      <c r="F5299">
        <v>2166</v>
      </c>
      <c r="G5299">
        <v>651</v>
      </c>
      <c r="H5299">
        <v>28021</v>
      </c>
      <c r="I5299" s="1">
        <v>45323</v>
      </c>
      <c r="J5299">
        <v>2817</v>
      </c>
      <c r="K5299" t="s">
        <v>23</v>
      </c>
    </row>
    <row r="5300" spans="1:11">
      <c r="A5300" s="1">
        <v>45351</v>
      </c>
      <c r="B5300" t="s">
        <v>40</v>
      </c>
      <c r="C5300" t="s">
        <v>36</v>
      </c>
      <c r="D5300">
        <v>14499</v>
      </c>
      <c r="E5300">
        <v>8845</v>
      </c>
      <c r="F5300">
        <v>4241</v>
      </c>
      <c r="G5300">
        <v>3978</v>
      </c>
      <c r="H5300">
        <v>31564</v>
      </c>
      <c r="I5300" s="1">
        <v>45323</v>
      </c>
      <c r="J5300">
        <v>8219</v>
      </c>
      <c r="K5300" t="s">
        <v>23</v>
      </c>
    </row>
    <row r="5301" spans="1:11">
      <c r="A5301" s="1">
        <v>45351</v>
      </c>
      <c r="B5301" t="s">
        <v>40</v>
      </c>
      <c r="C5301" t="s">
        <v>32</v>
      </c>
      <c r="D5301">
        <v>2264</v>
      </c>
      <c r="E5301">
        <v>886</v>
      </c>
      <c r="F5301">
        <v>171</v>
      </c>
      <c r="G5301">
        <v>33</v>
      </c>
      <c r="H5301">
        <v>3354</v>
      </c>
      <c r="I5301" s="1">
        <v>45323</v>
      </c>
      <c r="J5301">
        <v>204</v>
      </c>
      <c r="K5301" t="s">
        <v>23</v>
      </c>
    </row>
    <row r="5302" spans="1:11">
      <c r="A5302" s="1">
        <v>45351</v>
      </c>
      <c r="B5302" t="s">
        <v>40</v>
      </c>
      <c r="C5302" t="s">
        <v>44</v>
      </c>
      <c r="D5302">
        <v>5998</v>
      </c>
      <c r="E5302">
        <v>2611</v>
      </c>
      <c r="F5302">
        <v>750</v>
      </c>
      <c r="G5302">
        <v>153</v>
      </c>
      <c r="H5302">
        <v>9512</v>
      </c>
      <c r="I5302" s="1">
        <v>45323</v>
      </c>
      <c r="J5302">
        <v>903</v>
      </c>
      <c r="K5302" t="s">
        <v>23</v>
      </c>
    </row>
    <row r="5303" spans="1:11">
      <c r="A5303" s="1">
        <v>45351</v>
      </c>
      <c r="B5303" t="s">
        <v>40</v>
      </c>
      <c r="C5303" t="s">
        <v>59</v>
      </c>
      <c r="D5303">
        <v>14204</v>
      </c>
      <c r="E5303">
        <v>4490</v>
      </c>
      <c r="F5303">
        <v>1295</v>
      </c>
      <c r="G5303">
        <v>831</v>
      </c>
      <c r="H5303">
        <v>20821</v>
      </c>
      <c r="I5303" s="1">
        <v>45323</v>
      </c>
      <c r="J5303">
        <v>2126</v>
      </c>
      <c r="K5303" t="s">
        <v>23</v>
      </c>
    </row>
    <row r="5304" spans="1:11">
      <c r="A5304" s="1">
        <v>45351</v>
      </c>
      <c r="B5304" t="s">
        <v>40</v>
      </c>
      <c r="C5304" t="s">
        <v>67</v>
      </c>
      <c r="D5304">
        <v>17815</v>
      </c>
      <c r="E5304">
        <v>9144</v>
      </c>
      <c r="F5304">
        <v>3742</v>
      </c>
      <c r="G5304">
        <v>4857</v>
      </c>
      <c r="H5304">
        <v>35558</v>
      </c>
      <c r="I5304" s="1">
        <v>45323</v>
      </c>
      <c r="J5304">
        <v>8599</v>
      </c>
      <c r="K5304" t="s">
        <v>23</v>
      </c>
    </row>
    <row r="5305" spans="1:11">
      <c r="A5305" s="1">
        <v>45351</v>
      </c>
      <c r="B5305" t="s">
        <v>40</v>
      </c>
      <c r="C5305" t="s">
        <v>49</v>
      </c>
      <c r="D5305">
        <v>2733</v>
      </c>
      <c r="E5305">
        <v>826</v>
      </c>
      <c r="F5305">
        <v>252</v>
      </c>
      <c r="G5305">
        <v>89</v>
      </c>
      <c r="H5305">
        <v>3900</v>
      </c>
      <c r="I5305" s="1">
        <v>45323</v>
      </c>
      <c r="J5305">
        <v>341</v>
      </c>
      <c r="K5305" t="s">
        <v>23</v>
      </c>
    </row>
    <row r="5306" spans="1:11">
      <c r="A5306" s="1">
        <v>45379</v>
      </c>
      <c r="B5306" t="s">
        <v>40</v>
      </c>
      <c r="C5306" t="s">
        <v>50</v>
      </c>
      <c r="D5306">
        <v>714</v>
      </c>
      <c r="E5306">
        <v>198</v>
      </c>
      <c r="F5306">
        <v>67</v>
      </c>
      <c r="G5306">
        <v>43</v>
      </c>
      <c r="H5306">
        <v>1022</v>
      </c>
      <c r="I5306" s="1">
        <v>45352</v>
      </c>
      <c r="J5306">
        <v>110</v>
      </c>
      <c r="K5306" t="s">
        <v>23</v>
      </c>
    </row>
    <row r="5307" spans="1:11">
      <c r="A5307" s="1">
        <v>45379</v>
      </c>
      <c r="B5307" t="s">
        <v>40</v>
      </c>
      <c r="C5307" t="s">
        <v>48</v>
      </c>
      <c r="D5307">
        <v>25832</v>
      </c>
      <c r="E5307">
        <v>11164</v>
      </c>
      <c r="F5307">
        <v>1602</v>
      </c>
      <c r="G5307">
        <v>180</v>
      </c>
      <c r="H5307">
        <v>38779</v>
      </c>
      <c r="I5307" s="1">
        <v>45352</v>
      </c>
      <c r="J5307">
        <v>1782</v>
      </c>
      <c r="K5307" t="s">
        <v>23</v>
      </c>
    </row>
    <row r="5308" spans="1:11">
      <c r="A5308" s="1">
        <v>45379</v>
      </c>
      <c r="B5308" t="s">
        <v>40</v>
      </c>
      <c r="C5308" t="s">
        <v>41</v>
      </c>
      <c r="D5308">
        <v>5182</v>
      </c>
      <c r="E5308">
        <v>2338</v>
      </c>
      <c r="F5308">
        <v>141</v>
      </c>
      <c r="G5308">
        <v>65</v>
      </c>
      <c r="H5308">
        <v>7726</v>
      </c>
      <c r="I5308" s="1">
        <v>45352</v>
      </c>
      <c r="J5308">
        <v>206</v>
      </c>
      <c r="K5308" t="s">
        <v>23</v>
      </c>
    </row>
    <row r="5309" spans="1:11">
      <c r="A5309" s="1">
        <v>45379</v>
      </c>
      <c r="B5309" t="s">
        <v>40</v>
      </c>
      <c r="C5309" t="s">
        <v>33</v>
      </c>
      <c r="D5309">
        <v>1507</v>
      </c>
      <c r="E5309">
        <v>897</v>
      </c>
      <c r="F5309">
        <v>226</v>
      </c>
      <c r="G5309">
        <v>28</v>
      </c>
      <c r="H5309">
        <v>2658</v>
      </c>
      <c r="I5309" s="1">
        <v>45352</v>
      </c>
      <c r="J5309">
        <v>254</v>
      </c>
      <c r="K5309" t="s">
        <v>23</v>
      </c>
    </row>
    <row r="5310" spans="1:11">
      <c r="A5310" s="1">
        <v>45379</v>
      </c>
      <c r="B5310" t="s">
        <v>40</v>
      </c>
      <c r="C5310" t="s">
        <v>65</v>
      </c>
      <c r="D5310">
        <v>15220</v>
      </c>
      <c r="E5310">
        <v>7328</v>
      </c>
      <c r="F5310">
        <v>3425</v>
      </c>
      <c r="G5310">
        <v>4999</v>
      </c>
      <c r="H5310">
        <v>30972</v>
      </c>
      <c r="I5310" s="1">
        <v>45352</v>
      </c>
      <c r="J5310">
        <v>8424</v>
      </c>
      <c r="K5310" t="s">
        <v>23</v>
      </c>
    </row>
    <row r="5311" spans="1:11">
      <c r="A5311" s="1">
        <v>45379</v>
      </c>
      <c r="B5311" t="s">
        <v>40</v>
      </c>
      <c r="C5311" t="s">
        <v>27</v>
      </c>
      <c r="D5311">
        <v>3016</v>
      </c>
      <c r="E5311">
        <v>1427</v>
      </c>
      <c r="F5311">
        <v>356</v>
      </c>
      <c r="G5311">
        <v>82</v>
      </c>
      <c r="H5311">
        <v>4881</v>
      </c>
      <c r="I5311" s="1">
        <v>45352</v>
      </c>
      <c r="J5311">
        <v>438</v>
      </c>
      <c r="K5311" t="s">
        <v>23</v>
      </c>
    </row>
    <row r="5312" spans="1:11">
      <c r="A5312" s="1">
        <v>45379</v>
      </c>
      <c r="B5312" t="s">
        <v>40</v>
      </c>
      <c r="C5312" t="s">
        <v>37</v>
      </c>
      <c r="D5312">
        <v>459</v>
      </c>
      <c r="E5312">
        <v>356</v>
      </c>
      <c r="F5312">
        <v>248</v>
      </c>
      <c r="G5312">
        <v>39</v>
      </c>
      <c r="H5312">
        <v>1102</v>
      </c>
      <c r="I5312" s="1">
        <v>45352</v>
      </c>
      <c r="J5312">
        <v>287</v>
      </c>
      <c r="K5312" t="s">
        <v>23</v>
      </c>
    </row>
    <row r="5313" spans="1:11">
      <c r="A5313" s="1">
        <v>45379</v>
      </c>
      <c r="B5313" t="s">
        <v>40</v>
      </c>
      <c r="C5313" t="s">
        <v>66</v>
      </c>
      <c r="D5313">
        <v>22165</v>
      </c>
      <c r="E5313">
        <v>8098</v>
      </c>
      <c r="F5313">
        <v>4095</v>
      </c>
      <c r="G5313">
        <v>7264</v>
      </c>
      <c r="H5313">
        <v>41623</v>
      </c>
      <c r="I5313" s="1">
        <v>45352</v>
      </c>
      <c r="J5313">
        <v>11359</v>
      </c>
      <c r="K5313" t="s">
        <v>23</v>
      </c>
    </row>
    <row r="5314" spans="1:11">
      <c r="A5314" s="1">
        <v>45379</v>
      </c>
      <c r="B5314" t="s">
        <v>40</v>
      </c>
      <c r="C5314" t="s">
        <v>57</v>
      </c>
      <c r="D5314">
        <v>7881</v>
      </c>
      <c r="E5314">
        <v>2292</v>
      </c>
      <c r="F5314">
        <v>1044</v>
      </c>
      <c r="G5314">
        <v>1728</v>
      </c>
      <c r="H5314">
        <v>12946</v>
      </c>
      <c r="I5314" s="1">
        <v>45352</v>
      </c>
      <c r="J5314">
        <v>2772</v>
      </c>
      <c r="K5314" t="s">
        <v>23</v>
      </c>
    </row>
    <row r="5315" spans="1:11">
      <c r="A5315" s="1">
        <v>45379</v>
      </c>
      <c r="B5315" t="s">
        <v>40</v>
      </c>
      <c r="C5315" t="s">
        <v>28</v>
      </c>
      <c r="D5315">
        <v>2320</v>
      </c>
      <c r="E5315">
        <v>831</v>
      </c>
      <c r="F5315">
        <v>306</v>
      </c>
      <c r="G5315">
        <v>42</v>
      </c>
      <c r="H5315">
        <v>3499</v>
      </c>
      <c r="I5315" s="1">
        <v>45352</v>
      </c>
      <c r="J5315">
        <v>348</v>
      </c>
      <c r="K5315" t="s">
        <v>23</v>
      </c>
    </row>
    <row r="5316" spans="1:11">
      <c r="A5316" s="1">
        <v>45379</v>
      </c>
      <c r="B5316" t="s">
        <v>40</v>
      </c>
      <c r="C5316" t="s">
        <v>68</v>
      </c>
      <c r="D5316">
        <v>22254</v>
      </c>
      <c r="E5316">
        <v>7568</v>
      </c>
      <c r="F5316">
        <v>3161</v>
      </c>
      <c r="G5316">
        <v>5127</v>
      </c>
      <c r="H5316">
        <v>38110</v>
      </c>
      <c r="I5316" s="1">
        <v>45352</v>
      </c>
      <c r="J5316">
        <v>8288</v>
      </c>
      <c r="K5316" t="s">
        <v>23</v>
      </c>
    </row>
    <row r="5317" spans="1:11">
      <c r="A5317" s="1">
        <v>45379</v>
      </c>
      <c r="B5317" t="s">
        <v>40</v>
      </c>
      <c r="C5317" t="s">
        <v>47</v>
      </c>
      <c r="D5317">
        <v>3799</v>
      </c>
      <c r="E5317">
        <v>1215</v>
      </c>
      <c r="F5317">
        <v>460</v>
      </c>
      <c r="G5317">
        <v>375</v>
      </c>
      <c r="H5317">
        <v>5849</v>
      </c>
      <c r="I5317" s="1">
        <v>45352</v>
      </c>
      <c r="J5317">
        <v>835</v>
      </c>
      <c r="K5317" t="s">
        <v>23</v>
      </c>
    </row>
    <row r="5318" spans="1:11">
      <c r="A5318" s="1">
        <v>45379</v>
      </c>
      <c r="B5318" t="s">
        <v>40</v>
      </c>
      <c r="C5318" t="s">
        <v>25</v>
      </c>
      <c r="D5318">
        <v>3040</v>
      </c>
      <c r="E5318">
        <v>1380</v>
      </c>
      <c r="F5318">
        <v>522</v>
      </c>
      <c r="G5318">
        <v>878</v>
      </c>
      <c r="H5318">
        <v>5820</v>
      </c>
      <c r="I5318" s="1">
        <v>45352</v>
      </c>
      <c r="J5318">
        <v>1400</v>
      </c>
      <c r="K5318" t="s">
        <v>23</v>
      </c>
    </row>
    <row r="5319" spans="1:11">
      <c r="A5319" s="1">
        <v>45379</v>
      </c>
      <c r="B5319" t="s">
        <v>40</v>
      </c>
      <c r="C5319" t="s">
        <v>51</v>
      </c>
      <c r="D5319">
        <v>4555</v>
      </c>
      <c r="E5319">
        <v>1861</v>
      </c>
      <c r="F5319">
        <v>1061</v>
      </c>
      <c r="G5319">
        <v>1171</v>
      </c>
      <c r="H5319">
        <v>8647</v>
      </c>
      <c r="I5319" s="1">
        <v>45352</v>
      </c>
      <c r="J5319">
        <v>2232</v>
      </c>
      <c r="K5319" t="s">
        <v>23</v>
      </c>
    </row>
    <row r="5320" spans="1:11">
      <c r="A5320" s="1">
        <v>45379</v>
      </c>
      <c r="B5320" t="s">
        <v>40</v>
      </c>
      <c r="C5320" t="s">
        <v>45</v>
      </c>
      <c r="D5320">
        <v>2245</v>
      </c>
      <c r="E5320">
        <v>1099</v>
      </c>
      <c r="F5320">
        <v>481</v>
      </c>
      <c r="G5320">
        <v>450</v>
      </c>
      <c r="H5320">
        <v>4275</v>
      </c>
      <c r="I5320" s="1">
        <v>45352</v>
      </c>
      <c r="J5320">
        <v>931</v>
      </c>
      <c r="K5320" t="s">
        <v>23</v>
      </c>
    </row>
    <row r="5321" spans="1:11">
      <c r="A5321" s="1">
        <v>45379</v>
      </c>
      <c r="B5321" t="s">
        <v>40</v>
      </c>
      <c r="C5321" t="s">
        <v>39</v>
      </c>
      <c r="D5321">
        <v>6159</v>
      </c>
      <c r="E5321">
        <v>2940</v>
      </c>
      <c r="F5321">
        <v>754</v>
      </c>
      <c r="G5321">
        <v>163</v>
      </c>
      <c r="H5321">
        <v>10015</v>
      </c>
      <c r="I5321" s="1">
        <v>45352</v>
      </c>
      <c r="J5321">
        <v>917</v>
      </c>
      <c r="K5321" t="s">
        <v>23</v>
      </c>
    </row>
    <row r="5322" spans="1:11">
      <c r="A5322" s="1">
        <v>45379</v>
      </c>
      <c r="B5322" t="s">
        <v>40</v>
      </c>
      <c r="C5322" t="s">
        <v>54</v>
      </c>
      <c r="D5322">
        <v>2843</v>
      </c>
      <c r="E5322">
        <v>1824</v>
      </c>
      <c r="F5322">
        <v>607</v>
      </c>
      <c r="G5322">
        <v>186</v>
      </c>
      <c r="H5322">
        <v>5459</v>
      </c>
      <c r="I5322" s="1">
        <v>45352</v>
      </c>
      <c r="J5322">
        <v>793</v>
      </c>
      <c r="K5322" t="s">
        <v>23</v>
      </c>
    </row>
    <row r="5323" spans="1:11">
      <c r="A5323" s="1">
        <v>45379</v>
      </c>
      <c r="B5323" t="s">
        <v>40</v>
      </c>
      <c r="C5323" t="s">
        <v>35</v>
      </c>
      <c r="D5323">
        <v>322</v>
      </c>
      <c r="E5323">
        <v>276</v>
      </c>
      <c r="F5323">
        <v>210</v>
      </c>
      <c r="G5323">
        <v>38</v>
      </c>
      <c r="H5323">
        <v>846</v>
      </c>
      <c r="I5323" s="1">
        <v>45352</v>
      </c>
      <c r="J5323">
        <v>248</v>
      </c>
      <c r="K5323" t="s">
        <v>23</v>
      </c>
    </row>
    <row r="5324" spans="1:11">
      <c r="A5324" s="1">
        <v>45379</v>
      </c>
      <c r="B5324" t="s">
        <v>40</v>
      </c>
      <c r="C5324" t="s">
        <v>52</v>
      </c>
      <c r="D5324">
        <v>8360</v>
      </c>
      <c r="E5324">
        <v>3280</v>
      </c>
      <c r="F5324">
        <v>279</v>
      </c>
      <c r="G5324">
        <v>82</v>
      </c>
      <c r="H5324">
        <v>12002</v>
      </c>
      <c r="I5324" s="1">
        <v>45352</v>
      </c>
      <c r="J5324">
        <v>361</v>
      </c>
      <c r="K5324" t="s">
        <v>23</v>
      </c>
    </row>
    <row r="5325" spans="1:11">
      <c r="A5325" s="1">
        <v>45379</v>
      </c>
      <c r="B5325" t="s">
        <v>40</v>
      </c>
      <c r="C5325" t="s">
        <v>22</v>
      </c>
      <c r="D5325">
        <v>3544</v>
      </c>
      <c r="E5325">
        <v>2060</v>
      </c>
      <c r="F5325">
        <v>593</v>
      </c>
      <c r="G5325">
        <v>163</v>
      </c>
      <c r="H5325">
        <v>6360</v>
      </c>
      <c r="I5325" s="1">
        <v>45352</v>
      </c>
      <c r="J5325">
        <v>756</v>
      </c>
      <c r="K5325" t="s">
        <v>23</v>
      </c>
    </row>
    <row r="5326" spans="1:11">
      <c r="A5326" s="1">
        <v>45379</v>
      </c>
      <c r="B5326" t="s">
        <v>40</v>
      </c>
      <c r="C5326" t="s">
        <v>46</v>
      </c>
      <c r="D5326">
        <v>2061</v>
      </c>
      <c r="E5326">
        <v>319</v>
      </c>
      <c r="F5326">
        <v>129</v>
      </c>
      <c r="G5326">
        <v>80</v>
      </c>
      <c r="H5326">
        <v>2589</v>
      </c>
      <c r="I5326" s="1">
        <v>45352</v>
      </c>
      <c r="J5326">
        <v>209</v>
      </c>
      <c r="K5326" t="s">
        <v>23</v>
      </c>
    </row>
    <row r="5327" spans="1:11">
      <c r="A5327" s="1">
        <v>45379</v>
      </c>
      <c r="B5327" t="s">
        <v>40</v>
      </c>
      <c r="C5327" t="s">
        <v>31</v>
      </c>
      <c r="D5327">
        <v>2318</v>
      </c>
      <c r="E5327">
        <v>807</v>
      </c>
      <c r="F5327">
        <v>153</v>
      </c>
      <c r="G5327">
        <v>185</v>
      </c>
      <c r="H5327">
        <v>3464</v>
      </c>
      <c r="I5327" s="1">
        <v>45352</v>
      </c>
      <c r="J5327">
        <v>338</v>
      </c>
      <c r="K5327" t="s">
        <v>23</v>
      </c>
    </row>
    <row r="5328" spans="1:11">
      <c r="A5328" s="1">
        <v>45379</v>
      </c>
      <c r="B5328" t="s">
        <v>40</v>
      </c>
      <c r="C5328" t="s">
        <v>34</v>
      </c>
      <c r="D5328">
        <v>3747</v>
      </c>
      <c r="E5328">
        <v>719</v>
      </c>
      <c r="F5328">
        <v>0</v>
      </c>
      <c r="G5328">
        <v>1</v>
      </c>
      <c r="H5328">
        <v>4467</v>
      </c>
      <c r="I5328" s="1">
        <v>45352</v>
      </c>
      <c r="J5328">
        <v>1</v>
      </c>
      <c r="K5328" t="s">
        <v>23</v>
      </c>
    </row>
    <row r="5329" spans="1:11">
      <c r="A5329" s="1">
        <v>45379</v>
      </c>
      <c r="B5329" t="s">
        <v>40</v>
      </c>
      <c r="C5329" t="s">
        <v>63</v>
      </c>
      <c r="D5329">
        <v>5715</v>
      </c>
      <c r="E5329">
        <v>2740</v>
      </c>
      <c r="F5329">
        <v>1751</v>
      </c>
      <c r="G5329">
        <v>1713</v>
      </c>
      <c r="H5329">
        <v>11919</v>
      </c>
      <c r="I5329" s="1">
        <v>45352</v>
      </c>
      <c r="J5329">
        <v>3464</v>
      </c>
      <c r="K5329" t="s">
        <v>23</v>
      </c>
    </row>
    <row r="5330" spans="1:11">
      <c r="A5330" s="1">
        <v>45379</v>
      </c>
      <c r="B5330" t="s">
        <v>40</v>
      </c>
      <c r="C5330" t="s">
        <v>60</v>
      </c>
      <c r="D5330">
        <v>7289</v>
      </c>
      <c r="E5330">
        <v>2391</v>
      </c>
      <c r="F5330">
        <v>919</v>
      </c>
      <c r="G5330">
        <v>1617</v>
      </c>
      <c r="H5330">
        <v>12216</v>
      </c>
      <c r="I5330" s="1">
        <v>45352</v>
      </c>
      <c r="J5330">
        <v>2536</v>
      </c>
      <c r="K5330" t="s">
        <v>23</v>
      </c>
    </row>
    <row r="5331" spans="1:11">
      <c r="A5331" s="1">
        <v>45379</v>
      </c>
      <c r="B5331" t="s">
        <v>40</v>
      </c>
      <c r="C5331" t="s">
        <v>61</v>
      </c>
      <c r="D5331">
        <v>11499</v>
      </c>
      <c r="E5331">
        <v>6458</v>
      </c>
      <c r="F5331">
        <v>2803</v>
      </c>
      <c r="G5331">
        <v>4091</v>
      </c>
      <c r="H5331">
        <v>24851</v>
      </c>
      <c r="I5331" s="1">
        <v>45352</v>
      </c>
      <c r="J5331">
        <v>6894</v>
      </c>
      <c r="K5331" t="s">
        <v>23</v>
      </c>
    </row>
    <row r="5332" spans="1:11">
      <c r="A5332" s="1">
        <v>45379</v>
      </c>
      <c r="B5332" t="s">
        <v>40</v>
      </c>
      <c r="C5332" t="s">
        <v>62</v>
      </c>
      <c r="D5332">
        <v>2106</v>
      </c>
      <c r="E5332">
        <v>1591</v>
      </c>
      <c r="F5332">
        <v>1207</v>
      </c>
      <c r="G5332">
        <v>3962</v>
      </c>
      <c r="H5332">
        <v>8865</v>
      </c>
      <c r="I5332" s="1">
        <v>45352</v>
      </c>
      <c r="J5332">
        <v>5169</v>
      </c>
      <c r="K5332" t="s">
        <v>23</v>
      </c>
    </row>
    <row r="5333" spans="1:11">
      <c r="A5333" s="1">
        <v>45379</v>
      </c>
      <c r="B5333" t="s">
        <v>40</v>
      </c>
      <c r="C5333" t="s">
        <v>69</v>
      </c>
      <c r="D5333">
        <v>17124</v>
      </c>
      <c r="E5333">
        <v>4957</v>
      </c>
      <c r="F5333">
        <v>1384</v>
      </c>
      <c r="G5333">
        <v>1184</v>
      </c>
      <c r="H5333">
        <v>24649</v>
      </c>
      <c r="I5333" s="1">
        <v>45352</v>
      </c>
      <c r="J5333">
        <v>2568</v>
      </c>
      <c r="K5333" t="s">
        <v>23</v>
      </c>
    </row>
    <row r="5334" spans="1:11">
      <c r="A5334" s="1">
        <v>45379</v>
      </c>
      <c r="B5334" t="s">
        <v>40</v>
      </c>
      <c r="C5334" t="s">
        <v>24</v>
      </c>
      <c r="D5334">
        <v>389</v>
      </c>
      <c r="E5334">
        <v>270</v>
      </c>
      <c r="F5334">
        <v>27</v>
      </c>
      <c r="G5334">
        <v>1</v>
      </c>
      <c r="H5334">
        <v>687</v>
      </c>
      <c r="I5334" s="1">
        <v>45352</v>
      </c>
      <c r="J5334">
        <v>28</v>
      </c>
      <c r="K5334" t="s">
        <v>23</v>
      </c>
    </row>
    <row r="5335" spans="1:11">
      <c r="A5335" s="1">
        <v>45379</v>
      </c>
      <c r="B5335" t="s">
        <v>40</v>
      </c>
      <c r="C5335" t="s">
        <v>29</v>
      </c>
      <c r="D5335">
        <v>3608</v>
      </c>
      <c r="E5335">
        <v>1383</v>
      </c>
      <c r="F5335">
        <v>469</v>
      </c>
      <c r="G5335">
        <v>176</v>
      </c>
      <c r="H5335">
        <v>5637</v>
      </c>
      <c r="I5335" s="1">
        <v>45352</v>
      </c>
      <c r="J5335">
        <v>645</v>
      </c>
      <c r="K5335" t="s">
        <v>23</v>
      </c>
    </row>
    <row r="5336" spans="1:11">
      <c r="A5336" s="1">
        <v>45379</v>
      </c>
      <c r="B5336" t="s">
        <v>40</v>
      </c>
      <c r="C5336" t="s">
        <v>70</v>
      </c>
      <c r="D5336">
        <v>2646</v>
      </c>
      <c r="E5336">
        <v>912</v>
      </c>
      <c r="F5336">
        <v>344</v>
      </c>
      <c r="G5336">
        <v>294</v>
      </c>
      <c r="H5336">
        <v>4195</v>
      </c>
      <c r="I5336" s="1">
        <v>45352</v>
      </c>
      <c r="J5336">
        <v>638</v>
      </c>
      <c r="K5336" t="s">
        <v>23</v>
      </c>
    </row>
    <row r="5337" spans="1:11">
      <c r="A5337" s="1">
        <v>45379</v>
      </c>
      <c r="B5337" t="s">
        <v>40</v>
      </c>
      <c r="C5337" t="s">
        <v>71</v>
      </c>
      <c r="D5337">
        <v>18680</v>
      </c>
      <c r="E5337">
        <v>7444</v>
      </c>
      <c r="F5337">
        <v>2352</v>
      </c>
      <c r="G5337">
        <v>730</v>
      </c>
      <c r="H5337">
        <v>29206</v>
      </c>
      <c r="I5337" s="1">
        <v>45352</v>
      </c>
      <c r="J5337">
        <v>3082</v>
      </c>
      <c r="K5337" t="s">
        <v>23</v>
      </c>
    </row>
    <row r="5338" spans="1:11">
      <c r="A5338" s="1">
        <v>45379</v>
      </c>
      <c r="B5338" t="s">
        <v>40</v>
      </c>
      <c r="C5338" t="s">
        <v>36</v>
      </c>
      <c r="D5338">
        <v>14181</v>
      </c>
      <c r="E5338">
        <v>8688</v>
      </c>
      <c r="F5338">
        <v>4336</v>
      </c>
      <c r="G5338">
        <v>3655</v>
      </c>
      <c r="H5338">
        <v>30860</v>
      </c>
      <c r="I5338" s="1">
        <v>45352</v>
      </c>
      <c r="J5338">
        <v>7991</v>
      </c>
      <c r="K5338" t="s">
        <v>23</v>
      </c>
    </row>
    <row r="5339" spans="1:11">
      <c r="A5339" s="1">
        <v>45379</v>
      </c>
      <c r="B5339" t="s">
        <v>40</v>
      </c>
      <c r="C5339" t="s">
        <v>32</v>
      </c>
      <c r="D5339">
        <v>2182</v>
      </c>
      <c r="E5339">
        <v>910</v>
      </c>
      <c r="F5339">
        <v>207</v>
      </c>
      <c r="G5339">
        <v>35</v>
      </c>
      <c r="H5339">
        <v>3333</v>
      </c>
      <c r="I5339" s="1">
        <v>45352</v>
      </c>
      <c r="J5339">
        <v>242</v>
      </c>
      <c r="K5339" t="s">
        <v>23</v>
      </c>
    </row>
    <row r="5340" spans="1:11">
      <c r="A5340" s="1">
        <v>45379</v>
      </c>
      <c r="B5340" t="s">
        <v>40</v>
      </c>
      <c r="C5340" t="s">
        <v>44</v>
      </c>
      <c r="D5340">
        <v>6055</v>
      </c>
      <c r="E5340">
        <v>2399</v>
      </c>
      <c r="F5340">
        <v>703</v>
      </c>
      <c r="G5340">
        <v>136</v>
      </c>
      <c r="H5340">
        <v>9293</v>
      </c>
      <c r="I5340" s="1">
        <v>45352</v>
      </c>
      <c r="J5340">
        <v>839</v>
      </c>
      <c r="K5340" t="s">
        <v>23</v>
      </c>
    </row>
    <row r="5341" spans="1:11">
      <c r="A5341" s="1">
        <v>45379</v>
      </c>
      <c r="B5341" t="s">
        <v>40</v>
      </c>
      <c r="C5341" t="s">
        <v>59</v>
      </c>
      <c r="D5341">
        <v>14042</v>
      </c>
      <c r="E5341">
        <v>4538</v>
      </c>
      <c r="F5341">
        <v>1278</v>
      </c>
      <c r="G5341">
        <v>891</v>
      </c>
      <c r="H5341">
        <v>20748</v>
      </c>
      <c r="I5341" s="1">
        <v>45352</v>
      </c>
      <c r="J5341">
        <v>2169</v>
      </c>
      <c r="K5341" t="s">
        <v>23</v>
      </c>
    </row>
    <row r="5342" spans="1:11">
      <c r="A5342" s="1">
        <v>45379</v>
      </c>
      <c r="B5342" t="s">
        <v>40</v>
      </c>
      <c r="C5342" t="s">
        <v>67</v>
      </c>
      <c r="D5342">
        <v>18027</v>
      </c>
      <c r="E5342">
        <v>9445</v>
      </c>
      <c r="F5342">
        <v>3988</v>
      </c>
      <c r="G5342">
        <v>4906</v>
      </c>
      <c r="H5342">
        <v>36366</v>
      </c>
      <c r="I5342" s="1">
        <v>45352</v>
      </c>
      <c r="J5342">
        <v>8894</v>
      </c>
      <c r="K5342" t="s">
        <v>23</v>
      </c>
    </row>
    <row r="5343" spans="1:11">
      <c r="A5343" s="1">
        <v>45379</v>
      </c>
      <c r="B5343" t="s">
        <v>40</v>
      </c>
      <c r="C5343" t="s">
        <v>49</v>
      </c>
      <c r="D5343">
        <v>2845</v>
      </c>
      <c r="E5343">
        <v>815</v>
      </c>
      <c r="F5343">
        <v>256</v>
      </c>
      <c r="G5343">
        <v>109</v>
      </c>
      <c r="H5343">
        <v>4025</v>
      </c>
      <c r="I5343" s="1">
        <v>45352</v>
      </c>
      <c r="J5343">
        <v>365</v>
      </c>
      <c r="K5343" t="s">
        <v>23</v>
      </c>
    </row>
    <row r="5344" spans="1:11">
      <c r="A5344" s="1">
        <v>45407</v>
      </c>
      <c r="B5344" t="s">
        <v>40</v>
      </c>
      <c r="C5344" t="s">
        <v>48</v>
      </c>
      <c r="D5344">
        <v>25889</v>
      </c>
      <c r="E5344">
        <v>12216</v>
      </c>
      <c r="F5344">
        <v>1867</v>
      </c>
      <c r="G5344">
        <v>212</v>
      </c>
      <c r="H5344">
        <v>40185</v>
      </c>
      <c r="I5344" s="1">
        <v>45383</v>
      </c>
      <c r="J5344">
        <v>2079</v>
      </c>
      <c r="K5344" t="s">
        <v>23</v>
      </c>
    </row>
    <row r="5345" spans="1:11">
      <c r="A5345" s="1">
        <v>45407</v>
      </c>
      <c r="B5345" t="s">
        <v>40</v>
      </c>
      <c r="C5345" t="s">
        <v>41</v>
      </c>
      <c r="D5345">
        <v>5009</v>
      </c>
      <c r="E5345">
        <v>2700</v>
      </c>
      <c r="F5345">
        <v>152</v>
      </c>
      <c r="G5345">
        <v>66</v>
      </c>
      <c r="H5345">
        <v>7927</v>
      </c>
      <c r="I5345" s="1">
        <v>45383</v>
      </c>
      <c r="J5345">
        <v>218</v>
      </c>
      <c r="K5345" t="s">
        <v>23</v>
      </c>
    </row>
    <row r="5346" spans="1:11">
      <c r="A5346" s="1">
        <v>45407</v>
      </c>
      <c r="B5346" t="s">
        <v>40</v>
      </c>
      <c r="C5346" t="s">
        <v>33</v>
      </c>
      <c r="D5346">
        <v>1477</v>
      </c>
      <c r="E5346">
        <v>766</v>
      </c>
      <c r="F5346">
        <v>162</v>
      </c>
      <c r="G5346">
        <v>21</v>
      </c>
      <c r="H5346">
        <v>2426</v>
      </c>
      <c r="I5346" s="1">
        <v>45383</v>
      </c>
      <c r="J5346">
        <v>183</v>
      </c>
      <c r="K5346" t="s">
        <v>23</v>
      </c>
    </row>
    <row r="5347" spans="1:11">
      <c r="A5347" s="1">
        <v>45407</v>
      </c>
      <c r="B5347" t="s">
        <v>40</v>
      </c>
      <c r="C5347" t="s">
        <v>65</v>
      </c>
      <c r="D5347">
        <v>15469</v>
      </c>
      <c r="E5347">
        <v>7225</v>
      </c>
      <c r="F5347">
        <v>3513</v>
      </c>
      <c r="G5347">
        <v>4999</v>
      </c>
      <c r="H5347">
        <v>31206</v>
      </c>
      <c r="I5347" s="1">
        <v>45383</v>
      </c>
      <c r="J5347">
        <v>8512</v>
      </c>
      <c r="K5347" t="s">
        <v>23</v>
      </c>
    </row>
    <row r="5348" spans="1:11">
      <c r="A5348" s="1">
        <v>45407</v>
      </c>
      <c r="B5348" t="s">
        <v>40</v>
      </c>
      <c r="C5348" t="s">
        <v>27</v>
      </c>
      <c r="D5348">
        <v>3130</v>
      </c>
      <c r="E5348">
        <v>1357</v>
      </c>
      <c r="F5348">
        <v>438</v>
      </c>
      <c r="G5348">
        <v>78</v>
      </c>
      <c r="H5348">
        <v>5003</v>
      </c>
      <c r="I5348" s="1">
        <v>45383</v>
      </c>
      <c r="J5348">
        <v>516</v>
      </c>
      <c r="K5348" t="s">
        <v>23</v>
      </c>
    </row>
    <row r="5349" spans="1:11">
      <c r="A5349" s="1">
        <v>45407</v>
      </c>
      <c r="B5349" t="s">
        <v>40</v>
      </c>
      <c r="C5349" t="s">
        <v>37</v>
      </c>
      <c r="D5349">
        <v>485</v>
      </c>
      <c r="E5349">
        <v>353</v>
      </c>
      <c r="F5349">
        <v>257</v>
      </c>
      <c r="G5349">
        <v>44</v>
      </c>
      <c r="H5349">
        <v>1138</v>
      </c>
      <c r="I5349" s="1">
        <v>45383</v>
      </c>
      <c r="J5349">
        <v>301</v>
      </c>
      <c r="K5349" t="s">
        <v>23</v>
      </c>
    </row>
    <row r="5350" spans="1:11">
      <c r="A5350" s="1">
        <v>45407</v>
      </c>
      <c r="B5350" t="s">
        <v>40</v>
      </c>
      <c r="C5350" t="s">
        <v>66</v>
      </c>
      <c r="D5350">
        <v>21844</v>
      </c>
      <c r="E5350">
        <v>8313</v>
      </c>
      <c r="F5350">
        <v>4312</v>
      </c>
      <c r="G5350">
        <v>7162</v>
      </c>
      <c r="H5350">
        <v>41632</v>
      </c>
      <c r="I5350" s="1">
        <v>45383</v>
      </c>
      <c r="J5350">
        <v>11474</v>
      </c>
      <c r="K5350" t="s">
        <v>23</v>
      </c>
    </row>
    <row r="5351" spans="1:11">
      <c r="A5351" s="1">
        <v>45407</v>
      </c>
      <c r="B5351" t="s">
        <v>40</v>
      </c>
      <c r="C5351" t="s">
        <v>57</v>
      </c>
      <c r="D5351">
        <v>8106</v>
      </c>
      <c r="E5351">
        <v>2351</v>
      </c>
      <c r="F5351">
        <v>981</v>
      </c>
      <c r="G5351">
        <v>1809</v>
      </c>
      <c r="H5351">
        <v>13247</v>
      </c>
      <c r="I5351" s="1">
        <v>45383</v>
      </c>
      <c r="J5351">
        <v>2790</v>
      </c>
      <c r="K5351" t="s">
        <v>23</v>
      </c>
    </row>
    <row r="5352" spans="1:11">
      <c r="A5352" s="1">
        <v>45407</v>
      </c>
      <c r="B5352" t="s">
        <v>40</v>
      </c>
      <c r="C5352" t="s">
        <v>28</v>
      </c>
      <c r="D5352">
        <v>2381</v>
      </c>
      <c r="E5352">
        <v>847</v>
      </c>
      <c r="F5352">
        <v>341</v>
      </c>
      <c r="G5352">
        <v>54</v>
      </c>
      <c r="H5352">
        <v>3622</v>
      </c>
      <c r="I5352" s="1">
        <v>45383</v>
      </c>
      <c r="J5352">
        <v>395</v>
      </c>
      <c r="K5352" t="s">
        <v>23</v>
      </c>
    </row>
    <row r="5353" spans="1:11">
      <c r="A5353" s="1">
        <v>45407</v>
      </c>
      <c r="B5353" t="s">
        <v>40</v>
      </c>
      <c r="C5353" t="s">
        <v>68</v>
      </c>
      <c r="D5353">
        <v>22298</v>
      </c>
      <c r="E5353">
        <v>7455</v>
      </c>
      <c r="F5353">
        <v>3198</v>
      </c>
      <c r="G5353">
        <v>4961</v>
      </c>
      <c r="H5353">
        <v>37912</v>
      </c>
      <c r="I5353" s="1">
        <v>45383</v>
      </c>
      <c r="J5353">
        <v>8159</v>
      </c>
      <c r="K5353" t="s">
        <v>23</v>
      </c>
    </row>
    <row r="5354" spans="1:11">
      <c r="A5354" s="1">
        <v>45407</v>
      </c>
      <c r="B5354" t="s">
        <v>40</v>
      </c>
      <c r="C5354" t="s">
        <v>47</v>
      </c>
      <c r="D5354">
        <v>3978</v>
      </c>
      <c r="E5354">
        <v>1127</v>
      </c>
      <c r="F5354">
        <v>399</v>
      </c>
      <c r="G5354">
        <v>310</v>
      </c>
      <c r="H5354">
        <v>5814</v>
      </c>
      <c r="I5354" s="1">
        <v>45383</v>
      </c>
      <c r="J5354">
        <v>709</v>
      </c>
      <c r="K5354" t="s">
        <v>23</v>
      </c>
    </row>
    <row r="5355" spans="1:11">
      <c r="A5355" s="1">
        <v>45407</v>
      </c>
      <c r="B5355" t="s">
        <v>40</v>
      </c>
      <c r="C5355" t="s">
        <v>25</v>
      </c>
      <c r="D5355">
        <v>2905</v>
      </c>
      <c r="E5355">
        <v>1396</v>
      </c>
      <c r="F5355">
        <v>520</v>
      </c>
      <c r="G5355">
        <v>862</v>
      </c>
      <c r="H5355">
        <v>5683</v>
      </c>
      <c r="I5355" s="1">
        <v>45383</v>
      </c>
      <c r="J5355">
        <v>1382</v>
      </c>
      <c r="K5355" t="s">
        <v>23</v>
      </c>
    </row>
    <row r="5356" spans="1:11">
      <c r="A5356" s="1">
        <v>45407</v>
      </c>
      <c r="B5356" t="s">
        <v>40</v>
      </c>
      <c r="C5356" t="s">
        <v>51</v>
      </c>
      <c r="D5356">
        <v>4779</v>
      </c>
      <c r="E5356">
        <v>1960</v>
      </c>
      <c r="F5356">
        <v>1099</v>
      </c>
      <c r="G5356">
        <v>1140</v>
      </c>
      <c r="H5356">
        <v>8978</v>
      </c>
      <c r="I5356" s="1">
        <v>45383</v>
      </c>
      <c r="J5356">
        <v>2239</v>
      </c>
      <c r="K5356" t="s">
        <v>23</v>
      </c>
    </row>
    <row r="5357" spans="1:11">
      <c r="A5357" s="1">
        <v>45407</v>
      </c>
      <c r="B5357" t="s">
        <v>40</v>
      </c>
      <c r="C5357" t="s">
        <v>45</v>
      </c>
      <c r="D5357">
        <v>2201</v>
      </c>
      <c r="E5357">
        <v>1036</v>
      </c>
      <c r="F5357">
        <v>350</v>
      </c>
      <c r="G5357">
        <v>425</v>
      </c>
      <c r="H5357">
        <v>4012</v>
      </c>
      <c r="I5357" s="1">
        <v>45383</v>
      </c>
      <c r="J5357">
        <v>775</v>
      </c>
      <c r="K5357" t="s">
        <v>23</v>
      </c>
    </row>
    <row r="5358" spans="1:11">
      <c r="A5358" s="1">
        <v>45407</v>
      </c>
      <c r="B5358" t="s">
        <v>40</v>
      </c>
      <c r="C5358" t="s">
        <v>39</v>
      </c>
      <c r="D5358">
        <v>6109</v>
      </c>
      <c r="E5358">
        <v>2897</v>
      </c>
      <c r="F5358">
        <v>938</v>
      </c>
      <c r="G5358">
        <v>166</v>
      </c>
      <c r="H5358">
        <v>10109</v>
      </c>
      <c r="I5358" s="1">
        <v>45383</v>
      </c>
      <c r="J5358">
        <v>1104</v>
      </c>
      <c r="K5358" t="s">
        <v>23</v>
      </c>
    </row>
    <row r="5359" spans="1:11">
      <c r="A5359" s="1">
        <v>45407</v>
      </c>
      <c r="B5359" t="s">
        <v>40</v>
      </c>
      <c r="C5359" t="s">
        <v>54</v>
      </c>
      <c r="D5359">
        <v>2719</v>
      </c>
      <c r="E5359">
        <v>1951</v>
      </c>
      <c r="F5359">
        <v>575</v>
      </c>
      <c r="G5359">
        <v>226</v>
      </c>
      <c r="H5359">
        <v>5471</v>
      </c>
      <c r="I5359" s="1">
        <v>45383</v>
      </c>
      <c r="J5359">
        <v>801</v>
      </c>
      <c r="K5359" t="s">
        <v>23</v>
      </c>
    </row>
    <row r="5360" spans="1:11">
      <c r="A5360" s="1">
        <v>45407</v>
      </c>
      <c r="B5360" t="s">
        <v>40</v>
      </c>
      <c r="C5360" t="s">
        <v>35</v>
      </c>
      <c r="D5360">
        <v>377</v>
      </c>
      <c r="E5360">
        <v>279</v>
      </c>
      <c r="F5360">
        <v>216</v>
      </c>
      <c r="G5360">
        <v>54</v>
      </c>
      <c r="H5360">
        <v>926</v>
      </c>
      <c r="I5360" s="1">
        <v>45383</v>
      </c>
      <c r="J5360">
        <v>270</v>
      </c>
      <c r="K5360" t="s">
        <v>23</v>
      </c>
    </row>
    <row r="5361" spans="1:11">
      <c r="A5361" s="1">
        <v>45407</v>
      </c>
      <c r="B5361" t="s">
        <v>40</v>
      </c>
      <c r="C5361" t="s">
        <v>52</v>
      </c>
      <c r="D5361">
        <v>8224</v>
      </c>
      <c r="E5361">
        <v>3275</v>
      </c>
      <c r="F5361">
        <v>341</v>
      </c>
      <c r="G5361">
        <v>60</v>
      </c>
      <c r="H5361">
        <v>11901</v>
      </c>
      <c r="I5361" s="1">
        <v>45383</v>
      </c>
      <c r="J5361">
        <v>401</v>
      </c>
      <c r="K5361" t="s">
        <v>23</v>
      </c>
    </row>
    <row r="5362" spans="1:11">
      <c r="A5362" s="1">
        <v>45407</v>
      </c>
      <c r="B5362" t="s">
        <v>40</v>
      </c>
      <c r="C5362" t="s">
        <v>22</v>
      </c>
      <c r="D5362">
        <v>3499</v>
      </c>
      <c r="E5362">
        <v>1950</v>
      </c>
      <c r="F5362">
        <v>617</v>
      </c>
      <c r="G5362">
        <v>132</v>
      </c>
      <c r="H5362">
        <v>6198</v>
      </c>
      <c r="I5362" s="1">
        <v>45383</v>
      </c>
      <c r="J5362">
        <v>749</v>
      </c>
      <c r="K5362" t="s">
        <v>23</v>
      </c>
    </row>
    <row r="5363" spans="1:11">
      <c r="A5363" s="1">
        <v>45407</v>
      </c>
      <c r="B5363" t="s">
        <v>40</v>
      </c>
      <c r="C5363" t="s">
        <v>46</v>
      </c>
      <c r="D5363">
        <v>2090</v>
      </c>
      <c r="E5363">
        <v>331</v>
      </c>
      <c r="F5363">
        <v>139</v>
      </c>
      <c r="G5363">
        <v>83</v>
      </c>
      <c r="H5363">
        <v>2643</v>
      </c>
      <c r="I5363" s="1">
        <v>45383</v>
      </c>
      <c r="J5363">
        <v>222</v>
      </c>
      <c r="K5363" t="s">
        <v>23</v>
      </c>
    </row>
    <row r="5364" spans="1:11">
      <c r="A5364" s="1">
        <v>45407</v>
      </c>
      <c r="B5364" t="s">
        <v>40</v>
      </c>
      <c r="C5364" t="s">
        <v>31</v>
      </c>
      <c r="D5364">
        <v>2493</v>
      </c>
      <c r="E5364">
        <v>724</v>
      </c>
      <c r="F5364">
        <v>157</v>
      </c>
      <c r="G5364">
        <v>148</v>
      </c>
      <c r="H5364">
        <v>3521</v>
      </c>
      <c r="I5364" s="1">
        <v>45383</v>
      </c>
      <c r="J5364">
        <v>305</v>
      </c>
      <c r="K5364" t="s">
        <v>23</v>
      </c>
    </row>
    <row r="5365" spans="1:11">
      <c r="A5365" s="1">
        <v>45407</v>
      </c>
      <c r="B5365" t="s">
        <v>40</v>
      </c>
      <c r="C5365" t="s">
        <v>63</v>
      </c>
      <c r="D5365">
        <v>5618</v>
      </c>
      <c r="E5365">
        <v>2889</v>
      </c>
      <c r="F5365">
        <v>1730</v>
      </c>
      <c r="G5365">
        <v>1640</v>
      </c>
      <c r="H5365">
        <v>11877</v>
      </c>
      <c r="I5365" s="1">
        <v>45383</v>
      </c>
      <c r="J5365">
        <v>3370</v>
      </c>
      <c r="K5365" t="s">
        <v>23</v>
      </c>
    </row>
    <row r="5366" spans="1:11">
      <c r="A5366" s="1">
        <v>45407</v>
      </c>
      <c r="B5366" t="s">
        <v>40</v>
      </c>
      <c r="C5366" t="s">
        <v>60</v>
      </c>
      <c r="D5366">
        <v>7413</v>
      </c>
      <c r="E5366">
        <v>2362</v>
      </c>
      <c r="F5366">
        <v>884</v>
      </c>
      <c r="G5366">
        <v>1461</v>
      </c>
      <c r="H5366">
        <v>12119</v>
      </c>
      <c r="I5366" s="1">
        <v>45383</v>
      </c>
      <c r="J5366">
        <v>2345</v>
      </c>
      <c r="K5366" t="s">
        <v>23</v>
      </c>
    </row>
    <row r="5367" spans="1:11">
      <c r="A5367" s="1">
        <v>45407</v>
      </c>
      <c r="B5367" t="s">
        <v>40</v>
      </c>
      <c r="C5367" t="s">
        <v>61</v>
      </c>
      <c r="D5367">
        <v>11475</v>
      </c>
      <c r="E5367">
        <v>6683</v>
      </c>
      <c r="F5367">
        <v>2936</v>
      </c>
      <c r="G5367">
        <v>4052</v>
      </c>
      <c r="H5367">
        <v>25146</v>
      </c>
      <c r="I5367" s="1">
        <v>45383</v>
      </c>
      <c r="J5367">
        <v>6988</v>
      </c>
      <c r="K5367" t="s">
        <v>23</v>
      </c>
    </row>
    <row r="5368" spans="1:11">
      <c r="A5368" s="1">
        <v>45407</v>
      </c>
      <c r="B5368" t="s">
        <v>40</v>
      </c>
      <c r="C5368" t="s">
        <v>62</v>
      </c>
      <c r="D5368">
        <v>2233</v>
      </c>
      <c r="E5368">
        <v>1604</v>
      </c>
      <c r="F5368">
        <v>1183</v>
      </c>
      <c r="G5368">
        <v>4127</v>
      </c>
      <c r="H5368">
        <v>9148</v>
      </c>
      <c r="I5368" s="1">
        <v>45383</v>
      </c>
      <c r="J5368">
        <v>5310</v>
      </c>
      <c r="K5368" t="s">
        <v>23</v>
      </c>
    </row>
    <row r="5369" spans="1:11">
      <c r="A5369" s="1">
        <v>45407</v>
      </c>
      <c r="B5369" t="s">
        <v>40</v>
      </c>
      <c r="C5369" t="s">
        <v>69</v>
      </c>
      <c r="D5369">
        <v>17157</v>
      </c>
      <c r="E5369">
        <v>5194</v>
      </c>
      <c r="F5369">
        <v>1417</v>
      </c>
      <c r="G5369">
        <v>1185</v>
      </c>
      <c r="H5369">
        <v>24954</v>
      </c>
      <c r="I5369" s="1">
        <v>45383</v>
      </c>
      <c r="J5369">
        <v>2602</v>
      </c>
      <c r="K5369" t="s">
        <v>23</v>
      </c>
    </row>
    <row r="5370" spans="1:11">
      <c r="A5370" s="1">
        <v>45407</v>
      </c>
      <c r="B5370" t="s">
        <v>40</v>
      </c>
      <c r="C5370" t="s">
        <v>29</v>
      </c>
      <c r="D5370">
        <v>3740</v>
      </c>
      <c r="E5370">
        <v>1410</v>
      </c>
      <c r="F5370">
        <v>522</v>
      </c>
      <c r="G5370">
        <v>189</v>
      </c>
      <c r="H5370">
        <v>5860</v>
      </c>
      <c r="I5370" s="1">
        <v>45383</v>
      </c>
      <c r="J5370">
        <v>711</v>
      </c>
      <c r="K5370" t="s">
        <v>23</v>
      </c>
    </row>
    <row r="5371" spans="1:11">
      <c r="A5371" s="1">
        <v>45407</v>
      </c>
      <c r="B5371" t="s">
        <v>40</v>
      </c>
      <c r="C5371" t="s">
        <v>70</v>
      </c>
      <c r="D5371">
        <v>2601</v>
      </c>
      <c r="E5371">
        <v>946</v>
      </c>
      <c r="F5371">
        <v>321</v>
      </c>
      <c r="G5371">
        <v>298</v>
      </c>
      <c r="H5371">
        <v>4165</v>
      </c>
      <c r="I5371" s="1">
        <v>45383</v>
      </c>
      <c r="J5371">
        <v>619</v>
      </c>
      <c r="K5371" t="s">
        <v>23</v>
      </c>
    </row>
    <row r="5372" spans="1:11">
      <c r="A5372" s="1">
        <v>45407</v>
      </c>
      <c r="B5372" t="s">
        <v>40</v>
      </c>
      <c r="C5372" t="s">
        <v>71</v>
      </c>
      <c r="D5372">
        <v>19505</v>
      </c>
      <c r="E5372">
        <v>7469</v>
      </c>
      <c r="F5372">
        <v>2565</v>
      </c>
      <c r="G5372">
        <v>824</v>
      </c>
      <c r="H5372">
        <v>30362</v>
      </c>
      <c r="I5372" s="1">
        <v>45383</v>
      </c>
      <c r="J5372">
        <v>3389</v>
      </c>
      <c r="K5372" t="s">
        <v>23</v>
      </c>
    </row>
    <row r="5373" spans="1:11">
      <c r="A5373" s="1">
        <v>45407</v>
      </c>
      <c r="B5373" t="s">
        <v>40</v>
      </c>
      <c r="C5373" t="s">
        <v>36</v>
      </c>
      <c r="D5373">
        <v>14206</v>
      </c>
      <c r="E5373">
        <v>8691</v>
      </c>
      <c r="F5373">
        <v>4322</v>
      </c>
      <c r="G5373">
        <v>3525</v>
      </c>
      <c r="H5373">
        <v>30744</v>
      </c>
      <c r="I5373" s="1">
        <v>45383</v>
      </c>
      <c r="J5373">
        <v>7847</v>
      </c>
      <c r="K5373" t="s">
        <v>23</v>
      </c>
    </row>
    <row r="5374" spans="1:11">
      <c r="A5374" s="1">
        <v>45407</v>
      </c>
      <c r="B5374" t="s">
        <v>40</v>
      </c>
      <c r="C5374" t="s">
        <v>32</v>
      </c>
      <c r="D5374">
        <v>2103</v>
      </c>
      <c r="E5374">
        <v>927</v>
      </c>
      <c r="F5374">
        <v>233</v>
      </c>
      <c r="G5374">
        <v>35</v>
      </c>
      <c r="H5374">
        <v>3297</v>
      </c>
      <c r="I5374" s="1">
        <v>45383</v>
      </c>
      <c r="J5374">
        <v>268</v>
      </c>
      <c r="K5374" t="s">
        <v>23</v>
      </c>
    </row>
    <row r="5375" spans="1:11">
      <c r="A5375" s="1">
        <v>45407</v>
      </c>
      <c r="B5375" t="s">
        <v>40</v>
      </c>
      <c r="C5375" t="s">
        <v>44</v>
      </c>
      <c r="D5375">
        <v>5793</v>
      </c>
      <c r="E5375">
        <v>2334</v>
      </c>
      <c r="F5375">
        <v>739</v>
      </c>
      <c r="G5375">
        <v>171</v>
      </c>
      <c r="H5375">
        <v>9038</v>
      </c>
      <c r="I5375" s="1">
        <v>45383</v>
      </c>
      <c r="J5375">
        <v>910</v>
      </c>
      <c r="K5375" t="s">
        <v>23</v>
      </c>
    </row>
    <row r="5376" spans="1:11">
      <c r="A5376" s="1">
        <v>45407</v>
      </c>
      <c r="B5376" t="s">
        <v>40</v>
      </c>
      <c r="C5376" t="s">
        <v>59</v>
      </c>
      <c r="D5376">
        <v>14400</v>
      </c>
      <c r="E5376">
        <v>4304</v>
      </c>
      <c r="F5376">
        <v>1226</v>
      </c>
      <c r="G5376">
        <v>864</v>
      </c>
      <c r="H5376">
        <v>20794</v>
      </c>
      <c r="I5376" s="1">
        <v>45383</v>
      </c>
      <c r="J5376">
        <v>2090</v>
      </c>
      <c r="K5376" t="s">
        <v>23</v>
      </c>
    </row>
    <row r="5377" spans="1:11">
      <c r="A5377" s="1">
        <v>45407</v>
      </c>
      <c r="B5377" t="s">
        <v>40</v>
      </c>
      <c r="C5377" t="s">
        <v>67</v>
      </c>
      <c r="D5377">
        <v>17920</v>
      </c>
      <c r="E5377">
        <v>9743</v>
      </c>
      <c r="F5377">
        <v>4176</v>
      </c>
      <c r="G5377">
        <v>4892</v>
      </c>
      <c r="H5377">
        <v>36732</v>
      </c>
      <c r="I5377" s="1">
        <v>45383</v>
      </c>
      <c r="J5377">
        <v>9068</v>
      </c>
      <c r="K5377" t="s">
        <v>23</v>
      </c>
    </row>
    <row r="5378" spans="1:11">
      <c r="A5378" s="1">
        <v>45407</v>
      </c>
      <c r="B5378" t="s">
        <v>40</v>
      </c>
      <c r="C5378" t="s">
        <v>49</v>
      </c>
      <c r="D5378">
        <v>2803</v>
      </c>
      <c r="E5378">
        <v>760</v>
      </c>
      <c r="F5378">
        <v>100</v>
      </c>
      <c r="G5378">
        <v>60</v>
      </c>
      <c r="H5378">
        <v>3723</v>
      </c>
      <c r="I5378" s="1">
        <v>45383</v>
      </c>
      <c r="J5378">
        <v>160</v>
      </c>
      <c r="K5378" t="s">
        <v>23</v>
      </c>
    </row>
    <row r="5379" spans="1:11">
      <c r="A5379" s="1">
        <v>45442</v>
      </c>
      <c r="B5379" t="s">
        <v>40</v>
      </c>
      <c r="C5379" t="s">
        <v>48</v>
      </c>
      <c r="D5379">
        <v>26268</v>
      </c>
      <c r="E5379">
        <v>12243</v>
      </c>
      <c r="F5379">
        <v>2373</v>
      </c>
      <c r="G5379">
        <v>253</v>
      </c>
      <c r="H5379">
        <v>41137</v>
      </c>
      <c r="I5379" s="1">
        <v>45413</v>
      </c>
      <c r="J5379">
        <v>2626</v>
      </c>
      <c r="K5379" t="s">
        <v>23</v>
      </c>
    </row>
    <row r="5380" spans="1:11">
      <c r="A5380" s="1">
        <v>45442</v>
      </c>
      <c r="B5380" t="s">
        <v>40</v>
      </c>
      <c r="C5380" t="s">
        <v>41</v>
      </c>
      <c r="D5380">
        <v>5011</v>
      </c>
      <c r="E5380">
        <v>2677</v>
      </c>
      <c r="F5380">
        <v>225</v>
      </c>
      <c r="G5380">
        <v>58</v>
      </c>
      <c r="H5380">
        <v>7971</v>
      </c>
      <c r="I5380" s="1">
        <v>45413</v>
      </c>
      <c r="J5380">
        <v>283</v>
      </c>
      <c r="K5380" t="s">
        <v>23</v>
      </c>
    </row>
    <row r="5381" spans="1:11">
      <c r="A5381" s="1">
        <v>45442</v>
      </c>
      <c r="B5381" t="s">
        <v>40</v>
      </c>
      <c r="C5381" t="s">
        <v>33</v>
      </c>
      <c r="D5381">
        <v>1507</v>
      </c>
      <c r="E5381">
        <v>761</v>
      </c>
      <c r="F5381">
        <v>150</v>
      </c>
      <c r="G5381">
        <v>19</v>
      </c>
      <c r="H5381">
        <v>2437</v>
      </c>
      <c r="I5381" s="1">
        <v>45413</v>
      </c>
      <c r="J5381">
        <v>169</v>
      </c>
      <c r="K5381" t="s">
        <v>23</v>
      </c>
    </row>
    <row r="5382" spans="1:11">
      <c r="A5382" s="1">
        <v>45442</v>
      </c>
      <c r="B5382" t="s">
        <v>40</v>
      </c>
      <c r="C5382" t="s">
        <v>65</v>
      </c>
      <c r="D5382">
        <v>15456</v>
      </c>
      <c r="E5382">
        <v>6809</v>
      </c>
      <c r="F5382">
        <v>3523</v>
      </c>
      <c r="G5382">
        <v>4979</v>
      </c>
      <c r="H5382">
        <v>30767</v>
      </c>
      <c r="I5382" s="1">
        <v>45413</v>
      </c>
      <c r="J5382">
        <v>8502</v>
      </c>
      <c r="K5382" t="s">
        <v>23</v>
      </c>
    </row>
    <row r="5383" spans="1:11">
      <c r="A5383" s="1">
        <v>45442</v>
      </c>
      <c r="B5383" t="s">
        <v>40</v>
      </c>
      <c r="C5383" t="s">
        <v>27</v>
      </c>
      <c r="D5383">
        <v>3138</v>
      </c>
      <c r="E5383">
        <v>1291</v>
      </c>
      <c r="F5383">
        <v>477</v>
      </c>
      <c r="G5383">
        <v>103</v>
      </c>
      <c r="H5383">
        <v>5009</v>
      </c>
      <c r="I5383" s="1">
        <v>45413</v>
      </c>
      <c r="J5383">
        <v>580</v>
      </c>
      <c r="K5383" t="s">
        <v>23</v>
      </c>
    </row>
    <row r="5384" spans="1:11">
      <c r="A5384" s="1">
        <v>45442</v>
      </c>
      <c r="B5384" t="s">
        <v>40</v>
      </c>
      <c r="C5384" t="s">
        <v>37</v>
      </c>
      <c r="D5384">
        <v>497</v>
      </c>
      <c r="E5384">
        <v>335</v>
      </c>
      <c r="F5384">
        <v>274</v>
      </c>
      <c r="G5384">
        <v>75</v>
      </c>
      <c r="H5384">
        <v>1181</v>
      </c>
      <c r="I5384" s="1">
        <v>45413</v>
      </c>
      <c r="J5384">
        <v>349</v>
      </c>
      <c r="K5384" t="s">
        <v>23</v>
      </c>
    </row>
    <row r="5385" spans="1:11">
      <c r="A5385" s="1">
        <v>45442</v>
      </c>
      <c r="B5385" t="s">
        <v>40</v>
      </c>
      <c r="C5385" t="s">
        <v>66</v>
      </c>
      <c r="D5385">
        <v>21837</v>
      </c>
      <c r="E5385">
        <v>8616</v>
      </c>
      <c r="F5385">
        <v>4210</v>
      </c>
      <c r="G5385">
        <v>6333</v>
      </c>
      <c r="H5385">
        <v>40996</v>
      </c>
      <c r="I5385" s="1">
        <v>45413</v>
      </c>
      <c r="J5385">
        <v>10543</v>
      </c>
      <c r="K5385" t="s">
        <v>23</v>
      </c>
    </row>
    <row r="5386" spans="1:11">
      <c r="A5386" s="1">
        <v>45442</v>
      </c>
      <c r="B5386" t="s">
        <v>40</v>
      </c>
      <c r="C5386" t="s">
        <v>57</v>
      </c>
      <c r="D5386">
        <v>8179</v>
      </c>
      <c r="E5386">
        <v>2432</v>
      </c>
      <c r="F5386">
        <v>983</v>
      </c>
      <c r="G5386">
        <v>1801</v>
      </c>
      <c r="H5386">
        <v>13394</v>
      </c>
      <c r="I5386" s="1">
        <v>45413</v>
      </c>
      <c r="J5386">
        <v>2784</v>
      </c>
      <c r="K5386" t="s">
        <v>23</v>
      </c>
    </row>
    <row r="5387" spans="1:11">
      <c r="A5387" s="1">
        <v>45442</v>
      </c>
      <c r="B5387" t="s">
        <v>40</v>
      </c>
      <c r="C5387" t="s">
        <v>42</v>
      </c>
      <c r="D5387">
        <v>1478</v>
      </c>
      <c r="E5387">
        <v>344</v>
      </c>
      <c r="F5387">
        <v>0</v>
      </c>
      <c r="G5387">
        <v>1</v>
      </c>
      <c r="H5387">
        <v>1824</v>
      </c>
      <c r="I5387" s="1">
        <v>45413</v>
      </c>
      <c r="J5387">
        <v>1</v>
      </c>
      <c r="K5387" t="s">
        <v>23</v>
      </c>
    </row>
    <row r="5388" spans="1:11">
      <c r="A5388" s="1">
        <v>45442</v>
      </c>
      <c r="B5388" t="s">
        <v>40</v>
      </c>
      <c r="C5388" t="s">
        <v>28</v>
      </c>
      <c r="D5388">
        <v>2401</v>
      </c>
      <c r="E5388">
        <v>861</v>
      </c>
      <c r="F5388">
        <v>337</v>
      </c>
      <c r="G5388">
        <v>91</v>
      </c>
      <c r="H5388">
        <v>3690</v>
      </c>
      <c r="I5388" s="1">
        <v>45413</v>
      </c>
      <c r="J5388">
        <v>428</v>
      </c>
      <c r="K5388" t="s">
        <v>23</v>
      </c>
    </row>
    <row r="5389" spans="1:11">
      <c r="A5389" s="1">
        <v>45442</v>
      </c>
      <c r="B5389" t="s">
        <v>40</v>
      </c>
      <c r="C5389" t="s">
        <v>68</v>
      </c>
      <c r="D5389">
        <v>22650</v>
      </c>
      <c r="E5389">
        <v>7106</v>
      </c>
      <c r="F5389">
        <v>3314</v>
      </c>
      <c r="G5389">
        <v>4853</v>
      </c>
      <c r="H5389">
        <v>37924</v>
      </c>
      <c r="I5389" s="1">
        <v>45413</v>
      </c>
      <c r="J5389">
        <v>8167</v>
      </c>
      <c r="K5389" t="s">
        <v>23</v>
      </c>
    </row>
    <row r="5390" spans="1:11">
      <c r="A5390" s="1">
        <v>45442</v>
      </c>
      <c r="B5390" t="s">
        <v>40</v>
      </c>
      <c r="C5390" t="s">
        <v>47</v>
      </c>
      <c r="D5390">
        <v>3769</v>
      </c>
      <c r="E5390">
        <v>1095</v>
      </c>
      <c r="F5390">
        <v>263</v>
      </c>
      <c r="G5390">
        <v>217</v>
      </c>
      <c r="H5390">
        <v>5343</v>
      </c>
      <c r="I5390" s="1">
        <v>45413</v>
      </c>
      <c r="J5390">
        <v>480</v>
      </c>
      <c r="K5390" t="s">
        <v>23</v>
      </c>
    </row>
    <row r="5391" spans="1:11">
      <c r="A5391" s="1">
        <v>45442</v>
      </c>
      <c r="B5391" t="s">
        <v>40</v>
      </c>
      <c r="C5391" t="s">
        <v>25</v>
      </c>
      <c r="D5391">
        <v>2988</v>
      </c>
      <c r="E5391">
        <v>1344</v>
      </c>
      <c r="F5391">
        <v>569</v>
      </c>
      <c r="G5391">
        <v>808</v>
      </c>
      <c r="H5391">
        <v>5708</v>
      </c>
      <c r="I5391" s="1">
        <v>45413</v>
      </c>
      <c r="J5391">
        <v>1377</v>
      </c>
      <c r="K5391" t="s">
        <v>23</v>
      </c>
    </row>
    <row r="5392" spans="1:11">
      <c r="A5392" s="1">
        <v>45442</v>
      </c>
      <c r="B5392" t="s">
        <v>40</v>
      </c>
      <c r="C5392" t="s">
        <v>51</v>
      </c>
      <c r="D5392">
        <v>4681</v>
      </c>
      <c r="E5392">
        <v>2080</v>
      </c>
      <c r="F5392">
        <v>1106</v>
      </c>
      <c r="G5392">
        <v>1173</v>
      </c>
      <c r="H5392">
        <v>9039</v>
      </c>
      <c r="I5392" s="1">
        <v>45413</v>
      </c>
      <c r="J5392">
        <v>2279</v>
      </c>
      <c r="K5392" t="s">
        <v>23</v>
      </c>
    </row>
    <row r="5393" spans="1:11">
      <c r="A5393" s="1">
        <v>45442</v>
      </c>
      <c r="B5393" t="s">
        <v>40</v>
      </c>
      <c r="C5393" t="s">
        <v>45</v>
      </c>
      <c r="D5393">
        <v>2356</v>
      </c>
      <c r="E5393">
        <v>1001</v>
      </c>
      <c r="F5393">
        <v>363</v>
      </c>
      <c r="G5393">
        <v>389</v>
      </c>
      <c r="H5393">
        <v>4109</v>
      </c>
      <c r="I5393" s="1">
        <v>45413</v>
      </c>
      <c r="J5393">
        <v>752</v>
      </c>
      <c r="K5393" t="s">
        <v>23</v>
      </c>
    </row>
    <row r="5394" spans="1:11">
      <c r="A5394" s="1">
        <v>45442</v>
      </c>
      <c r="B5394" t="s">
        <v>40</v>
      </c>
      <c r="C5394" t="s">
        <v>39</v>
      </c>
      <c r="D5394">
        <v>6328</v>
      </c>
      <c r="E5394">
        <v>2804</v>
      </c>
      <c r="F5394">
        <v>1011</v>
      </c>
      <c r="G5394">
        <v>146</v>
      </c>
      <c r="H5394">
        <v>10288</v>
      </c>
      <c r="I5394" s="1">
        <v>45413</v>
      </c>
      <c r="J5394">
        <v>1157</v>
      </c>
      <c r="K5394" t="s">
        <v>23</v>
      </c>
    </row>
    <row r="5395" spans="1:11">
      <c r="A5395" s="1">
        <v>45442</v>
      </c>
      <c r="B5395" t="s">
        <v>40</v>
      </c>
      <c r="C5395" t="s">
        <v>38</v>
      </c>
      <c r="D5395">
        <v>2624</v>
      </c>
      <c r="E5395">
        <v>534</v>
      </c>
      <c r="F5395">
        <v>123</v>
      </c>
      <c r="G5395">
        <v>1</v>
      </c>
      <c r="H5395">
        <v>3282</v>
      </c>
      <c r="I5395" s="1">
        <v>45413</v>
      </c>
      <c r="J5395">
        <v>124</v>
      </c>
      <c r="K5395" t="s">
        <v>23</v>
      </c>
    </row>
    <row r="5396" spans="1:11">
      <c r="A5396" s="1">
        <v>45442</v>
      </c>
      <c r="B5396" t="s">
        <v>40</v>
      </c>
      <c r="C5396" t="s">
        <v>54</v>
      </c>
      <c r="D5396">
        <v>2560</v>
      </c>
      <c r="E5396">
        <v>1968</v>
      </c>
      <c r="F5396">
        <v>570</v>
      </c>
      <c r="G5396">
        <v>234</v>
      </c>
      <c r="H5396">
        <v>5332</v>
      </c>
      <c r="I5396" s="1">
        <v>45413</v>
      </c>
      <c r="J5396">
        <v>804</v>
      </c>
      <c r="K5396" t="s">
        <v>23</v>
      </c>
    </row>
    <row r="5397" spans="1:11">
      <c r="A5397" s="1">
        <v>45442</v>
      </c>
      <c r="B5397" t="s">
        <v>40</v>
      </c>
      <c r="C5397" t="s">
        <v>35</v>
      </c>
      <c r="D5397">
        <v>382</v>
      </c>
      <c r="E5397">
        <v>261</v>
      </c>
      <c r="F5397">
        <v>201</v>
      </c>
      <c r="G5397">
        <v>88</v>
      </c>
      <c r="H5397">
        <v>932</v>
      </c>
      <c r="I5397" s="1">
        <v>45413</v>
      </c>
      <c r="J5397">
        <v>289</v>
      </c>
      <c r="K5397" t="s">
        <v>23</v>
      </c>
    </row>
    <row r="5398" spans="1:11">
      <c r="A5398" s="1">
        <v>45442</v>
      </c>
      <c r="B5398" t="s">
        <v>40</v>
      </c>
      <c r="C5398" t="s">
        <v>52</v>
      </c>
      <c r="D5398">
        <v>8554</v>
      </c>
      <c r="E5398">
        <v>3257</v>
      </c>
      <c r="F5398">
        <v>429</v>
      </c>
      <c r="G5398">
        <v>47</v>
      </c>
      <c r="H5398">
        <v>12286</v>
      </c>
      <c r="I5398" s="1">
        <v>45413</v>
      </c>
      <c r="J5398">
        <v>476</v>
      </c>
      <c r="K5398" t="s">
        <v>23</v>
      </c>
    </row>
    <row r="5399" spans="1:11">
      <c r="A5399" s="1">
        <v>45442</v>
      </c>
      <c r="B5399" t="s">
        <v>40</v>
      </c>
      <c r="C5399" t="s">
        <v>22</v>
      </c>
      <c r="D5399">
        <v>3705</v>
      </c>
      <c r="E5399">
        <v>1873</v>
      </c>
      <c r="F5399">
        <v>651</v>
      </c>
      <c r="G5399">
        <v>105</v>
      </c>
      <c r="H5399">
        <v>6334</v>
      </c>
      <c r="I5399" s="1">
        <v>45413</v>
      </c>
      <c r="J5399">
        <v>756</v>
      </c>
      <c r="K5399" t="s">
        <v>23</v>
      </c>
    </row>
    <row r="5400" spans="1:11">
      <c r="A5400" s="1">
        <v>45442</v>
      </c>
      <c r="B5400" t="s">
        <v>40</v>
      </c>
      <c r="C5400" t="s">
        <v>46</v>
      </c>
      <c r="D5400">
        <v>2014</v>
      </c>
      <c r="E5400">
        <v>363</v>
      </c>
      <c r="F5400">
        <v>142</v>
      </c>
      <c r="G5400">
        <v>73</v>
      </c>
      <c r="H5400">
        <v>2592</v>
      </c>
      <c r="I5400" s="1">
        <v>45413</v>
      </c>
      <c r="J5400">
        <v>215</v>
      </c>
      <c r="K5400" t="s">
        <v>23</v>
      </c>
    </row>
    <row r="5401" spans="1:11">
      <c r="A5401" s="1">
        <v>45442</v>
      </c>
      <c r="B5401" t="s">
        <v>40</v>
      </c>
      <c r="C5401" t="s">
        <v>31</v>
      </c>
      <c r="D5401">
        <v>2808</v>
      </c>
      <c r="E5401">
        <v>652</v>
      </c>
      <c r="F5401">
        <v>168</v>
      </c>
      <c r="G5401">
        <v>112</v>
      </c>
      <c r="H5401">
        <v>3740</v>
      </c>
      <c r="I5401" s="1">
        <v>45413</v>
      </c>
      <c r="J5401">
        <v>280</v>
      </c>
      <c r="K5401" t="s">
        <v>23</v>
      </c>
    </row>
    <row r="5402" spans="1:11">
      <c r="A5402" s="1">
        <v>45442</v>
      </c>
      <c r="B5402" t="s">
        <v>40</v>
      </c>
      <c r="C5402" t="s">
        <v>63</v>
      </c>
      <c r="D5402">
        <v>5339</v>
      </c>
      <c r="E5402">
        <v>2802</v>
      </c>
      <c r="F5402">
        <v>1727</v>
      </c>
      <c r="G5402">
        <v>1479</v>
      </c>
      <c r="H5402">
        <v>11347</v>
      </c>
      <c r="I5402" s="1">
        <v>45413</v>
      </c>
      <c r="J5402">
        <v>3206</v>
      </c>
      <c r="K5402" t="s">
        <v>23</v>
      </c>
    </row>
    <row r="5403" spans="1:11">
      <c r="A5403" s="1">
        <v>45442</v>
      </c>
      <c r="B5403" t="s">
        <v>40</v>
      </c>
      <c r="C5403" t="s">
        <v>60</v>
      </c>
      <c r="D5403">
        <v>7499</v>
      </c>
      <c r="E5403">
        <v>2146</v>
      </c>
      <c r="F5403">
        <v>860</v>
      </c>
      <c r="G5403">
        <v>1401</v>
      </c>
      <c r="H5403">
        <v>11905</v>
      </c>
      <c r="I5403" s="1">
        <v>45413</v>
      </c>
      <c r="J5403">
        <v>2261</v>
      </c>
      <c r="K5403" t="s">
        <v>23</v>
      </c>
    </row>
    <row r="5404" spans="1:11">
      <c r="A5404" s="1">
        <v>45442</v>
      </c>
      <c r="B5404" t="s">
        <v>40</v>
      </c>
      <c r="C5404" t="s">
        <v>61</v>
      </c>
      <c r="D5404">
        <v>12099</v>
      </c>
      <c r="E5404">
        <v>6713</v>
      </c>
      <c r="F5404">
        <v>3046</v>
      </c>
      <c r="G5404">
        <v>3945</v>
      </c>
      <c r="H5404">
        <v>25803</v>
      </c>
      <c r="I5404" s="1">
        <v>45413</v>
      </c>
      <c r="J5404">
        <v>6991</v>
      </c>
      <c r="K5404" t="s">
        <v>23</v>
      </c>
    </row>
    <row r="5405" spans="1:11">
      <c r="A5405" s="1">
        <v>45442</v>
      </c>
      <c r="B5405" t="s">
        <v>40</v>
      </c>
      <c r="C5405" t="s">
        <v>62</v>
      </c>
      <c r="D5405">
        <v>2218</v>
      </c>
      <c r="E5405">
        <v>1476</v>
      </c>
      <c r="F5405">
        <v>1193</v>
      </c>
      <c r="G5405">
        <v>4299</v>
      </c>
      <c r="H5405">
        <v>9185</v>
      </c>
      <c r="I5405" s="1">
        <v>45413</v>
      </c>
      <c r="J5405">
        <v>5492</v>
      </c>
      <c r="K5405" t="s">
        <v>23</v>
      </c>
    </row>
    <row r="5406" spans="1:11">
      <c r="A5406" s="1">
        <v>45442</v>
      </c>
      <c r="B5406" t="s">
        <v>40</v>
      </c>
      <c r="C5406" t="s">
        <v>69</v>
      </c>
      <c r="D5406">
        <v>17377</v>
      </c>
      <c r="E5406">
        <v>4997</v>
      </c>
      <c r="F5406">
        <v>1507</v>
      </c>
      <c r="G5406">
        <v>1080</v>
      </c>
      <c r="H5406">
        <v>24960</v>
      </c>
      <c r="I5406" s="1">
        <v>45413</v>
      </c>
      <c r="J5406">
        <v>2587</v>
      </c>
      <c r="K5406" t="s">
        <v>23</v>
      </c>
    </row>
    <row r="5407" spans="1:11">
      <c r="A5407" s="1">
        <v>45442</v>
      </c>
      <c r="B5407" t="s">
        <v>40</v>
      </c>
      <c r="C5407" t="s">
        <v>29</v>
      </c>
      <c r="D5407">
        <v>3753</v>
      </c>
      <c r="E5407">
        <v>1330</v>
      </c>
      <c r="F5407">
        <v>678</v>
      </c>
      <c r="G5407">
        <v>231</v>
      </c>
      <c r="H5407">
        <v>5992</v>
      </c>
      <c r="I5407" s="1">
        <v>45413</v>
      </c>
      <c r="J5407">
        <v>909</v>
      </c>
      <c r="K5407" t="s">
        <v>23</v>
      </c>
    </row>
    <row r="5408" spans="1:11">
      <c r="A5408" s="1">
        <v>45442</v>
      </c>
      <c r="B5408" t="s">
        <v>40</v>
      </c>
      <c r="C5408" t="s">
        <v>70</v>
      </c>
      <c r="D5408">
        <v>2731</v>
      </c>
      <c r="E5408">
        <v>956</v>
      </c>
      <c r="F5408">
        <v>369</v>
      </c>
      <c r="G5408">
        <v>314</v>
      </c>
      <c r="H5408">
        <v>4370</v>
      </c>
      <c r="I5408" s="1">
        <v>45413</v>
      </c>
      <c r="J5408">
        <v>683</v>
      </c>
      <c r="K5408" t="s">
        <v>23</v>
      </c>
    </row>
    <row r="5409" spans="1:11">
      <c r="A5409" s="1">
        <v>45442</v>
      </c>
      <c r="B5409" t="s">
        <v>40</v>
      </c>
      <c r="C5409" t="s">
        <v>71</v>
      </c>
      <c r="D5409">
        <v>19467</v>
      </c>
      <c r="E5409">
        <v>7324</v>
      </c>
      <c r="F5409">
        <v>2815</v>
      </c>
      <c r="G5409">
        <v>992</v>
      </c>
      <c r="H5409">
        <v>30597</v>
      </c>
      <c r="I5409" s="1">
        <v>45413</v>
      </c>
      <c r="J5409">
        <v>3807</v>
      </c>
      <c r="K5409" t="s">
        <v>23</v>
      </c>
    </row>
    <row r="5410" spans="1:11">
      <c r="A5410" s="1">
        <v>45442</v>
      </c>
      <c r="B5410" t="s">
        <v>40</v>
      </c>
      <c r="C5410" t="s">
        <v>36</v>
      </c>
      <c r="D5410">
        <v>14751</v>
      </c>
      <c r="E5410">
        <v>8521</v>
      </c>
      <c r="F5410">
        <v>4302</v>
      </c>
      <c r="G5410">
        <v>3407</v>
      </c>
      <c r="H5410">
        <v>30981</v>
      </c>
      <c r="I5410" s="1">
        <v>45413</v>
      </c>
      <c r="J5410">
        <v>7709</v>
      </c>
      <c r="K5410" t="s">
        <v>23</v>
      </c>
    </row>
    <row r="5411" spans="1:11">
      <c r="A5411" s="1">
        <v>45442</v>
      </c>
      <c r="B5411" t="s">
        <v>40</v>
      </c>
      <c r="C5411" t="s">
        <v>32</v>
      </c>
      <c r="D5411">
        <v>2228</v>
      </c>
      <c r="E5411">
        <v>875</v>
      </c>
      <c r="F5411">
        <v>264</v>
      </c>
      <c r="G5411">
        <v>16</v>
      </c>
      <c r="H5411">
        <v>3383</v>
      </c>
      <c r="I5411" s="1">
        <v>45413</v>
      </c>
      <c r="J5411">
        <v>280</v>
      </c>
      <c r="K5411" t="s">
        <v>23</v>
      </c>
    </row>
    <row r="5412" spans="1:11">
      <c r="A5412" s="1">
        <v>45442</v>
      </c>
      <c r="B5412" t="s">
        <v>40</v>
      </c>
      <c r="C5412" t="s">
        <v>44</v>
      </c>
      <c r="D5412">
        <v>5917</v>
      </c>
      <c r="E5412">
        <v>2426</v>
      </c>
      <c r="F5412">
        <v>770</v>
      </c>
      <c r="G5412">
        <v>204</v>
      </c>
      <c r="H5412">
        <v>9317</v>
      </c>
      <c r="I5412" s="1">
        <v>45413</v>
      </c>
      <c r="J5412">
        <v>974</v>
      </c>
      <c r="K5412" t="s">
        <v>23</v>
      </c>
    </row>
    <row r="5413" spans="1:11">
      <c r="A5413" s="1">
        <v>45442</v>
      </c>
      <c r="B5413" t="s">
        <v>40</v>
      </c>
      <c r="C5413" t="s">
        <v>59</v>
      </c>
      <c r="D5413">
        <v>14720</v>
      </c>
      <c r="E5413">
        <v>3932</v>
      </c>
      <c r="F5413">
        <v>1317</v>
      </c>
      <c r="G5413">
        <v>924</v>
      </c>
      <c r="H5413">
        <v>20891</v>
      </c>
      <c r="I5413" s="1">
        <v>45413</v>
      </c>
      <c r="J5413">
        <v>2241</v>
      </c>
      <c r="K5413" t="s">
        <v>23</v>
      </c>
    </row>
    <row r="5414" spans="1:11">
      <c r="A5414" s="1">
        <v>45442</v>
      </c>
      <c r="B5414" t="s">
        <v>40</v>
      </c>
      <c r="C5414" t="s">
        <v>67</v>
      </c>
      <c r="D5414">
        <v>18480</v>
      </c>
      <c r="E5414">
        <v>9688</v>
      </c>
      <c r="F5414">
        <v>4507</v>
      </c>
      <c r="G5414">
        <v>5070</v>
      </c>
      <c r="H5414">
        <v>37745</v>
      </c>
      <c r="I5414" s="1">
        <v>45413</v>
      </c>
      <c r="J5414">
        <v>9577</v>
      </c>
      <c r="K5414" t="s">
        <v>23</v>
      </c>
    </row>
    <row r="5415" spans="1:11">
      <c r="A5415" s="1">
        <v>45442</v>
      </c>
      <c r="B5415" t="s">
        <v>40</v>
      </c>
      <c r="C5415" t="s">
        <v>49</v>
      </c>
      <c r="D5415">
        <v>2986</v>
      </c>
      <c r="E5415">
        <v>725</v>
      </c>
      <c r="F5415">
        <v>112</v>
      </c>
      <c r="G5415">
        <v>47</v>
      </c>
      <c r="H5415">
        <v>3870</v>
      </c>
      <c r="I5415" s="1">
        <v>45413</v>
      </c>
      <c r="J5415">
        <v>159</v>
      </c>
      <c r="K5415" t="s">
        <v>23</v>
      </c>
    </row>
    <row r="5416" spans="1:11">
      <c r="A5416" s="1">
        <v>45470</v>
      </c>
      <c r="B5416" t="s">
        <v>40</v>
      </c>
      <c r="C5416" t="s">
        <v>48</v>
      </c>
      <c r="D5416">
        <v>26624</v>
      </c>
      <c r="E5416">
        <v>11588</v>
      </c>
      <c r="F5416">
        <v>2492</v>
      </c>
      <c r="G5416">
        <v>250</v>
      </c>
      <c r="H5416">
        <v>40954</v>
      </c>
      <c r="I5416" s="1">
        <v>45444</v>
      </c>
      <c r="J5416">
        <v>2742</v>
      </c>
      <c r="K5416" t="s">
        <v>23</v>
      </c>
    </row>
    <row r="5417" spans="1:11">
      <c r="A5417" s="1">
        <v>45470</v>
      </c>
      <c r="B5417" t="s">
        <v>40</v>
      </c>
      <c r="C5417" t="s">
        <v>41</v>
      </c>
      <c r="D5417">
        <v>4798</v>
      </c>
      <c r="E5417">
        <v>2565</v>
      </c>
      <c r="F5417">
        <v>325</v>
      </c>
      <c r="G5417">
        <v>55</v>
      </c>
      <c r="H5417">
        <v>7743</v>
      </c>
      <c r="I5417" s="1">
        <v>45444</v>
      </c>
      <c r="J5417">
        <v>380</v>
      </c>
      <c r="K5417" t="s">
        <v>23</v>
      </c>
    </row>
    <row r="5418" spans="1:11">
      <c r="A5418" s="1">
        <v>45470</v>
      </c>
      <c r="B5418" t="s">
        <v>40</v>
      </c>
      <c r="C5418" t="s">
        <v>33</v>
      </c>
      <c r="D5418">
        <v>1564</v>
      </c>
      <c r="E5418">
        <v>724</v>
      </c>
      <c r="F5418">
        <v>122</v>
      </c>
      <c r="G5418">
        <v>17</v>
      </c>
      <c r="H5418">
        <v>2427</v>
      </c>
      <c r="I5418" s="1">
        <v>45444</v>
      </c>
      <c r="J5418">
        <v>139</v>
      </c>
      <c r="K5418" t="s">
        <v>23</v>
      </c>
    </row>
    <row r="5419" spans="1:11">
      <c r="A5419" s="1">
        <v>45470</v>
      </c>
      <c r="B5419" t="s">
        <v>40</v>
      </c>
      <c r="C5419" t="s">
        <v>65</v>
      </c>
      <c r="D5419">
        <v>16015</v>
      </c>
      <c r="E5419">
        <v>6640</v>
      </c>
      <c r="F5419">
        <v>3583</v>
      </c>
      <c r="G5419">
        <v>4939</v>
      </c>
      <c r="H5419">
        <v>31177</v>
      </c>
      <c r="I5419" s="1">
        <v>45444</v>
      </c>
      <c r="J5419">
        <v>8522</v>
      </c>
      <c r="K5419" t="s">
        <v>23</v>
      </c>
    </row>
    <row r="5420" spans="1:11">
      <c r="A5420" s="1">
        <v>45470</v>
      </c>
      <c r="B5420" t="s">
        <v>40</v>
      </c>
      <c r="C5420" t="s">
        <v>27</v>
      </c>
      <c r="D5420">
        <v>3292</v>
      </c>
      <c r="E5420">
        <v>1277</v>
      </c>
      <c r="F5420">
        <v>527</v>
      </c>
      <c r="G5420">
        <v>137</v>
      </c>
      <c r="H5420">
        <v>5232</v>
      </c>
      <c r="I5420" s="1">
        <v>45444</v>
      </c>
      <c r="J5420">
        <v>664</v>
      </c>
      <c r="K5420" t="s">
        <v>23</v>
      </c>
    </row>
    <row r="5421" spans="1:11">
      <c r="A5421" s="1">
        <v>45470</v>
      </c>
      <c r="B5421" t="s">
        <v>40</v>
      </c>
      <c r="C5421" t="s">
        <v>37</v>
      </c>
      <c r="D5421">
        <v>483</v>
      </c>
      <c r="E5421">
        <v>319</v>
      </c>
      <c r="F5421">
        <v>270</v>
      </c>
      <c r="G5421">
        <v>78</v>
      </c>
      <c r="H5421">
        <v>1149</v>
      </c>
      <c r="I5421" s="1">
        <v>45444</v>
      </c>
      <c r="J5421">
        <v>348</v>
      </c>
      <c r="K5421" t="s">
        <v>23</v>
      </c>
    </row>
    <row r="5422" spans="1:11">
      <c r="A5422" s="1">
        <v>45470</v>
      </c>
      <c r="B5422" t="s">
        <v>40</v>
      </c>
      <c r="C5422" t="s">
        <v>66</v>
      </c>
      <c r="D5422">
        <v>22661</v>
      </c>
      <c r="E5422">
        <v>8525</v>
      </c>
      <c r="F5422">
        <v>4157</v>
      </c>
      <c r="G5422">
        <v>6209</v>
      </c>
      <c r="H5422">
        <v>41551</v>
      </c>
      <c r="I5422" s="1">
        <v>45444</v>
      </c>
      <c r="J5422">
        <v>10366</v>
      </c>
      <c r="K5422" t="s">
        <v>23</v>
      </c>
    </row>
    <row r="5423" spans="1:11">
      <c r="A5423" s="1">
        <v>45470</v>
      </c>
      <c r="B5423" t="s">
        <v>40</v>
      </c>
      <c r="C5423" t="s">
        <v>57</v>
      </c>
      <c r="D5423">
        <v>9129</v>
      </c>
      <c r="E5423">
        <v>2485</v>
      </c>
      <c r="F5423">
        <v>1055</v>
      </c>
      <c r="G5423">
        <v>1802</v>
      </c>
      <c r="H5423">
        <v>14471</v>
      </c>
      <c r="I5423" s="1">
        <v>45444</v>
      </c>
      <c r="J5423">
        <v>2857</v>
      </c>
      <c r="K5423" t="s">
        <v>23</v>
      </c>
    </row>
    <row r="5424" spans="1:11">
      <c r="A5424" s="1">
        <v>45470</v>
      </c>
      <c r="B5424" t="s">
        <v>40</v>
      </c>
      <c r="C5424" t="s">
        <v>28</v>
      </c>
      <c r="D5424">
        <v>2376</v>
      </c>
      <c r="E5424">
        <v>913</v>
      </c>
      <c r="F5424">
        <v>321</v>
      </c>
      <c r="G5424">
        <v>124</v>
      </c>
      <c r="H5424">
        <v>3734</v>
      </c>
      <c r="I5424" s="1">
        <v>45444</v>
      </c>
      <c r="J5424">
        <v>445</v>
      </c>
      <c r="K5424" t="s">
        <v>23</v>
      </c>
    </row>
    <row r="5425" spans="1:11">
      <c r="A5425" s="1">
        <v>45470</v>
      </c>
      <c r="B5425" t="s">
        <v>40</v>
      </c>
      <c r="C5425" t="s">
        <v>68</v>
      </c>
      <c r="D5425">
        <v>23309</v>
      </c>
      <c r="E5425">
        <v>6705</v>
      </c>
      <c r="F5425">
        <v>3258</v>
      </c>
      <c r="G5425">
        <v>4770</v>
      </c>
      <c r="H5425">
        <v>38042</v>
      </c>
      <c r="I5425" s="1">
        <v>45444</v>
      </c>
      <c r="J5425">
        <v>8028</v>
      </c>
      <c r="K5425" t="s">
        <v>23</v>
      </c>
    </row>
    <row r="5426" spans="1:11">
      <c r="A5426" s="1">
        <v>45470</v>
      </c>
      <c r="B5426" t="s">
        <v>40</v>
      </c>
      <c r="C5426" t="s">
        <v>47</v>
      </c>
      <c r="D5426">
        <v>3991</v>
      </c>
      <c r="E5426">
        <v>1031</v>
      </c>
      <c r="F5426">
        <v>253</v>
      </c>
      <c r="G5426">
        <v>184</v>
      </c>
      <c r="H5426">
        <v>5460</v>
      </c>
      <c r="I5426" s="1">
        <v>45444</v>
      </c>
      <c r="J5426">
        <v>437</v>
      </c>
      <c r="K5426" t="s">
        <v>23</v>
      </c>
    </row>
    <row r="5427" spans="1:11">
      <c r="A5427" s="1">
        <v>45470</v>
      </c>
      <c r="B5427" t="s">
        <v>40</v>
      </c>
      <c r="C5427" t="s">
        <v>25</v>
      </c>
      <c r="D5427">
        <v>3186</v>
      </c>
      <c r="E5427">
        <v>1299</v>
      </c>
      <c r="F5427">
        <v>583</v>
      </c>
      <c r="G5427">
        <v>775</v>
      </c>
      <c r="H5427">
        <v>5842</v>
      </c>
      <c r="I5427" s="1">
        <v>45444</v>
      </c>
      <c r="J5427">
        <v>1358</v>
      </c>
      <c r="K5427" t="s">
        <v>23</v>
      </c>
    </row>
    <row r="5428" spans="1:11">
      <c r="A5428" s="1">
        <v>45470</v>
      </c>
      <c r="B5428" t="s">
        <v>40</v>
      </c>
      <c r="C5428" t="s">
        <v>51</v>
      </c>
      <c r="D5428">
        <v>4843</v>
      </c>
      <c r="E5428">
        <v>1866</v>
      </c>
      <c r="F5428">
        <v>1061</v>
      </c>
      <c r="G5428">
        <v>1091</v>
      </c>
      <c r="H5428">
        <v>8860</v>
      </c>
      <c r="I5428" s="1">
        <v>45444</v>
      </c>
      <c r="J5428">
        <v>2152</v>
      </c>
      <c r="K5428" t="s">
        <v>23</v>
      </c>
    </row>
    <row r="5429" spans="1:11">
      <c r="A5429" s="1">
        <v>45470</v>
      </c>
      <c r="B5429" t="s">
        <v>40</v>
      </c>
      <c r="C5429" t="s">
        <v>45</v>
      </c>
      <c r="D5429">
        <v>2284</v>
      </c>
      <c r="E5429">
        <v>950</v>
      </c>
      <c r="F5429">
        <v>433</v>
      </c>
      <c r="G5429">
        <v>377</v>
      </c>
      <c r="H5429">
        <v>4043</v>
      </c>
      <c r="I5429" s="1">
        <v>45444</v>
      </c>
      <c r="J5429">
        <v>810</v>
      </c>
      <c r="K5429" t="s">
        <v>23</v>
      </c>
    </row>
    <row r="5430" spans="1:11">
      <c r="A5430" s="1">
        <v>45470</v>
      </c>
      <c r="B5430" t="s">
        <v>40</v>
      </c>
      <c r="C5430" t="s">
        <v>39</v>
      </c>
      <c r="D5430">
        <v>6494</v>
      </c>
      <c r="E5430">
        <v>2712</v>
      </c>
      <c r="F5430">
        <v>1060</v>
      </c>
      <c r="G5430">
        <v>130</v>
      </c>
      <c r="H5430">
        <v>10395</v>
      </c>
      <c r="I5430" s="1">
        <v>45444</v>
      </c>
      <c r="J5430">
        <v>1190</v>
      </c>
      <c r="K5430" t="s">
        <v>23</v>
      </c>
    </row>
    <row r="5431" spans="1:11">
      <c r="A5431" s="1">
        <v>45470</v>
      </c>
      <c r="B5431" t="s">
        <v>40</v>
      </c>
      <c r="C5431" t="s">
        <v>38</v>
      </c>
      <c r="D5431">
        <v>2705</v>
      </c>
      <c r="E5431">
        <v>475</v>
      </c>
      <c r="F5431">
        <v>119</v>
      </c>
      <c r="G5431">
        <v>1</v>
      </c>
      <c r="H5431">
        <v>3300</v>
      </c>
      <c r="I5431" s="1">
        <v>45444</v>
      </c>
      <c r="J5431">
        <v>120</v>
      </c>
      <c r="K5431" t="s">
        <v>23</v>
      </c>
    </row>
    <row r="5432" spans="1:11">
      <c r="A5432" s="1">
        <v>45470</v>
      </c>
      <c r="B5432" t="s">
        <v>40</v>
      </c>
      <c r="C5432" t="s">
        <v>54</v>
      </c>
      <c r="D5432">
        <v>2571</v>
      </c>
      <c r="E5432">
        <v>1684</v>
      </c>
      <c r="F5432">
        <v>557</v>
      </c>
      <c r="G5432">
        <v>241</v>
      </c>
      <c r="H5432">
        <v>5053</v>
      </c>
      <c r="I5432" s="1">
        <v>45444</v>
      </c>
      <c r="J5432">
        <v>798</v>
      </c>
      <c r="K5432" t="s">
        <v>23</v>
      </c>
    </row>
    <row r="5433" spans="1:11">
      <c r="A5433" s="1">
        <v>45470</v>
      </c>
      <c r="B5433" t="s">
        <v>40</v>
      </c>
      <c r="C5433" t="s">
        <v>35</v>
      </c>
      <c r="D5433">
        <v>399</v>
      </c>
      <c r="E5433">
        <v>258</v>
      </c>
      <c r="F5433">
        <v>213</v>
      </c>
      <c r="G5433">
        <v>101</v>
      </c>
      <c r="H5433">
        <v>971</v>
      </c>
      <c r="I5433" s="1">
        <v>45444</v>
      </c>
      <c r="J5433">
        <v>314</v>
      </c>
      <c r="K5433" t="s">
        <v>23</v>
      </c>
    </row>
    <row r="5434" spans="1:11">
      <c r="A5434" s="1">
        <v>45470</v>
      </c>
      <c r="B5434" t="s">
        <v>40</v>
      </c>
      <c r="C5434" t="s">
        <v>52</v>
      </c>
      <c r="D5434">
        <v>9321</v>
      </c>
      <c r="E5434">
        <v>3417</v>
      </c>
      <c r="F5434">
        <v>537</v>
      </c>
      <c r="G5434">
        <v>51</v>
      </c>
      <c r="H5434">
        <v>13325</v>
      </c>
      <c r="I5434" s="1">
        <v>45444</v>
      </c>
      <c r="J5434">
        <v>588</v>
      </c>
      <c r="K5434" t="s">
        <v>23</v>
      </c>
    </row>
    <row r="5435" spans="1:11">
      <c r="A5435" s="1">
        <v>45470</v>
      </c>
      <c r="B5435" t="s">
        <v>40</v>
      </c>
      <c r="C5435" t="s">
        <v>22</v>
      </c>
      <c r="D5435">
        <v>3837</v>
      </c>
      <c r="E5435">
        <v>1720</v>
      </c>
      <c r="F5435">
        <v>656</v>
      </c>
      <c r="G5435">
        <v>103</v>
      </c>
      <c r="H5435">
        <v>6317</v>
      </c>
      <c r="I5435" s="1">
        <v>45444</v>
      </c>
      <c r="J5435">
        <v>759</v>
      </c>
      <c r="K5435" t="s">
        <v>23</v>
      </c>
    </row>
    <row r="5436" spans="1:11">
      <c r="A5436" s="1">
        <v>45470</v>
      </c>
      <c r="B5436" t="s">
        <v>40</v>
      </c>
      <c r="C5436" t="s">
        <v>46</v>
      </c>
      <c r="D5436">
        <v>2067</v>
      </c>
      <c r="E5436">
        <v>398</v>
      </c>
      <c r="F5436">
        <v>133</v>
      </c>
      <c r="G5436">
        <v>75</v>
      </c>
      <c r="H5436">
        <v>2672</v>
      </c>
      <c r="I5436" s="1">
        <v>45444</v>
      </c>
      <c r="J5436">
        <v>208</v>
      </c>
      <c r="K5436" t="s">
        <v>23</v>
      </c>
    </row>
    <row r="5437" spans="1:11">
      <c r="A5437" s="1">
        <v>45470</v>
      </c>
      <c r="B5437" t="s">
        <v>40</v>
      </c>
      <c r="C5437" t="s">
        <v>31</v>
      </c>
      <c r="D5437">
        <v>2934</v>
      </c>
      <c r="E5437">
        <v>620</v>
      </c>
      <c r="F5437">
        <v>164</v>
      </c>
      <c r="G5437">
        <v>101</v>
      </c>
      <c r="H5437">
        <v>3820</v>
      </c>
      <c r="I5437" s="1">
        <v>45444</v>
      </c>
      <c r="J5437">
        <v>265</v>
      </c>
      <c r="K5437" t="s">
        <v>23</v>
      </c>
    </row>
    <row r="5438" spans="1:11">
      <c r="A5438" s="1">
        <v>45470</v>
      </c>
      <c r="B5438" t="s">
        <v>40</v>
      </c>
      <c r="C5438" t="s">
        <v>63</v>
      </c>
      <c r="D5438">
        <v>5422</v>
      </c>
      <c r="E5438">
        <v>2645</v>
      </c>
      <c r="F5438">
        <v>1598</v>
      </c>
      <c r="G5438">
        <v>1399</v>
      </c>
      <c r="H5438">
        <v>11064</v>
      </c>
      <c r="I5438" s="1">
        <v>45444</v>
      </c>
      <c r="J5438">
        <v>2997</v>
      </c>
      <c r="K5438" t="s">
        <v>23</v>
      </c>
    </row>
    <row r="5439" spans="1:11">
      <c r="A5439" s="1">
        <v>45470</v>
      </c>
      <c r="B5439" t="s">
        <v>40</v>
      </c>
      <c r="C5439" t="s">
        <v>60</v>
      </c>
      <c r="D5439">
        <v>7482</v>
      </c>
      <c r="E5439">
        <v>2187</v>
      </c>
      <c r="F5439">
        <v>861</v>
      </c>
      <c r="G5439">
        <v>1268</v>
      </c>
      <c r="H5439">
        <v>11798</v>
      </c>
      <c r="I5439" s="1">
        <v>45444</v>
      </c>
      <c r="J5439">
        <v>2129</v>
      </c>
      <c r="K5439" t="s">
        <v>23</v>
      </c>
    </row>
    <row r="5440" spans="1:11">
      <c r="A5440" s="1">
        <v>45470</v>
      </c>
      <c r="B5440" t="s">
        <v>40</v>
      </c>
      <c r="C5440" t="s">
        <v>61</v>
      </c>
      <c r="D5440">
        <v>12388</v>
      </c>
      <c r="E5440">
        <v>6559</v>
      </c>
      <c r="F5440">
        <v>3115</v>
      </c>
      <c r="G5440">
        <v>3712</v>
      </c>
      <c r="H5440">
        <v>25774</v>
      </c>
      <c r="I5440" s="1">
        <v>45444</v>
      </c>
      <c r="J5440">
        <v>6827</v>
      </c>
      <c r="K5440" t="s">
        <v>23</v>
      </c>
    </row>
    <row r="5441" spans="1:11">
      <c r="A5441" s="1">
        <v>45470</v>
      </c>
      <c r="B5441" t="s">
        <v>40</v>
      </c>
      <c r="C5441" t="s">
        <v>62</v>
      </c>
      <c r="D5441">
        <v>2339</v>
      </c>
      <c r="E5441">
        <v>1423</v>
      </c>
      <c r="F5441">
        <v>1174</v>
      </c>
      <c r="G5441">
        <v>4243</v>
      </c>
      <c r="H5441">
        <v>9179</v>
      </c>
      <c r="I5441" s="1">
        <v>45444</v>
      </c>
      <c r="J5441">
        <v>5417</v>
      </c>
      <c r="K5441" t="s">
        <v>23</v>
      </c>
    </row>
    <row r="5442" spans="1:11">
      <c r="A5442" s="1">
        <v>45470</v>
      </c>
      <c r="B5442" t="s">
        <v>40</v>
      </c>
      <c r="C5442" t="s">
        <v>69</v>
      </c>
      <c r="D5442">
        <v>17680</v>
      </c>
      <c r="E5442">
        <v>4990</v>
      </c>
      <c r="F5442">
        <v>1527</v>
      </c>
      <c r="G5442">
        <v>1009</v>
      </c>
      <c r="H5442">
        <v>25206</v>
      </c>
      <c r="I5442" s="1">
        <v>45444</v>
      </c>
      <c r="J5442">
        <v>2536</v>
      </c>
      <c r="K5442" t="s">
        <v>23</v>
      </c>
    </row>
    <row r="5443" spans="1:11">
      <c r="A5443" s="1">
        <v>45470</v>
      </c>
      <c r="B5443" t="s">
        <v>40</v>
      </c>
      <c r="C5443" t="s">
        <v>29</v>
      </c>
      <c r="D5443">
        <v>3802</v>
      </c>
      <c r="E5443">
        <v>1316</v>
      </c>
      <c r="F5443">
        <v>741</v>
      </c>
      <c r="G5443">
        <v>268</v>
      </c>
      <c r="H5443">
        <v>6128</v>
      </c>
      <c r="I5443" s="1">
        <v>45444</v>
      </c>
      <c r="J5443">
        <v>1009</v>
      </c>
      <c r="K5443" t="s">
        <v>23</v>
      </c>
    </row>
    <row r="5444" spans="1:11">
      <c r="A5444" s="1">
        <v>45470</v>
      </c>
      <c r="B5444" t="s">
        <v>40</v>
      </c>
      <c r="C5444" t="s">
        <v>70</v>
      </c>
      <c r="D5444">
        <v>2723</v>
      </c>
      <c r="E5444">
        <v>927</v>
      </c>
      <c r="F5444">
        <v>358</v>
      </c>
      <c r="G5444">
        <v>325</v>
      </c>
      <c r="H5444">
        <v>4332</v>
      </c>
      <c r="I5444" s="1">
        <v>45444</v>
      </c>
      <c r="J5444">
        <v>683</v>
      </c>
      <c r="K5444" t="s">
        <v>23</v>
      </c>
    </row>
    <row r="5445" spans="1:11">
      <c r="A5445" s="1">
        <v>45470</v>
      </c>
      <c r="B5445" t="s">
        <v>40</v>
      </c>
      <c r="C5445" t="s">
        <v>71</v>
      </c>
      <c r="D5445">
        <v>19465</v>
      </c>
      <c r="E5445">
        <v>7489</v>
      </c>
      <c r="F5445">
        <v>2984</v>
      </c>
      <c r="G5445">
        <v>1305</v>
      </c>
      <c r="H5445">
        <v>31242</v>
      </c>
      <c r="I5445" s="1">
        <v>45444</v>
      </c>
      <c r="J5445">
        <v>4289</v>
      </c>
      <c r="K5445" t="s">
        <v>23</v>
      </c>
    </row>
    <row r="5446" spans="1:11">
      <c r="A5446" s="1">
        <v>45470</v>
      </c>
      <c r="B5446" t="s">
        <v>40</v>
      </c>
      <c r="C5446" t="s">
        <v>36</v>
      </c>
      <c r="D5446">
        <v>14988</v>
      </c>
      <c r="E5446">
        <v>8095</v>
      </c>
      <c r="F5446">
        <v>4284</v>
      </c>
      <c r="G5446">
        <v>3263</v>
      </c>
      <c r="H5446">
        <v>30629</v>
      </c>
      <c r="I5446" s="1">
        <v>45444</v>
      </c>
      <c r="J5446">
        <v>7547</v>
      </c>
      <c r="K5446" t="s">
        <v>23</v>
      </c>
    </row>
    <row r="5447" spans="1:11">
      <c r="A5447" s="1">
        <v>45470</v>
      </c>
      <c r="B5447" t="s">
        <v>40</v>
      </c>
      <c r="C5447" t="s">
        <v>32</v>
      </c>
      <c r="D5447">
        <v>2230</v>
      </c>
      <c r="E5447">
        <v>773</v>
      </c>
      <c r="F5447">
        <v>297</v>
      </c>
      <c r="G5447">
        <v>9</v>
      </c>
      <c r="H5447">
        <v>3309</v>
      </c>
      <c r="I5447" s="1">
        <v>45444</v>
      </c>
      <c r="J5447">
        <v>306</v>
      </c>
      <c r="K5447" t="s">
        <v>23</v>
      </c>
    </row>
    <row r="5448" spans="1:11">
      <c r="A5448" s="1">
        <v>45470</v>
      </c>
      <c r="B5448" t="s">
        <v>40</v>
      </c>
      <c r="C5448" t="s">
        <v>44</v>
      </c>
      <c r="D5448">
        <v>5867</v>
      </c>
      <c r="E5448">
        <v>2498</v>
      </c>
      <c r="F5448">
        <v>842</v>
      </c>
      <c r="G5448">
        <v>233</v>
      </c>
      <c r="H5448">
        <v>9440</v>
      </c>
      <c r="I5448" s="1">
        <v>45444</v>
      </c>
      <c r="J5448">
        <v>1075</v>
      </c>
      <c r="K5448" t="s">
        <v>23</v>
      </c>
    </row>
    <row r="5449" spans="1:11">
      <c r="A5449" s="1">
        <v>45470</v>
      </c>
      <c r="B5449" t="s">
        <v>40</v>
      </c>
      <c r="C5449" t="s">
        <v>59</v>
      </c>
      <c r="D5449">
        <v>15079</v>
      </c>
      <c r="E5449">
        <v>3799</v>
      </c>
      <c r="F5449">
        <v>1499</v>
      </c>
      <c r="G5449">
        <v>978</v>
      </c>
      <c r="H5449">
        <v>21355</v>
      </c>
      <c r="I5449" s="1">
        <v>45444</v>
      </c>
      <c r="J5449">
        <v>2477</v>
      </c>
      <c r="K5449" t="s">
        <v>23</v>
      </c>
    </row>
    <row r="5450" spans="1:11">
      <c r="A5450" s="1">
        <v>45470</v>
      </c>
      <c r="B5450" t="s">
        <v>40</v>
      </c>
      <c r="C5450" t="s">
        <v>67</v>
      </c>
      <c r="D5450">
        <v>18666</v>
      </c>
      <c r="E5450">
        <v>9711</v>
      </c>
      <c r="F5450">
        <v>4812</v>
      </c>
      <c r="G5450">
        <v>5210</v>
      </c>
      <c r="H5450">
        <v>38399</v>
      </c>
      <c r="I5450" s="1">
        <v>45444</v>
      </c>
      <c r="J5450">
        <v>10022</v>
      </c>
      <c r="K5450" t="s">
        <v>23</v>
      </c>
    </row>
    <row r="5451" spans="1:11">
      <c r="A5451" s="1">
        <v>45470</v>
      </c>
      <c r="B5451" t="s">
        <v>40</v>
      </c>
      <c r="C5451" t="s">
        <v>49</v>
      </c>
      <c r="D5451">
        <v>3042</v>
      </c>
      <c r="E5451">
        <v>632</v>
      </c>
      <c r="F5451">
        <v>115</v>
      </c>
      <c r="G5451">
        <v>62</v>
      </c>
      <c r="H5451">
        <v>3852</v>
      </c>
      <c r="I5451" s="1">
        <v>45444</v>
      </c>
      <c r="J5451">
        <v>177</v>
      </c>
      <c r="K5451" t="s">
        <v>23</v>
      </c>
    </row>
    <row r="5452" spans="1:11">
      <c r="A5452" s="1">
        <v>45498</v>
      </c>
      <c r="B5452" t="s">
        <v>40</v>
      </c>
      <c r="C5452" t="s">
        <v>48</v>
      </c>
      <c r="D5452">
        <v>27100</v>
      </c>
      <c r="E5452">
        <v>12010</v>
      </c>
      <c r="F5452">
        <v>2532</v>
      </c>
      <c r="G5452">
        <v>263</v>
      </c>
      <c r="H5452">
        <v>41904</v>
      </c>
      <c r="I5452" s="1">
        <v>45474</v>
      </c>
      <c r="J5452">
        <v>2795</v>
      </c>
      <c r="K5452" t="s">
        <v>23</v>
      </c>
    </row>
    <row r="5453" spans="1:11">
      <c r="A5453" s="1">
        <v>45498</v>
      </c>
      <c r="B5453" t="s">
        <v>40</v>
      </c>
      <c r="C5453" t="s">
        <v>41</v>
      </c>
      <c r="D5453">
        <v>4741</v>
      </c>
      <c r="E5453">
        <v>2188</v>
      </c>
      <c r="F5453">
        <v>413</v>
      </c>
      <c r="G5453">
        <v>29</v>
      </c>
      <c r="H5453">
        <v>7372</v>
      </c>
      <c r="I5453" s="1">
        <v>45474</v>
      </c>
      <c r="J5453">
        <v>442</v>
      </c>
      <c r="K5453" t="s">
        <v>23</v>
      </c>
    </row>
    <row r="5454" spans="1:11">
      <c r="A5454" s="1">
        <v>45498</v>
      </c>
      <c r="B5454" t="s">
        <v>40</v>
      </c>
      <c r="C5454" t="s">
        <v>33</v>
      </c>
      <c r="D5454">
        <v>1617</v>
      </c>
      <c r="E5454">
        <v>710</v>
      </c>
      <c r="F5454">
        <v>117</v>
      </c>
      <c r="G5454">
        <v>16</v>
      </c>
      <c r="H5454">
        <v>2460</v>
      </c>
      <c r="I5454" s="1">
        <v>45474</v>
      </c>
      <c r="J5454">
        <v>133</v>
      </c>
      <c r="K5454" t="s">
        <v>23</v>
      </c>
    </row>
    <row r="5455" spans="1:11">
      <c r="A5455" s="1">
        <v>45498</v>
      </c>
      <c r="B5455" t="s">
        <v>40</v>
      </c>
      <c r="C5455" t="s">
        <v>65</v>
      </c>
      <c r="D5455">
        <v>15943</v>
      </c>
      <c r="E5455">
        <v>6491</v>
      </c>
      <c r="F5455">
        <v>3716</v>
      </c>
      <c r="G5455">
        <v>4731</v>
      </c>
      <c r="H5455">
        <v>30881</v>
      </c>
      <c r="I5455" s="1">
        <v>45474</v>
      </c>
      <c r="J5455">
        <v>8447</v>
      </c>
      <c r="K5455" t="s">
        <v>23</v>
      </c>
    </row>
    <row r="5456" spans="1:11">
      <c r="A5456" s="1">
        <v>45498</v>
      </c>
      <c r="B5456" t="s">
        <v>40</v>
      </c>
      <c r="C5456" t="s">
        <v>30</v>
      </c>
      <c r="D5456">
        <v>2291</v>
      </c>
      <c r="E5456">
        <v>27</v>
      </c>
      <c r="F5456">
        <v>5</v>
      </c>
      <c r="G5456">
        <v>3</v>
      </c>
      <c r="H5456">
        <v>2325</v>
      </c>
      <c r="I5456" s="1">
        <v>45474</v>
      </c>
      <c r="J5456">
        <v>8</v>
      </c>
      <c r="K5456" t="s">
        <v>23</v>
      </c>
    </row>
    <row r="5457" spans="1:11">
      <c r="A5457" s="1">
        <v>45498</v>
      </c>
      <c r="B5457" t="s">
        <v>40</v>
      </c>
      <c r="C5457" t="s">
        <v>27</v>
      </c>
      <c r="D5457">
        <v>3261</v>
      </c>
      <c r="E5457">
        <v>1276</v>
      </c>
      <c r="F5457">
        <v>584</v>
      </c>
      <c r="G5457">
        <v>122</v>
      </c>
      <c r="H5457">
        <v>5243</v>
      </c>
      <c r="I5457" s="1">
        <v>45474</v>
      </c>
      <c r="J5457">
        <v>706</v>
      </c>
      <c r="K5457" t="s">
        <v>23</v>
      </c>
    </row>
    <row r="5458" spans="1:11">
      <c r="A5458" s="1">
        <v>45498</v>
      </c>
      <c r="B5458" t="s">
        <v>40</v>
      </c>
      <c r="C5458" t="s">
        <v>37</v>
      </c>
      <c r="D5458">
        <v>505</v>
      </c>
      <c r="E5458">
        <v>279</v>
      </c>
      <c r="F5458">
        <v>279</v>
      </c>
      <c r="G5458">
        <v>86</v>
      </c>
      <c r="H5458">
        <v>1149</v>
      </c>
      <c r="I5458" s="1">
        <v>45474</v>
      </c>
      <c r="J5458">
        <v>365</v>
      </c>
      <c r="K5458" t="s">
        <v>23</v>
      </c>
    </row>
    <row r="5459" spans="1:11">
      <c r="A5459" s="1">
        <v>45498</v>
      </c>
      <c r="B5459" t="s">
        <v>40</v>
      </c>
      <c r="C5459" t="s">
        <v>66</v>
      </c>
      <c r="D5459">
        <v>22738</v>
      </c>
      <c r="E5459">
        <v>7886</v>
      </c>
      <c r="F5459">
        <v>3948</v>
      </c>
      <c r="G5459">
        <v>5617</v>
      </c>
      <c r="H5459">
        <v>40189</v>
      </c>
      <c r="I5459" s="1">
        <v>45474</v>
      </c>
      <c r="J5459">
        <v>9565</v>
      </c>
      <c r="K5459" t="s">
        <v>23</v>
      </c>
    </row>
    <row r="5460" spans="1:11">
      <c r="A5460" s="1">
        <v>45498</v>
      </c>
      <c r="B5460" t="s">
        <v>40</v>
      </c>
      <c r="C5460" t="s">
        <v>57</v>
      </c>
      <c r="D5460">
        <v>9938</v>
      </c>
      <c r="E5460">
        <v>2583</v>
      </c>
      <c r="F5460">
        <v>1055</v>
      </c>
      <c r="G5460">
        <v>1807</v>
      </c>
      <c r="H5460">
        <v>15384</v>
      </c>
      <c r="I5460" s="1">
        <v>45474</v>
      </c>
      <c r="J5460">
        <v>2862</v>
      </c>
      <c r="K5460" t="s">
        <v>23</v>
      </c>
    </row>
    <row r="5461" spans="1:11">
      <c r="A5461" s="1">
        <v>45498</v>
      </c>
      <c r="B5461" t="s">
        <v>40</v>
      </c>
      <c r="C5461" t="s">
        <v>28</v>
      </c>
      <c r="D5461">
        <v>2438</v>
      </c>
      <c r="E5461">
        <v>893</v>
      </c>
      <c r="F5461">
        <v>314</v>
      </c>
      <c r="G5461">
        <v>136</v>
      </c>
      <c r="H5461">
        <v>3780</v>
      </c>
      <c r="I5461" s="1">
        <v>45474</v>
      </c>
      <c r="J5461">
        <v>450</v>
      </c>
      <c r="K5461" t="s">
        <v>23</v>
      </c>
    </row>
    <row r="5462" spans="1:11">
      <c r="A5462" s="1">
        <v>45498</v>
      </c>
      <c r="B5462" t="s">
        <v>40</v>
      </c>
      <c r="C5462" t="s">
        <v>68</v>
      </c>
      <c r="D5462">
        <v>23556</v>
      </c>
      <c r="E5462">
        <v>6381</v>
      </c>
      <c r="F5462">
        <v>3207</v>
      </c>
      <c r="G5462">
        <v>4709</v>
      </c>
      <c r="H5462">
        <v>37853</v>
      </c>
      <c r="I5462" s="1">
        <v>45474</v>
      </c>
      <c r="J5462">
        <v>7916</v>
      </c>
      <c r="K5462" t="s">
        <v>23</v>
      </c>
    </row>
    <row r="5463" spans="1:11">
      <c r="A5463" s="1">
        <v>45498</v>
      </c>
      <c r="B5463" t="s">
        <v>40</v>
      </c>
      <c r="C5463" t="s">
        <v>47</v>
      </c>
      <c r="D5463">
        <v>4022</v>
      </c>
      <c r="E5463">
        <v>998</v>
      </c>
      <c r="F5463">
        <v>262</v>
      </c>
      <c r="G5463">
        <v>174</v>
      </c>
      <c r="H5463">
        <v>5457</v>
      </c>
      <c r="I5463" s="1">
        <v>45474</v>
      </c>
      <c r="J5463">
        <v>436</v>
      </c>
      <c r="K5463" t="s">
        <v>23</v>
      </c>
    </row>
    <row r="5464" spans="1:11">
      <c r="A5464" s="1">
        <v>45498</v>
      </c>
      <c r="B5464" t="s">
        <v>40</v>
      </c>
      <c r="C5464" t="s">
        <v>25</v>
      </c>
      <c r="D5464">
        <v>3265</v>
      </c>
      <c r="E5464">
        <v>1241</v>
      </c>
      <c r="F5464">
        <v>595</v>
      </c>
      <c r="G5464">
        <v>718</v>
      </c>
      <c r="H5464">
        <v>5819</v>
      </c>
      <c r="I5464" s="1">
        <v>45474</v>
      </c>
      <c r="J5464">
        <v>1313</v>
      </c>
      <c r="K5464" t="s">
        <v>23</v>
      </c>
    </row>
    <row r="5465" spans="1:11">
      <c r="A5465" s="1">
        <v>45498</v>
      </c>
      <c r="B5465" t="s">
        <v>40</v>
      </c>
      <c r="C5465" t="s">
        <v>51</v>
      </c>
      <c r="D5465">
        <v>4824</v>
      </c>
      <c r="E5465">
        <v>1826</v>
      </c>
      <c r="F5465">
        <v>955</v>
      </c>
      <c r="G5465">
        <v>976</v>
      </c>
      <c r="H5465">
        <v>8580</v>
      </c>
      <c r="I5465" s="1">
        <v>45474</v>
      </c>
      <c r="J5465">
        <v>1931</v>
      </c>
      <c r="K5465" t="s">
        <v>23</v>
      </c>
    </row>
    <row r="5466" spans="1:11">
      <c r="A5466" s="1">
        <v>45498</v>
      </c>
      <c r="B5466" t="s">
        <v>40</v>
      </c>
      <c r="C5466" t="s">
        <v>45</v>
      </c>
      <c r="D5466">
        <v>2274</v>
      </c>
      <c r="E5466">
        <v>891</v>
      </c>
      <c r="F5466">
        <v>451</v>
      </c>
      <c r="G5466">
        <v>338</v>
      </c>
      <c r="H5466">
        <v>3955</v>
      </c>
      <c r="I5466" s="1">
        <v>45474</v>
      </c>
      <c r="J5466">
        <v>789</v>
      </c>
      <c r="K5466" t="s">
        <v>23</v>
      </c>
    </row>
    <row r="5467" spans="1:11">
      <c r="A5467" s="1">
        <v>45498</v>
      </c>
      <c r="B5467" t="s">
        <v>40</v>
      </c>
      <c r="C5467" t="s">
        <v>39</v>
      </c>
      <c r="D5467">
        <v>6850</v>
      </c>
      <c r="E5467">
        <v>2695</v>
      </c>
      <c r="F5467">
        <v>1137</v>
      </c>
      <c r="G5467">
        <v>113</v>
      </c>
      <c r="H5467">
        <v>10795</v>
      </c>
      <c r="I5467" s="1">
        <v>45474</v>
      </c>
      <c r="J5467">
        <v>1250</v>
      </c>
      <c r="K5467" t="s">
        <v>23</v>
      </c>
    </row>
    <row r="5468" spans="1:11">
      <c r="A5468" s="1">
        <v>45498</v>
      </c>
      <c r="B5468" t="s">
        <v>40</v>
      </c>
      <c r="C5468" t="s">
        <v>38</v>
      </c>
      <c r="D5468">
        <v>2781</v>
      </c>
      <c r="E5468">
        <v>478</v>
      </c>
      <c r="F5468">
        <v>116</v>
      </c>
      <c r="G5468">
        <v>1</v>
      </c>
      <c r="H5468">
        <v>3376</v>
      </c>
      <c r="I5468" s="1">
        <v>45474</v>
      </c>
      <c r="J5468">
        <v>117</v>
      </c>
      <c r="K5468" t="s">
        <v>23</v>
      </c>
    </row>
    <row r="5469" spans="1:11">
      <c r="A5469" s="1">
        <v>45498</v>
      </c>
      <c r="B5469" t="s">
        <v>40</v>
      </c>
      <c r="C5469" t="s">
        <v>54</v>
      </c>
      <c r="D5469">
        <v>2554</v>
      </c>
      <c r="E5469">
        <v>1656</v>
      </c>
      <c r="F5469">
        <v>559</v>
      </c>
      <c r="G5469">
        <v>219</v>
      </c>
      <c r="H5469">
        <v>4987</v>
      </c>
      <c r="I5469" s="1">
        <v>45474</v>
      </c>
      <c r="J5469">
        <v>778</v>
      </c>
      <c r="K5469" t="s">
        <v>23</v>
      </c>
    </row>
    <row r="5470" spans="1:11">
      <c r="A5470" s="1">
        <v>45498</v>
      </c>
      <c r="B5470" t="s">
        <v>40</v>
      </c>
      <c r="C5470" t="s">
        <v>35</v>
      </c>
      <c r="D5470">
        <v>414</v>
      </c>
      <c r="E5470">
        <v>228</v>
      </c>
      <c r="F5470">
        <v>215</v>
      </c>
      <c r="G5470">
        <v>117</v>
      </c>
      <c r="H5470">
        <v>974</v>
      </c>
      <c r="I5470" s="1">
        <v>45474</v>
      </c>
      <c r="J5470">
        <v>332</v>
      </c>
      <c r="K5470" t="s">
        <v>23</v>
      </c>
    </row>
    <row r="5471" spans="1:11">
      <c r="A5471" s="1">
        <v>45498</v>
      </c>
      <c r="B5471" t="s">
        <v>40</v>
      </c>
      <c r="C5471" t="s">
        <v>52</v>
      </c>
      <c r="D5471">
        <v>9367</v>
      </c>
      <c r="E5471">
        <v>3471</v>
      </c>
      <c r="F5471">
        <v>679</v>
      </c>
      <c r="G5471">
        <v>36</v>
      </c>
      <c r="H5471">
        <v>13553</v>
      </c>
      <c r="I5471" s="1">
        <v>45474</v>
      </c>
      <c r="J5471">
        <v>715</v>
      </c>
      <c r="K5471" t="s">
        <v>23</v>
      </c>
    </row>
    <row r="5472" spans="1:11">
      <c r="A5472" s="1">
        <v>45498</v>
      </c>
      <c r="B5472" t="s">
        <v>40</v>
      </c>
      <c r="C5472" t="s">
        <v>22</v>
      </c>
      <c r="D5472">
        <v>3871</v>
      </c>
      <c r="E5472">
        <v>1604</v>
      </c>
      <c r="F5472">
        <v>546</v>
      </c>
      <c r="G5472">
        <v>114</v>
      </c>
      <c r="H5472">
        <v>6135</v>
      </c>
      <c r="I5472" s="1">
        <v>45474</v>
      </c>
      <c r="J5472">
        <v>660</v>
      </c>
      <c r="K5472" t="s">
        <v>23</v>
      </c>
    </row>
    <row r="5473" spans="1:11">
      <c r="A5473" s="1">
        <v>45498</v>
      </c>
      <c r="B5473" t="s">
        <v>40</v>
      </c>
      <c r="C5473" t="s">
        <v>46</v>
      </c>
      <c r="D5473">
        <v>2060</v>
      </c>
      <c r="E5473">
        <v>420</v>
      </c>
      <c r="F5473">
        <v>133</v>
      </c>
      <c r="G5473">
        <v>84</v>
      </c>
      <c r="H5473">
        <v>2698</v>
      </c>
      <c r="I5473" s="1">
        <v>45474</v>
      </c>
      <c r="J5473">
        <v>217</v>
      </c>
      <c r="K5473" t="s">
        <v>23</v>
      </c>
    </row>
    <row r="5474" spans="1:11">
      <c r="A5474" s="1">
        <v>45498</v>
      </c>
      <c r="B5474" t="s">
        <v>40</v>
      </c>
      <c r="C5474" t="s">
        <v>31</v>
      </c>
      <c r="D5474">
        <v>2575</v>
      </c>
      <c r="E5474">
        <v>506</v>
      </c>
      <c r="F5474">
        <v>165</v>
      </c>
      <c r="G5474">
        <v>78</v>
      </c>
      <c r="H5474">
        <v>3323</v>
      </c>
      <c r="I5474" s="1">
        <v>45474</v>
      </c>
      <c r="J5474">
        <v>243</v>
      </c>
      <c r="K5474" t="s">
        <v>23</v>
      </c>
    </row>
    <row r="5475" spans="1:11">
      <c r="A5475" s="1">
        <v>45498</v>
      </c>
      <c r="B5475" t="s">
        <v>40</v>
      </c>
      <c r="C5475" t="s">
        <v>63</v>
      </c>
      <c r="D5475">
        <v>5584</v>
      </c>
      <c r="E5475">
        <v>2658</v>
      </c>
      <c r="F5475">
        <v>1688</v>
      </c>
      <c r="G5475">
        <v>1324</v>
      </c>
      <c r="H5475">
        <v>11254</v>
      </c>
      <c r="I5475" s="1">
        <v>45474</v>
      </c>
      <c r="J5475">
        <v>3012</v>
      </c>
      <c r="K5475" t="s">
        <v>23</v>
      </c>
    </row>
    <row r="5476" spans="1:11">
      <c r="A5476" s="1">
        <v>45498</v>
      </c>
      <c r="B5476" t="s">
        <v>40</v>
      </c>
      <c r="C5476" t="s">
        <v>60</v>
      </c>
      <c r="D5476">
        <v>7906</v>
      </c>
      <c r="E5476">
        <v>2194</v>
      </c>
      <c r="F5476">
        <v>872</v>
      </c>
      <c r="G5476">
        <v>1211</v>
      </c>
      <c r="H5476">
        <v>12183</v>
      </c>
      <c r="I5476" s="1">
        <v>45474</v>
      </c>
      <c r="J5476">
        <v>2083</v>
      </c>
      <c r="K5476" t="s">
        <v>23</v>
      </c>
    </row>
    <row r="5477" spans="1:11">
      <c r="A5477" s="1">
        <v>45498</v>
      </c>
      <c r="B5477" t="s">
        <v>40</v>
      </c>
      <c r="C5477" t="s">
        <v>61</v>
      </c>
      <c r="D5477">
        <v>13070</v>
      </c>
      <c r="E5477">
        <v>6359</v>
      </c>
      <c r="F5477">
        <v>3307</v>
      </c>
      <c r="G5477">
        <v>3771</v>
      </c>
      <c r="H5477">
        <v>26507</v>
      </c>
      <c r="I5477" s="1">
        <v>45474</v>
      </c>
      <c r="J5477">
        <v>7078</v>
      </c>
      <c r="K5477" t="s">
        <v>23</v>
      </c>
    </row>
    <row r="5478" spans="1:11">
      <c r="A5478" s="1">
        <v>45498</v>
      </c>
      <c r="B5478" t="s">
        <v>40</v>
      </c>
      <c r="C5478" t="s">
        <v>62</v>
      </c>
      <c r="D5478">
        <v>2513</v>
      </c>
      <c r="E5478">
        <v>1374</v>
      </c>
      <c r="F5478">
        <v>1163</v>
      </c>
      <c r="G5478">
        <v>4236</v>
      </c>
      <c r="H5478">
        <v>9286</v>
      </c>
      <c r="I5478" s="1">
        <v>45474</v>
      </c>
      <c r="J5478">
        <v>5399</v>
      </c>
      <c r="K5478" t="s">
        <v>23</v>
      </c>
    </row>
    <row r="5479" spans="1:11">
      <c r="A5479" s="1">
        <v>45498</v>
      </c>
      <c r="B5479" t="s">
        <v>40</v>
      </c>
      <c r="C5479" t="s">
        <v>69</v>
      </c>
      <c r="D5479">
        <v>18212</v>
      </c>
      <c r="E5479">
        <v>4885</v>
      </c>
      <c r="F5479">
        <v>1580</v>
      </c>
      <c r="G5479">
        <v>891</v>
      </c>
      <c r="H5479">
        <v>25569</v>
      </c>
      <c r="I5479" s="1">
        <v>45474</v>
      </c>
      <c r="J5479">
        <v>2471</v>
      </c>
      <c r="K5479" t="s">
        <v>23</v>
      </c>
    </row>
    <row r="5480" spans="1:11">
      <c r="A5480" s="1">
        <v>45498</v>
      </c>
      <c r="B5480" t="s">
        <v>40</v>
      </c>
      <c r="C5480" t="s">
        <v>29</v>
      </c>
      <c r="D5480">
        <v>3976</v>
      </c>
      <c r="E5480">
        <v>1245</v>
      </c>
      <c r="F5480">
        <v>798</v>
      </c>
      <c r="G5480">
        <v>299</v>
      </c>
      <c r="H5480">
        <v>6318</v>
      </c>
      <c r="I5480" s="1">
        <v>45474</v>
      </c>
      <c r="J5480">
        <v>1097</v>
      </c>
      <c r="K5480" t="s">
        <v>23</v>
      </c>
    </row>
    <row r="5481" spans="1:11">
      <c r="A5481" s="1">
        <v>45498</v>
      </c>
      <c r="B5481" t="s">
        <v>40</v>
      </c>
      <c r="C5481" t="s">
        <v>70</v>
      </c>
      <c r="D5481">
        <v>2746</v>
      </c>
      <c r="E5481">
        <v>877</v>
      </c>
      <c r="F5481">
        <v>380</v>
      </c>
      <c r="G5481">
        <v>318</v>
      </c>
      <c r="H5481">
        <v>4321</v>
      </c>
      <c r="I5481" s="1">
        <v>45474</v>
      </c>
      <c r="J5481">
        <v>698</v>
      </c>
      <c r="K5481" t="s">
        <v>23</v>
      </c>
    </row>
    <row r="5482" spans="1:11">
      <c r="A5482" s="1">
        <v>45498</v>
      </c>
      <c r="B5482" t="s">
        <v>40</v>
      </c>
      <c r="C5482" t="s">
        <v>71</v>
      </c>
      <c r="D5482">
        <v>19605</v>
      </c>
      <c r="E5482">
        <v>7012</v>
      </c>
      <c r="F5482">
        <v>3319</v>
      </c>
      <c r="G5482">
        <v>1407</v>
      </c>
      <c r="H5482">
        <v>31342</v>
      </c>
      <c r="I5482" s="1">
        <v>45474</v>
      </c>
      <c r="J5482">
        <v>4726</v>
      </c>
      <c r="K5482" t="s">
        <v>23</v>
      </c>
    </row>
    <row r="5483" spans="1:11">
      <c r="A5483" s="1">
        <v>45498</v>
      </c>
      <c r="B5483" t="s">
        <v>40</v>
      </c>
      <c r="C5483" t="s">
        <v>36</v>
      </c>
      <c r="D5483">
        <v>15258</v>
      </c>
      <c r="E5483">
        <v>7816</v>
      </c>
      <c r="F5483">
        <v>4285</v>
      </c>
      <c r="G5483">
        <v>3069</v>
      </c>
      <c r="H5483">
        <v>30427</v>
      </c>
      <c r="I5483" s="1">
        <v>45474</v>
      </c>
      <c r="J5483">
        <v>7354</v>
      </c>
      <c r="K5483" t="s">
        <v>23</v>
      </c>
    </row>
    <row r="5484" spans="1:11">
      <c r="A5484" s="1">
        <v>45498</v>
      </c>
      <c r="B5484" t="s">
        <v>40</v>
      </c>
      <c r="C5484" t="s">
        <v>32</v>
      </c>
      <c r="D5484">
        <v>2221</v>
      </c>
      <c r="E5484">
        <v>702</v>
      </c>
      <c r="F5484">
        <v>320</v>
      </c>
      <c r="G5484">
        <v>17</v>
      </c>
      <c r="H5484">
        <v>3260</v>
      </c>
      <c r="I5484" s="1">
        <v>45474</v>
      </c>
      <c r="J5484">
        <v>337</v>
      </c>
      <c r="K5484" t="s">
        <v>23</v>
      </c>
    </row>
    <row r="5485" spans="1:11">
      <c r="A5485" s="1">
        <v>45498</v>
      </c>
      <c r="B5485" t="s">
        <v>40</v>
      </c>
      <c r="C5485" t="s">
        <v>44</v>
      </c>
      <c r="D5485">
        <v>6532</v>
      </c>
      <c r="E5485">
        <v>2428</v>
      </c>
      <c r="F5485">
        <v>830</v>
      </c>
      <c r="G5485">
        <v>244</v>
      </c>
      <c r="H5485">
        <v>10034</v>
      </c>
      <c r="I5485" s="1">
        <v>45474</v>
      </c>
      <c r="J5485">
        <v>1074</v>
      </c>
      <c r="K5485" t="s">
        <v>23</v>
      </c>
    </row>
    <row r="5486" spans="1:11">
      <c r="A5486" s="1">
        <v>45498</v>
      </c>
      <c r="B5486" t="s">
        <v>40</v>
      </c>
      <c r="C5486" t="s">
        <v>59</v>
      </c>
      <c r="D5486">
        <v>14900</v>
      </c>
      <c r="E5486">
        <v>3633</v>
      </c>
      <c r="F5486">
        <v>1638</v>
      </c>
      <c r="G5486">
        <v>957</v>
      </c>
      <c r="H5486">
        <v>21128</v>
      </c>
      <c r="I5486" s="1">
        <v>45474</v>
      </c>
      <c r="J5486">
        <v>2595</v>
      </c>
      <c r="K5486" t="s">
        <v>23</v>
      </c>
    </row>
    <row r="5487" spans="1:11">
      <c r="A5487" s="1">
        <v>45498</v>
      </c>
      <c r="B5487" t="s">
        <v>40</v>
      </c>
      <c r="C5487" t="s">
        <v>67</v>
      </c>
      <c r="D5487">
        <v>19116</v>
      </c>
      <c r="E5487">
        <v>9581</v>
      </c>
      <c r="F5487">
        <v>5047</v>
      </c>
      <c r="G5487">
        <v>5044</v>
      </c>
      <c r="H5487">
        <v>38789</v>
      </c>
      <c r="I5487" s="1">
        <v>45474</v>
      </c>
      <c r="J5487">
        <v>10091</v>
      </c>
      <c r="K5487" t="s">
        <v>23</v>
      </c>
    </row>
    <row r="5488" spans="1:11">
      <c r="A5488" s="1">
        <v>45498</v>
      </c>
      <c r="B5488" t="s">
        <v>40</v>
      </c>
      <c r="C5488" t="s">
        <v>49</v>
      </c>
      <c r="D5488">
        <v>3068</v>
      </c>
      <c r="E5488">
        <v>545</v>
      </c>
      <c r="F5488">
        <v>131</v>
      </c>
      <c r="G5488">
        <v>67</v>
      </c>
      <c r="H5488">
        <v>3811</v>
      </c>
      <c r="I5488" s="1">
        <v>45474</v>
      </c>
      <c r="J5488">
        <v>198</v>
      </c>
      <c r="K5488" t="s">
        <v>23</v>
      </c>
    </row>
    <row r="5489" spans="1:11">
      <c r="A5489" s="1">
        <v>45533</v>
      </c>
      <c r="B5489" t="s">
        <v>40</v>
      </c>
      <c r="C5489" t="s">
        <v>48</v>
      </c>
      <c r="D5489">
        <v>26341</v>
      </c>
      <c r="E5489">
        <v>13060</v>
      </c>
      <c r="F5489">
        <v>2908</v>
      </c>
      <c r="G5489">
        <v>307</v>
      </c>
      <c r="H5489">
        <v>42616</v>
      </c>
      <c r="I5489" s="1">
        <v>45505</v>
      </c>
      <c r="J5489">
        <v>3215</v>
      </c>
      <c r="K5489" t="s">
        <v>23</v>
      </c>
    </row>
    <row r="5490" spans="1:11">
      <c r="A5490" s="1">
        <v>45533</v>
      </c>
      <c r="B5490" t="s">
        <v>40</v>
      </c>
      <c r="C5490" t="s">
        <v>41</v>
      </c>
      <c r="D5490">
        <v>4440</v>
      </c>
      <c r="E5490">
        <v>1807</v>
      </c>
      <c r="F5490">
        <v>483</v>
      </c>
      <c r="G5490">
        <v>39</v>
      </c>
      <c r="H5490">
        <v>6770</v>
      </c>
      <c r="I5490" s="1">
        <v>45505</v>
      </c>
      <c r="J5490">
        <v>522</v>
      </c>
      <c r="K5490" t="s">
        <v>23</v>
      </c>
    </row>
    <row r="5491" spans="1:11">
      <c r="A5491" s="1">
        <v>45533</v>
      </c>
      <c r="B5491" t="s">
        <v>40</v>
      </c>
      <c r="C5491" t="s">
        <v>33</v>
      </c>
      <c r="D5491">
        <v>1727</v>
      </c>
      <c r="E5491">
        <v>749</v>
      </c>
      <c r="F5491">
        <v>120</v>
      </c>
      <c r="G5491">
        <v>15</v>
      </c>
      <c r="H5491">
        <v>2611</v>
      </c>
      <c r="I5491" s="1">
        <v>45505</v>
      </c>
      <c r="J5491">
        <v>135</v>
      </c>
      <c r="K5491" t="s">
        <v>23</v>
      </c>
    </row>
    <row r="5492" spans="1:11">
      <c r="A5492" s="1">
        <v>45533</v>
      </c>
      <c r="B5492" t="s">
        <v>40</v>
      </c>
      <c r="C5492" t="s">
        <v>65</v>
      </c>
      <c r="D5492">
        <v>14861</v>
      </c>
      <c r="E5492">
        <v>6617</v>
      </c>
      <c r="F5492">
        <v>3477</v>
      </c>
      <c r="G5492">
        <v>4834</v>
      </c>
      <c r="H5492">
        <v>29789</v>
      </c>
      <c r="I5492" s="1">
        <v>45505</v>
      </c>
      <c r="J5492">
        <v>8311</v>
      </c>
      <c r="K5492" t="s">
        <v>23</v>
      </c>
    </row>
    <row r="5493" spans="1:11">
      <c r="A5493" s="1">
        <v>45533</v>
      </c>
      <c r="B5493" t="s">
        <v>40</v>
      </c>
      <c r="C5493" t="s">
        <v>27</v>
      </c>
      <c r="D5493">
        <v>3248</v>
      </c>
      <c r="E5493">
        <v>1438</v>
      </c>
      <c r="F5493">
        <v>632</v>
      </c>
      <c r="G5493">
        <v>197</v>
      </c>
      <c r="H5493">
        <v>5515</v>
      </c>
      <c r="I5493" s="1">
        <v>45505</v>
      </c>
      <c r="J5493">
        <v>829</v>
      </c>
      <c r="K5493" t="s">
        <v>23</v>
      </c>
    </row>
    <row r="5494" spans="1:11">
      <c r="A5494" s="1">
        <v>45533</v>
      </c>
      <c r="B5494" t="s">
        <v>40</v>
      </c>
      <c r="C5494" t="s">
        <v>37</v>
      </c>
      <c r="D5494">
        <v>509</v>
      </c>
      <c r="E5494">
        <v>286</v>
      </c>
      <c r="F5494">
        <v>293</v>
      </c>
      <c r="G5494">
        <v>76</v>
      </c>
      <c r="H5494">
        <v>1164</v>
      </c>
      <c r="I5494" s="1">
        <v>45505</v>
      </c>
      <c r="J5494">
        <v>369</v>
      </c>
      <c r="K5494" t="s">
        <v>23</v>
      </c>
    </row>
    <row r="5495" spans="1:11">
      <c r="A5495" s="1">
        <v>45533</v>
      </c>
      <c r="B5495" t="s">
        <v>40</v>
      </c>
      <c r="C5495" t="s">
        <v>66</v>
      </c>
      <c r="D5495">
        <v>22797</v>
      </c>
      <c r="E5495">
        <v>8468</v>
      </c>
      <c r="F5495">
        <v>4125</v>
      </c>
      <c r="G5495">
        <v>5621</v>
      </c>
      <c r="H5495">
        <v>41012</v>
      </c>
      <c r="I5495" s="1">
        <v>45505</v>
      </c>
      <c r="J5495">
        <v>9746</v>
      </c>
      <c r="K5495" t="s">
        <v>23</v>
      </c>
    </row>
    <row r="5496" spans="1:11">
      <c r="A5496" s="1">
        <v>45533</v>
      </c>
      <c r="B5496" t="s">
        <v>40</v>
      </c>
      <c r="C5496" t="s">
        <v>57</v>
      </c>
      <c r="D5496">
        <v>9831</v>
      </c>
      <c r="E5496">
        <v>2673</v>
      </c>
      <c r="F5496">
        <v>927</v>
      </c>
      <c r="G5496">
        <v>1424</v>
      </c>
      <c r="H5496">
        <v>14855</v>
      </c>
      <c r="I5496" s="1">
        <v>45505</v>
      </c>
      <c r="J5496">
        <v>2351</v>
      </c>
      <c r="K5496" t="s">
        <v>23</v>
      </c>
    </row>
    <row r="5497" spans="1:11">
      <c r="A5497" s="1">
        <v>45533</v>
      </c>
      <c r="B5497" t="s">
        <v>40</v>
      </c>
      <c r="C5497" t="s">
        <v>28</v>
      </c>
      <c r="D5497">
        <v>2535</v>
      </c>
      <c r="E5497">
        <v>897</v>
      </c>
      <c r="F5497">
        <v>313</v>
      </c>
      <c r="G5497">
        <v>164</v>
      </c>
      <c r="H5497">
        <v>3908</v>
      </c>
      <c r="I5497" s="1">
        <v>45505</v>
      </c>
      <c r="J5497">
        <v>477</v>
      </c>
      <c r="K5497" t="s">
        <v>23</v>
      </c>
    </row>
    <row r="5498" spans="1:11">
      <c r="A5498" s="1">
        <v>45533</v>
      </c>
      <c r="B5498" t="s">
        <v>40</v>
      </c>
      <c r="C5498" t="s">
        <v>68</v>
      </c>
      <c r="D5498">
        <v>23681</v>
      </c>
      <c r="E5498">
        <v>6609</v>
      </c>
      <c r="F5498">
        <v>3101</v>
      </c>
      <c r="G5498">
        <v>4688</v>
      </c>
      <c r="H5498">
        <v>38078</v>
      </c>
      <c r="I5498" s="1">
        <v>45505</v>
      </c>
      <c r="J5498">
        <v>7789</v>
      </c>
      <c r="K5498" t="s">
        <v>23</v>
      </c>
    </row>
    <row r="5499" spans="1:11">
      <c r="A5499" s="1">
        <v>45533</v>
      </c>
      <c r="B5499" t="s">
        <v>40</v>
      </c>
      <c r="C5499" t="s">
        <v>47</v>
      </c>
      <c r="D5499">
        <v>3998</v>
      </c>
      <c r="E5499">
        <v>1041</v>
      </c>
      <c r="F5499">
        <v>257</v>
      </c>
      <c r="G5499">
        <v>277</v>
      </c>
      <c r="H5499">
        <v>5572</v>
      </c>
      <c r="I5499" s="1">
        <v>45505</v>
      </c>
      <c r="J5499">
        <v>534</v>
      </c>
      <c r="K5499" t="s">
        <v>23</v>
      </c>
    </row>
    <row r="5500" spans="1:11">
      <c r="A5500" s="1">
        <v>45533</v>
      </c>
      <c r="B5500" t="s">
        <v>40</v>
      </c>
      <c r="C5500" t="s">
        <v>25</v>
      </c>
      <c r="D5500">
        <v>3061</v>
      </c>
      <c r="E5500">
        <v>1270</v>
      </c>
      <c r="F5500">
        <v>563</v>
      </c>
      <c r="G5500">
        <v>622</v>
      </c>
      <c r="H5500">
        <v>5516</v>
      </c>
      <c r="I5500" s="1">
        <v>45505</v>
      </c>
      <c r="J5500">
        <v>1185</v>
      </c>
      <c r="K5500" t="s">
        <v>23</v>
      </c>
    </row>
    <row r="5501" spans="1:11">
      <c r="A5501" s="1">
        <v>45533</v>
      </c>
      <c r="B5501" t="s">
        <v>40</v>
      </c>
      <c r="C5501" t="s">
        <v>51</v>
      </c>
      <c r="D5501">
        <v>4959</v>
      </c>
      <c r="E5501">
        <v>1702</v>
      </c>
      <c r="F5501">
        <v>687</v>
      </c>
      <c r="G5501">
        <v>967</v>
      </c>
      <c r="H5501">
        <v>8315</v>
      </c>
      <c r="I5501" s="1">
        <v>45505</v>
      </c>
      <c r="J5501">
        <v>1654</v>
      </c>
      <c r="K5501" t="s">
        <v>23</v>
      </c>
    </row>
    <row r="5502" spans="1:11">
      <c r="A5502" s="1">
        <v>45533</v>
      </c>
      <c r="B5502" t="s">
        <v>40</v>
      </c>
      <c r="C5502" t="s">
        <v>45</v>
      </c>
      <c r="D5502">
        <v>2663</v>
      </c>
      <c r="E5502">
        <v>954</v>
      </c>
      <c r="F5502">
        <v>464</v>
      </c>
      <c r="G5502">
        <v>322</v>
      </c>
      <c r="H5502">
        <v>4403</v>
      </c>
      <c r="I5502" s="1">
        <v>45505</v>
      </c>
      <c r="J5502">
        <v>786</v>
      </c>
      <c r="K5502" t="s">
        <v>23</v>
      </c>
    </row>
    <row r="5503" spans="1:11">
      <c r="A5503" s="1">
        <v>45533</v>
      </c>
      <c r="B5503" t="s">
        <v>40</v>
      </c>
      <c r="C5503" t="s">
        <v>39</v>
      </c>
      <c r="D5503">
        <v>6728</v>
      </c>
      <c r="E5503">
        <v>2724</v>
      </c>
      <c r="F5503">
        <v>1176</v>
      </c>
      <c r="G5503">
        <v>122</v>
      </c>
      <c r="H5503">
        <v>10749</v>
      </c>
      <c r="I5503" s="1">
        <v>45505</v>
      </c>
      <c r="J5503">
        <v>1298</v>
      </c>
      <c r="K5503" t="s">
        <v>23</v>
      </c>
    </row>
    <row r="5504" spans="1:11">
      <c r="A5504" s="1">
        <v>45533</v>
      </c>
      <c r="B5504" t="s">
        <v>40</v>
      </c>
      <c r="C5504" t="s">
        <v>38</v>
      </c>
      <c r="D5504">
        <v>2281</v>
      </c>
      <c r="E5504">
        <v>527</v>
      </c>
      <c r="F5504">
        <v>117</v>
      </c>
      <c r="G5504">
        <v>1</v>
      </c>
      <c r="H5504">
        <v>2926</v>
      </c>
      <c r="I5504" s="1">
        <v>45505</v>
      </c>
      <c r="J5504">
        <v>118</v>
      </c>
      <c r="K5504" t="s">
        <v>23</v>
      </c>
    </row>
    <row r="5505" spans="1:11">
      <c r="A5505" s="1">
        <v>45533</v>
      </c>
      <c r="B5505" t="s">
        <v>40</v>
      </c>
      <c r="C5505" t="s">
        <v>54</v>
      </c>
      <c r="D5505">
        <v>2389</v>
      </c>
      <c r="E5505">
        <v>1705</v>
      </c>
      <c r="F5505">
        <v>572</v>
      </c>
      <c r="G5505">
        <v>220</v>
      </c>
      <c r="H5505">
        <v>4886</v>
      </c>
      <c r="I5505" s="1">
        <v>45505</v>
      </c>
      <c r="J5505">
        <v>792</v>
      </c>
      <c r="K5505" t="s">
        <v>23</v>
      </c>
    </row>
    <row r="5506" spans="1:11">
      <c r="A5506" s="1">
        <v>45533</v>
      </c>
      <c r="B5506" t="s">
        <v>40</v>
      </c>
      <c r="C5506" t="s">
        <v>35</v>
      </c>
      <c r="D5506">
        <v>387</v>
      </c>
      <c r="E5506">
        <v>255</v>
      </c>
      <c r="F5506">
        <v>214</v>
      </c>
      <c r="G5506">
        <v>66</v>
      </c>
      <c r="H5506">
        <v>922</v>
      </c>
      <c r="I5506" s="1">
        <v>45505</v>
      </c>
      <c r="J5506">
        <v>280</v>
      </c>
      <c r="K5506" t="s">
        <v>23</v>
      </c>
    </row>
    <row r="5507" spans="1:11">
      <c r="A5507" s="1">
        <v>45533</v>
      </c>
      <c r="B5507" t="s">
        <v>40</v>
      </c>
      <c r="C5507" t="s">
        <v>52</v>
      </c>
      <c r="D5507">
        <v>9398</v>
      </c>
      <c r="E5507">
        <v>3549</v>
      </c>
      <c r="F5507">
        <v>848</v>
      </c>
      <c r="G5507">
        <v>42</v>
      </c>
      <c r="H5507">
        <v>13838</v>
      </c>
      <c r="I5507" s="1">
        <v>45505</v>
      </c>
      <c r="J5507">
        <v>890</v>
      </c>
      <c r="K5507" t="s">
        <v>23</v>
      </c>
    </row>
    <row r="5508" spans="1:11">
      <c r="A5508" s="1">
        <v>45533</v>
      </c>
      <c r="B5508" t="s">
        <v>40</v>
      </c>
      <c r="C5508" t="s">
        <v>22</v>
      </c>
      <c r="D5508">
        <v>3770</v>
      </c>
      <c r="E5508">
        <v>1457</v>
      </c>
      <c r="F5508">
        <v>426</v>
      </c>
      <c r="G5508">
        <v>70</v>
      </c>
      <c r="H5508">
        <v>5722</v>
      </c>
      <c r="I5508" s="1">
        <v>45505</v>
      </c>
      <c r="J5508">
        <v>496</v>
      </c>
      <c r="K5508" t="s">
        <v>23</v>
      </c>
    </row>
    <row r="5509" spans="1:11">
      <c r="A5509" s="1">
        <v>45533</v>
      </c>
      <c r="B5509" t="s">
        <v>40</v>
      </c>
      <c r="C5509" t="s">
        <v>46</v>
      </c>
      <c r="D5509">
        <v>2095</v>
      </c>
      <c r="E5509">
        <v>483</v>
      </c>
      <c r="F5509">
        <v>141</v>
      </c>
      <c r="G5509">
        <v>65</v>
      </c>
      <c r="H5509">
        <v>2784</v>
      </c>
      <c r="I5509" s="1">
        <v>45505</v>
      </c>
      <c r="J5509">
        <v>206</v>
      </c>
      <c r="K5509" t="s">
        <v>23</v>
      </c>
    </row>
    <row r="5510" spans="1:11">
      <c r="A5510" s="1">
        <v>45533</v>
      </c>
      <c r="B5510" t="s">
        <v>40</v>
      </c>
      <c r="C5510" t="s">
        <v>31</v>
      </c>
      <c r="D5510">
        <v>2591</v>
      </c>
      <c r="E5510">
        <v>467</v>
      </c>
      <c r="F5510">
        <v>137</v>
      </c>
      <c r="G5510">
        <v>72</v>
      </c>
      <c r="H5510">
        <v>3268</v>
      </c>
      <c r="I5510" s="1">
        <v>45505</v>
      </c>
      <c r="J5510">
        <v>209</v>
      </c>
      <c r="K5510" t="s">
        <v>23</v>
      </c>
    </row>
    <row r="5511" spans="1:11">
      <c r="A5511" s="1">
        <v>45533</v>
      </c>
      <c r="B5511" t="s">
        <v>40</v>
      </c>
      <c r="C5511" t="s">
        <v>34</v>
      </c>
      <c r="D5511">
        <v>3899</v>
      </c>
      <c r="E5511">
        <v>710</v>
      </c>
      <c r="F5511">
        <v>3</v>
      </c>
      <c r="G5511">
        <v>3</v>
      </c>
      <c r="H5511">
        <v>4614</v>
      </c>
      <c r="I5511" s="1">
        <v>45505</v>
      </c>
      <c r="J5511">
        <v>6</v>
      </c>
      <c r="K5511" t="s">
        <v>23</v>
      </c>
    </row>
    <row r="5512" spans="1:11">
      <c r="A5512" s="1">
        <v>45533</v>
      </c>
      <c r="B5512" t="s">
        <v>40</v>
      </c>
      <c r="C5512" t="s">
        <v>63</v>
      </c>
      <c r="D5512">
        <v>5696</v>
      </c>
      <c r="E5512">
        <v>2743</v>
      </c>
      <c r="F5512">
        <v>1608</v>
      </c>
      <c r="G5512">
        <v>1311</v>
      </c>
      <c r="H5512">
        <v>11358</v>
      </c>
      <c r="I5512" s="1">
        <v>45505</v>
      </c>
      <c r="J5512">
        <v>2919</v>
      </c>
      <c r="K5512" t="s">
        <v>23</v>
      </c>
    </row>
    <row r="5513" spans="1:11">
      <c r="A5513" s="1">
        <v>45533</v>
      </c>
      <c r="B5513" t="s">
        <v>40</v>
      </c>
      <c r="C5513" t="s">
        <v>60</v>
      </c>
      <c r="D5513">
        <v>7533</v>
      </c>
      <c r="E5513">
        <v>2176</v>
      </c>
      <c r="F5513">
        <v>930</v>
      </c>
      <c r="G5513">
        <v>1218</v>
      </c>
      <c r="H5513">
        <v>11858</v>
      </c>
      <c r="I5513" s="1">
        <v>45505</v>
      </c>
      <c r="J5513">
        <v>2148</v>
      </c>
      <c r="K5513" t="s">
        <v>23</v>
      </c>
    </row>
    <row r="5514" spans="1:11">
      <c r="A5514" s="1">
        <v>45533</v>
      </c>
      <c r="B5514" t="s">
        <v>40</v>
      </c>
      <c r="C5514" t="s">
        <v>61</v>
      </c>
      <c r="D5514">
        <v>13419</v>
      </c>
      <c r="E5514">
        <v>6690</v>
      </c>
      <c r="F5514">
        <v>3178</v>
      </c>
      <c r="G5514">
        <v>3713</v>
      </c>
      <c r="H5514">
        <v>27000</v>
      </c>
      <c r="I5514" s="1">
        <v>45505</v>
      </c>
      <c r="J5514">
        <v>6891</v>
      </c>
      <c r="K5514" t="s">
        <v>23</v>
      </c>
    </row>
    <row r="5515" spans="1:11">
      <c r="A5515" s="1">
        <v>45533</v>
      </c>
      <c r="B5515" t="s">
        <v>40</v>
      </c>
      <c r="C5515" t="s">
        <v>62</v>
      </c>
      <c r="D5515">
        <v>2491</v>
      </c>
      <c r="E5515">
        <v>1361</v>
      </c>
      <c r="F5515">
        <v>1227</v>
      </c>
      <c r="G5515">
        <v>4349</v>
      </c>
      <c r="H5515">
        <v>9428</v>
      </c>
      <c r="I5515" s="1">
        <v>45505</v>
      </c>
      <c r="J5515">
        <v>5576</v>
      </c>
      <c r="K5515" t="s">
        <v>23</v>
      </c>
    </row>
    <row r="5516" spans="1:11">
      <c r="A5516" s="1">
        <v>45533</v>
      </c>
      <c r="B5516" t="s">
        <v>40</v>
      </c>
      <c r="C5516" t="s">
        <v>69</v>
      </c>
      <c r="D5516">
        <v>17700</v>
      </c>
      <c r="E5516">
        <v>4853</v>
      </c>
      <c r="F5516">
        <v>1425</v>
      </c>
      <c r="G5516">
        <v>897</v>
      </c>
      <c r="H5516">
        <v>24874</v>
      </c>
      <c r="I5516" s="1">
        <v>45505</v>
      </c>
      <c r="J5516">
        <v>2322</v>
      </c>
      <c r="K5516" t="s">
        <v>23</v>
      </c>
    </row>
    <row r="5517" spans="1:11">
      <c r="A5517" s="1">
        <v>45533</v>
      </c>
      <c r="B5517" t="s">
        <v>40</v>
      </c>
      <c r="C5517" t="s">
        <v>29</v>
      </c>
      <c r="D5517">
        <v>3671</v>
      </c>
      <c r="E5517">
        <v>1225</v>
      </c>
      <c r="F5517">
        <v>780</v>
      </c>
      <c r="G5517">
        <v>359</v>
      </c>
      <c r="H5517">
        <v>6034</v>
      </c>
      <c r="I5517" s="1">
        <v>45505</v>
      </c>
      <c r="J5517">
        <v>1139</v>
      </c>
      <c r="K5517" t="s">
        <v>23</v>
      </c>
    </row>
    <row r="5518" spans="1:11">
      <c r="A5518" s="1">
        <v>45533</v>
      </c>
      <c r="B5518" t="s">
        <v>40</v>
      </c>
      <c r="C5518" t="s">
        <v>70</v>
      </c>
      <c r="D5518">
        <v>2738</v>
      </c>
      <c r="E5518">
        <v>935</v>
      </c>
      <c r="F5518">
        <v>425</v>
      </c>
      <c r="G5518">
        <v>363</v>
      </c>
      <c r="H5518">
        <v>4461</v>
      </c>
      <c r="I5518" s="1">
        <v>45505</v>
      </c>
      <c r="J5518">
        <v>788</v>
      </c>
      <c r="K5518" t="s">
        <v>23</v>
      </c>
    </row>
    <row r="5519" spans="1:11">
      <c r="A5519" s="1">
        <v>45533</v>
      </c>
      <c r="B5519" t="s">
        <v>40</v>
      </c>
      <c r="C5519" t="s">
        <v>71</v>
      </c>
      <c r="D5519">
        <v>19561</v>
      </c>
      <c r="E5519">
        <v>7220</v>
      </c>
      <c r="F5519">
        <v>3445</v>
      </c>
      <c r="G5519">
        <v>1443</v>
      </c>
      <c r="H5519">
        <v>31668</v>
      </c>
      <c r="I5519" s="1">
        <v>45505</v>
      </c>
      <c r="J5519">
        <v>4888</v>
      </c>
      <c r="K5519" t="s">
        <v>23</v>
      </c>
    </row>
    <row r="5520" spans="1:11">
      <c r="A5520" s="1">
        <v>45533</v>
      </c>
      <c r="B5520" t="s">
        <v>40</v>
      </c>
      <c r="C5520" t="s">
        <v>36</v>
      </c>
      <c r="D5520">
        <v>15471</v>
      </c>
      <c r="E5520">
        <v>7815</v>
      </c>
      <c r="F5520">
        <v>4185</v>
      </c>
      <c r="G5520">
        <v>2887</v>
      </c>
      <c r="H5520">
        <v>30359</v>
      </c>
      <c r="I5520" s="1">
        <v>45505</v>
      </c>
      <c r="J5520">
        <v>7072</v>
      </c>
      <c r="K5520" t="s">
        <v>23</v>
      </c>
    </row>
    <row r="5521" spans="1:11">
      <c r="A5521" s="1">
        <v>45533</v>
      </c>
      <c r="B5521" t="s">
        <v>40</v>
      </c>
      <c r="C5521" t="s">
        <v>32</v>
      </c>
      <c r="D5521">
        <v>2321</v>
      </c>
      <c r="E5521">
        <v>677</v>
      </c>
      <c r="F5521">
        <v>311</v>
      </c>
      <c r="G5521">
        <v>21</v>
      </c>
      <c r="H5521">
        <v>3331</v>
      </c>
      <c r="I5521" s="1">
        <v>45505</v>
      </c>
      <c r="J5521">
        <v>332</v>
      </c>
      <c r="K5521" t="s">
        <v>23</v>
      </c>
    </row>
    <row r="5522" spans="1:11">
      <c r="A5522" s="1">
        <v>45533</v>
      </c>
      <c r="B5522" t="s">
        <v>40</v>
      </c>
      <c r="C5522" t="s">
        <v>44</v>
      </c>
      <c r="D5522">
        <v>6671</v>
      </c>
      <c r="E5522">
        <v>2650</v>
      </c>
      <c r="F5522">
        <v>906</v>
      </c>
      <c r="G5522">
        <v>291</v>
      </c>
      <c r="H5522">
        <v>10517</v>
      </c>
      <c r="I5522" s="1">
        <v>45505</v>
      </c>
      <c r="J5522">
        <v>1197</v>
      </c>
      <c r="K5522" t="s">
        <v>23</v>
      </c>
    </row>
    <row r="5523" spans="1:11">
      <c r="A5523" s="1">
        <v>45533</v>
      </c>
      <c r="B5523" t="s">
        <v>40</v>
      </c>
      <c r="C5523" t="s">
        <v>59</v>
      </c>
      <c r="D5523">
        <v>15382</v>
      </c>
      <c r="E5523">
        <v>4191</v>
      </c>
      <c r="F5523">
        <v>1802</v>
      </c>
      <c r="G5523">
        <v>995</v>
      </c>
      <c r="H5523">
        <v>22369</v>
      </c>
      <c r="I5523" s="1">
        <v>45505</v>
      </c>
      <c r="J5523">
        <v>2797</v>
      </c>
      <c r="K5523" t="s">
        <v>23</v>
      </c>
    </row>
    <row r="5524" spans="1:11">
      <c r="A5524" s="1">
        <v>45533</v>
      </c>
      <c r="B5524" t="s">
        <v>40</v>
      </c>
      <c r="C5524" t="s">
        <v>67</v>
      </c>
      <c r="D5524">
        <v>19674</v>
      </c>
      <c r="E5524">
        <v>9906</v>
      </c>
      <c r="F5524">
        <v>5242</v>
      </c>
      <c r="G5524">
        <v>4937</v>
      </c>
      <c r="H5524">
        <v>39759</v>
      </c>
      <c r="I5524" s="1">
        <v>45505</v>
      </c>
      <c r="J5524">
        <v>10179</v>
      </c>
      <c r="K5524" t="s">
        <v>23</v>
      </c>
    </row>
    <row r="5525" spans="1:11">
      <c r="A5525" s="1">
        <v>45533</v>
      </c>
      <c r="B5525" t="s">
        <v>40</v>
      </c>
      <c r="C5525" t="s">
        <v>49</v>
      </c>
      <c r="D5525">
        <v>3134</v>
      </c>
      <c r="E5525">
        <v>585</v>
      </c>
      <c r="F5525">
        <v>110</v>
      </c>
      <c r="G5525">
        <v>71</v>
      </c>
      <c r="H5525">
        <v>3899</v>
      </c>
      <c r="I5525" s="1">
        <v>45505</v>
      </c>
      <c r="J5525">
        <v>181</v>
      </c>
      <c r="K5525" t="s">
        <v>23</v>
      </c>
    </row>
    <row r="5526" spans="1:11">
      <c r="A5526" s="1">
        <v>45561</v>
      </c>
      <c r="B5526" t="s">
        <v>40</v>
      </c>
      <c r="C5526" t="s">
        <v>48</v>
      </c>
      <c r="D5526">
        <v>26048</v>
      </c>
      <c r="E5526">
        <v>13246</v>
      </c>
      <c r="F5526">
        <v>2953</v>
      </c>
      <c r="G5526">
        <v>335</v>
      </c>
      <c r="H5526">
        <v>42582</v>
      </c>
      <c r="I5526" s="1">
        <v>45536</v>
      </c>
      <c r="J5526">
        <v>3288</v>
      </c>
      <c r="K5526" t="s">
        <v>23</v>
      </c>
    </row>
    <row r="5527" spans="1:11">
      <c r="A5527" s="1">
        <v>45561</v>
      </c>
      <c r="B5527" t="s">
        <v>40</v>
      </c>
      <c r="C5527" t="s">
        <v>41</v>
      </c>
      <c r="D5527">
        <v>4625</v>
      </c>
      <c r="E5527">
        <v>1596</v>
      </c>
      <c r="F5527">
        <v>537</v>
      </c>
      <c r="G5527">
        <v>41</v>
      </c>
      <c r="H5527">
        <v>6799</v>
      </c>
      <c r="I5527" s="1">
        <v>45536</v>
      </c>
      <c r="J5527">
        <v>578</v>
      </c>
      <c r="K5527" t="s">
        <v>23</v>
      </c>
    </row>
    <row r="5528" spans="1:11">
      <c r="A5528" s="1">
        <v>45561</v>
      </c>
      <c r="B5528" t="s">
        <v>40</v>
      </c>
      <c r="C5528" t="s">
        <v>33</v>
      </c>
      <c r="D5528">
        <v>1698</v>
      </c>
      <c r="E5528">
        <v>708</v>
      </c>
      <c r="F5528">
        <v>129</v>
      </c>
      <c r="G5528">
        <v>7</v>
      </c>
      <c r="H5528">
        <v>2541</v>
      </c>
      <c r="I5528" s="1">
        <v>45536</v>
      </c>
      <c r="J5528">
        <v>136</v>
      </c>
      <c r="K5528" t="s">
        <v>23</v>
      </c>
    </row>
    <row r="5529" spans="1:11">
      <c r="A5529" s="1">
        <v>45561</v>
      </c>
      <c r="B5529" t="s">
        <v>40</v>
      </c>
      <c r="C5529" t="s">
        <v>65</v>
      </c>
      <c r="D5529">
        <v>13724</v>
      </c>
      <c r="E5529">
        <v>6476</v>
      </c>
      <c r="F5529">
        <v>2913</v>
      </c>
      <c r="G5529">
        <v>4590</v>
      </c>
      <c r="H5529">
        <v>27703</v>
      </c>
      <c r="I5529" s="1">
        <v>45536</v>
      </c>
      <c r="J5529">
        <v>7503</v>
      </c>
      <c r="K5529" t="s">
        <v>23</v>
      </c>
    </row>
    <row r="5530" spans="1:11">
      <c r="A5530" s="1">
        <v>45561</v>
      </c>
      <c r="B5530" t="s">
        <v>40</v>
      </c>
      <c r="C5530" t="s">
        <v>27</v>
      </c>
      <c r="D5530">
        <v>3231</v>
      </c>
      <c r="E5530">
        <v>1449</v>
      </c>
      <c r="F5530">
        <v>636</v>
      </c>
      <c r="G5530">
        <v>229</v>
      </c>
      <c r="H5530">
        <v>5545</v>
      </c>
      <c r="I5530" s="1">
        <v>45536</v>
      </c>
      <c r="J5530">
        <v>865</v>
      </c>
      <c r="K5530" t="s">
        <v>23</v>
      </c>
    </row>
    <row r="5531" spans="1:11">
      <c r="A5531" s="1">
        <v>45561</v>
      </c>
      <c r="B5531" t="s">
        <v>40</v>
      </c>
      <c r="C5531" t="s">
        <v>37</v>
      </c>
      <c r="D5531">
        <v>500</v>
      </c>
      <c r="E5531">
        <v>291</v>
      </c>
      <c r="F5531">
        <v>268</v>
      </c>
      <c r="G5531">
        <v>107</v>
      </c>
      <c r="H5531">
        <v>1166</v>
      </c>
      <c r="I5531" s="1">
        <v>45536</v>
      </c>
      <c r="J5531">
        <v>375</v>
      </c>
      <c r="K5531" t="s">
        <v>23</v>
      </c>
    </row>
    <row r="5532" spans="1:11">
      <c r="A5532" s="1">
        <v>45561</v>
      </c>
      <c r="B5532" t="s">
        <v>40</v>
      </c>
      <c r="C5532" t="s">
        <v>66</v>
      </c>
      <c r="D5532">
        <v>22849</v>
      </c>
      <c r="E5532">
        <v>8216</v>
      </c>
      <c r="F5532">
        <v>3828</v>
      </c>
      <c r="G5532">
        <v>5693</v>
      </c>
      <c r="H5532">
        <v>40585</v>
      </c>
      <c r="I5532" s="1">
        <v>45536</v>
      </c>
      <c r="J5532">
        <v>9521</v>
      </c>
      <c r="K5532" t="s">
        <v>23</v>
      </c>
    </row>
    <row r="5533" spans="1:11">
      <c r="A5533" s="1">
        <v>45561</v>
      </c>
      <c r="B5533" t="s">
        <v>40</v>
      </c>
      <c r="C5533" t="s">
        <v>57</v>
      </c>
      <c r="D5533">
        <v>10019</v>
      </c>
      <c r="E5533">
        <v>2606</v>
      </c>
      <c r="F5533">
        <v>844</v>
      </c>
      <c r="G5533">
        <v>1259</v>
      </c>
      <c r="H5533">
        <v>14728</v>
      </c>
      <c r="I5533" s="1">
        <v>45536</v>
      </c>
      <c r="J5533">
        <v>2103</v>
      </c>
      <c r="K5533" t="s">
        <v>23</v>
      </c>
    </row>
    <row r="5534" spans="1:11">
      <c r="A5534" s="1">
        <v>45561</v>
      </c>
      <c r="B5534" t="s">
        <v>40</v>
      </c>
      <c r="C5534" t="s">
        <v>42</v>
      </c>
      <c r="D5534">
        <v>1504</v>
      </c>
      <c r="E5534">
        <v>386</v>
      </c>
      <c r="F5534">
        <v>10</v>
      </c>
      <c r="G5534">
        <v>36</v>
      </c>
      <c r="H5534">
        <v>1935</v>
      </c>
      <c r="I5534" s="1">
        <v>45536</v>
      </c>
      <c r="J5534">
        <v>46</v>
      </c>
      <c r="K5534" t="s">
        <v>23</v>
      </c>
    </row>
    <row r="5535" spans="1:11">
      <c r="A5535" s="1">
        <v>45561</v>
      </c>
      <c r="B5535" t="s">
        <v>40</v>
      </c>
      <c r="C5535" t="s">
        <v>28</v>
      </c>
      <c r="D5535">
        <v>2506</v>
      </c>
      <c r="E5535">
        <v>972</v>
      </c>
      <c r="F5535">
        <v>332</v>
      </c>
      <c r="G5535">
        <v>187</v>
      </c>
      <c r="H5535">
        <v>3997</v>
      </c>
      <c r="I5535" s="1">
        <v>45536</v>
      </c>
      <c r="J5535">
        <v>519</v>
      </c>
      <c r="K5535" t="s">
        <v>23</v>
      </c>
    </row>
    <row r="5536" spans="1:11">
      <c r="A5536" s="1">
        <v>45561</v>
      </c>
      <c r="B5536" t="s">
        <v>40</v>
      </c>
      <c r="C5536" t="s">
        <v>68</v>
      </c>
      <c r="D5536">
        <v>23631</v>
      </c>
      <c r="E5536">
        <v>6625</v>
      </c>
      <c r="F5536">
        <v>3023</v>
      </c>
      <c r="G5536">
        <v>4661</v>
      </c>
      <c r="H5536">
        <v>37939</v>
      </c>
      <c r="I5536" s="1">
        <v>45536</v>
      </c>
      <c r="J5536">
        <v>7684</v>
      </c>
      <c r="K5536" t="s">
        <v>23</v>
      </c>
    </row>
    <row r="5537" spans="1:11">
      <c r="A5537" s="1">
        <v>45561</v>
      </c>
      <c r="B5537" t="s">
        <v>40</v>
      </c>
      <c r="C5537" t="s">
        <v>47</v>
      </c>
      <c r="D5537">
        <v>3959</v>
      </c>
      <c r="E5537">
        <v>982</v>
      </c>
      <c r="F5537">
        <v>224</v>
      </c>
      <c r="G5537">
        <v>299</v>
      </c>
      <c r="H5537">
        <v>5465</v>
      </c>
      <c r="I5537" s="1">
        <v>45536</v>
      </c>
      <c r="J5537">
        <v>523</v>
      </c>
      <c r="K5537" t="s">
        <v>23</v>
      </c>
    </row>
    <row r="5538" spans="1:11">
      <c r="A5538" s="1">
        <v>45561</v>
      </c>
      <c r="B5538" t="s">
        <v>40</v>
      </c>
      <c r="C5538" t="s">
        <v>25</v>
      </c>
      <c r="D5538">
        <v>3018</v>
      </c>
      <c r="E5538">
        <v>1248</v>
      </c>
      <c r="F5538">
        <v>427</v>
      </c>
      <c r="G5538">
        <v>529</v>
      </c>
      <c r="H5538">
        <v>5223</v>
      </c>
      <c r="I5538" s="1">
        <v>45536</v>
      </c>
      <c r="J5538">
        <v>956</v>
      </c>
      <c r="K5538" t="s">
        <v>23</v>
      </c>
    </row>
    <row r="5539" spans="1:11">
      <c r="A5539" s="1">
        <v>45561</v>
      </c>
      <c r="B5539" t="s">
        <v>40</v>
      </c>
      <c r="C5539" t="s">
        <v>51</v>
      </c>
      <c r="D5539">
        <v>4902</v>
      </c>
      <c r="E5539">
        <v>1504</v>
      </c>
      <c r="F5539">
        <v>671</v>
      </c>
      <c r="G5539">
        <v>997</v>
      </c>
      <c r="H5539">
        <v>8074</v>
      </c>
      <c r="I5539" s="1">
        <v>45536</v>
      </c>
      <c r="J5539">
        <v>1668</v>
      </c>
      <c r="K5539" t="s">
        <v>23</v>
      </c>
    </row>
    <row r="5540" spans="1:11">
      <c r="A5540" s="1">
        <v>45561</v>
      </c>
      <c r="B5540" t="s">
        <v>40</v>
      </c>
      <c r="C5540" t="s">
        <v>45</v>
      </c>
      <c r="D5540">
        <v>2555</v>
      </c>
      <c r="E5540">
        <v>829</v>
      </c>
      <c r="F5540">
        <v>410</v>
      </c>
      <c r="G5540">
        <v>246</v>
      </c>
      <c r="H5540">
        <v>4039</v>
      </c>
      <c r="I5540" s="1">
        <v>45536</v>
      </c>
      <c r="J5540">
        <v>656</v>
      </c>
      <c r="K5540" t="s">
        <v>23</v>
      </c>
    </row>
    <row r="5541" spans="1:11">
      <c r="A5541" s="1">
        <v>45561</v>
      </c>
      <c r="B5541" t="s">
        <v>40</v>
      </c>
      <c r="C5541" t="s">
        <v>39</v>
      </c>
      <c r="D5541">
        <v>6722</v>
      </c>
      <c r="E5541">
        <v>2611</v>
      </c>
      <c r="F5541">
        <v>1148</v>
      </c>
      <c r="G5541">
        <v>99</v>
      </c>
      <c r="H5541">
        <v>10580</v>
      </c>
      <c r="I5541" s="1">
        <v>45536</v>
      </c>
      <c r="J5541">
        <v>1247</v>
      </c>
      <c r="K5541" t="s">
        <v>23</v>
      </c>
    </row>
    <row r="5542" spans="1:11">
      <c r="A5542" s="1">
        <v>45561</v>
      </c>
      <c r="B5542" t="s">
        <v>40</v>
      </c>
      <c r="C5542" t="s">
        <v>54</v>
      </c>
      <c r="D5542">
        <v>2311</v>
      </c>
      <c r="E5542">
        <v>1550</v>
      </c>
      <c r="F5542">
        <v>574</v>
      </c>
      <c r="G5542">
        <v>237</v>
      </c>
      <c r="H5542">
        <v>4672</v>
      </c>
      <c r="I5542" s="1">
        <v>45536</v>
      </c>
      <c r="J5542">
        <v>811</v>
      </c>
      <c r="K5542" t="s">
        <v>23</v>
      </c>
    </row>
    <row r="5543" spans="1:11">
      <c r="A5543" s="1">
        <v>45561</v>
      </c>
      <c r="B5543" t="s">
        <v>40</v>
      </c>
      <c r="C5543" t="s">
        <v>35</v>
      </c>
      <c r="D5543">
        <v>377</v>
      </c>
      <c r="E5543">
        <v>245</v>
      </c>
      <c r="F5543">
        <v>226</v>
      </c>
      <c r="G5543">
        <v>95</v>
      </c>
      <c r="H5543">
        <v>943</v>
      </c>
      <c r="I5543" s="1">
        <v>45536</v>
      </c>
      <c r="J5543">
        <v>321</v>
      </c>
      <c r="K5543" t="s">
        <v>23</v>
      </c>
    </row>
    <row r="5544" spans="1:11">
      <c r="A5544" s="1">
        <v>45561</v>
      </c>
      <c r="B5544" t="s">
        <v>40</v>
      </c>
      <c r="C5544" t="s">
        <v>52</v>
      </c>
      <c r="D5544">
        <v>9137</v>
      </c>
      <c r="E5544">
        <v>3652</v>
      </c>
      <c r="F5544">
        <v>905</v>
      </c>
      <c r="G5544">
        <v>50</v>
      </c>
      <c r="H5544">
        <v>13744</v>
      </c>
      <c r="I5544" s="1">
        <v>45536</v>
      </c>
      <c r="J5544">
        <v>955</v>
      </c>
      <c r="K5544" t="s">
        <v>23</v>
      </c>
    </row>
    <row r="5545" spans="1:11">
      <c r="A5545" s="1">
        <v>45561</v>
      </c>
      <c r="B5545" t="s">
        <v>40</v>
      </c>
      <c r="C5545" t="s">
        <v>22</v>
      </c>
      <c r="D5545">
        <v>3827</v>
      </c>
      <c r="E5545">
        <v>1541</v>
      </c>
      <c r="F5545">
        <v>405</v>
      </c>
      <c r="G5545">
        <v>40</v>
      </c>
      <c r="H5545">
        <v>5814</v>
      </c>
      <c r="I5545" s="1">
        <v>45536</v>
      </c>
      <c r="J5545">
        <v>445</v>
      </c>
      <c r="K5545" t="s">
        <v>23</v>
      </c>
    </row>
    <row r="5546" spans="1:11">
      <c r="A5546" s="1">
        <v>45561</v>
      </c>
      <c r="B5546" t="s">
        <v>40</v>
      </c>
      <c r="C5546" t="s">
        <v>46</v>
      </c>
      <c r="D5546">
        <v>2064</v>
      </c>
      <c r="E5546">
        <v>428</v>
      </c>
      <c r="F5546">
        <v>128</v>
      </c>
      <c r="G5546">
        <v>45</v>
      </c>
      <c r="H5546">
        <v>2664</v>
      </c>
      <c r="I5546" s="1">
        <v>45536</v>
      </c>
      <c r="J5546">
        <v>173</v>
      </c>
      <c r="K5546" t="s">
        <v>23</v>
      </c>
    </row>
    <row r="5547" spans="1:11">
      <c r="A5547" s="1">
        <v>45561</v>
      </c>
      <c r="B5547" t="s">
        <v>40</v>
      </c>
      <c r="C5547" t="s">
        <v>31</v>
      </c>
      <c r="D5547">
        <v>2493</v>
      </c>
      <c r="E5547">
        <v>485</v>
      </c>
      <c r="F5547">
        <v>128</v>
      </c>
      <c r="G5547">
        <v>66</v>
      </c>
      <c r="H5547">
        <v>3172</v>
      </c>
      <c r="I5547" s="1">
        <v>45536</v>
      </c>
      <c r="J5547">
        <v>194</v>
      </c>
      <c r="K5547" t="s">
        <v>23</v>
      </c>
    </row>
    <row r="5548" spans="1:11">
      <c r="A5548" s="1">
        <v>45561</v>
      </c>
      <c r="B5548" t="s">
        <v>40</v>
      </c>
      <c r="C5548" t="s">
        <v>63</v>
      </c>
      <c r="D5548">
        <v>5771</v>
      </c>
      <c r="E5548">
        <v>2731</v>
      </c>
      <c r="F5548">
        <v>1512</v>
      </c>
      <c r="G5548">
        <v>1263</v>
      </c>
      <c r="H5548">
        <v>11277</v>
      </c>
      <c r="I5548" s="1">
        <v>45536</v>
      </c>
      <c r="J5548">
        <v>2775</v>
      </c>
      <c r="K5548" t="s">
        <v>23</v>
      </c>
    </row>
    <row r="5549" spans="1:11">
      <c r="A5549" s="1">
        <v>45561</v>
      </c>
      <c r="B5549" t="s">
        <v>40</v>
      </c>
      <c r="C5549" t="s">
        <v>60</v>
      </c>
      <c r="D5549">
        <v>7180</v>
      </c>
      <c r="E5549">
        <v>2095</v>
      </c>
      <c r="F5549">
        <v>1029</v>
      </c>
      <c r="G5549">
        <v>1249</v>
      </c>
      <c r="H5549">
        <v>11554</v>
      </c>
      <c r="I5549" s="1">
        <v>45536</v>
      </c>
      <c r="J5549">
        <v>2278</v>
      </c>
      <c r="K5549" t="s">
        <v>23</v>
      </c>
    </row>
    <row r="5550" spans="1:11">
      <c r="A5550" s="1">
        <v>45561</v>
      </c>
      <c r="B5550" t="s">
        <v>40</v>
      </c>
      <c r="C5550" t="s">
        <v>61</v>
      </c>
      <c r="D5550">
        <v>14218</v>
      </c>
      <c r="E5550">
        <v>6872</v>
      </c>
      <c r="F5550">
        <v>3330</v>
      </c>
      <c r="G5550">
        <v>3742</v>
      </c>
      <c r="H5550">
        <v>28162</v>
      </c>
      <c r="I5550" s="1">
        <v>45536</v>
      </c>
      <c r="J5550">
        <v>7072</v>
      </c>
      <c r="K5550" t="s">
        <v>23</v>
      </c>
    </row>
    <row r="5551" spans="1:11">
      <c r="A5551" s="1">
        <v>45561</v>
      </c>
      <c r="B5551" t="s">
        <v>40</v>
      </c>
      <c r="C5551" t="s">
        <v>62</v>
      </c>
      <c r="D5551">
        <v>2373</v>
      </c>
      <c r="E5551">
        <v>1403</v>
      </c>
      <c r="F5551">
        <v>1229</v>
      </c>
      <c r="G5551">
        <v>4366</v>
      </c>
      <c r="H5551">
        <v>9371</v>
      </c>
      <c r="I5551" s="1">
        <v>45536</v>
      </c>
      <c r="J5551">
        <v>5595</v>
      </c>
      <c r="K5551" t="s">
        <v>23</v>
      </c>
    </row>
    <row r="5552" spans="1:11">
      <c r="A5552" s="1">
        <v>45561</v>
      </c>
      <c r="B5552" t="s">
        <v>40</v>
      </c>
      <c r="C5552" t="s">
        <v>69</v>
      </c>
      <c r="D5552">
        <v>17626</v>
      </c>
      <c r="E5552">
        <v>4879</v>
      </c>
      <c r="F5552">
        <v>1274</v>
      </c>
      <c r="G5552">
        <v>919</v>
      </c>
      <c r="H5552">
        <v>24698</v>
      </c>
      <c r="I5552" s="1">
        <v>45536</v>
      </c>
      <c r="J5552">
        <v>2193</v>
      </c>
      <c r="K5552" t="s">
        <v>23</v>
      </c>
    </row>
    <row r="5553" spans="1:11">
      <c r="A5553" s="1">
        <v>45561</v>
      </c>
      <c r="B5553" t="s">
        <v>40</v>
      </c>
      <c r="C5553" t="s">
        <v>29</v>
      </c>
      <c r="D5553">
        <v>3813</v>
      </c>
      <c r="E5553">
        <v>1250</v>
      </c>
      <c r="F5553">
        <v>837</v>
      </c>
      <c r="G5553">
        <v>427</v>
      </c>
      <c r="H5553">
        <v>6326</v>
      </c>
      <c r="I5553" s="1">
        <v>45536</v>
      </c>
      <c r="J5553">
        <v>1264</v>
      </c>
      <c r="K5553" t="s">
        <v>23</v>
      </c>
    </row>
    <row r="5554" spans="1:11">
      <c r="A5554" s="1">
        <v>45561</v>
      </c>
      <c r="B5554" t="s">
        <v>40</v>
      </c>
      <c r="C5554" t="s">
        <v>70</v>
      </c>
      <c r="D5554">
        <v>2660</v>
      </c>
      <c r="E5554">
        <v>963</v>
      </c>
      <c r="F5554">
        <v>505</v>
      </c>
      <c r="G5554">
        <v>354</v>
      </c>
      <c r="H5554">
        <v>4482</v>
      </c>
      <c r="I5554" s="1">
        <v>45536</v>
      </c>
      <c r="J5554">
        <v>859</v>
      </c>
      <c r="K5554" t="s">
        <v>23</v>
      </c>
    </row>
    <row r="5555" spans="1:11">
      <c r="A5555" s="1">
        <v>45561</v>
      </c>
      <c r="B5555" t="s">
        <v>40</v>
      </c>
      <c r="C5555" t="s">
        <v>71</v>
      </c>
      <c r="D5555">
        <v>19169</v>
      </c>
      <c r="E5555">
        <v>7420</v>
      </c>
      <c r="F5555">
        <v>3463</v>
      </c>
      <c r="G5555">
        <v>1450</v>
      </c>
      <c r="H5555">
        <v>31503</v>
      </c>
      <c r="I5555" s="1">
        <v>45536</v>
      </c>
      <c r="J5555">
        <v>4913</v>
      </c>
      <c r="K5555" t="s">
        <v>23</v>
      </c>
    </row>
    <row r="5556" spans="1:11">
      <c r="A5556" s="1">
        <v>45561</v>
      </c>
      <c r="B5556" t="s">
        <v>40</v>
      </c>
      <c r="C5556" t="s">
        <v>36</v>
      </c>
      <c r="D5556">
        <v>15653</v>
      </c>
      <c r="E5556">
        <v>7667</v>
      </c>
      <c r="F5556">
        <v>4101</v>
      </c>
      <c r="G5556">
        <v>2617</v>
      </c>
      <c r="H5556">
        <v>30038</v>
      </c>
      <c r="I5556" s="1">
        <v>45536</v>
      </c>
      <c r="J5556">
        <v>6718</v>
      </c>
      <c r="K5556" t="s">
        <v>23</v>
      </c>
    </row>
    <row r="5557" spans="1:11">
      <c r="A5557" s="1">
        <v>45561</v>
      </c>
      <c r="B5557" t="s">
        <v>40</v>
      </c>
      <c r="C5557" t="s">
        <v>32</v>
      </c>
      <c r="D5557">
        <v>2420</v>
      </c>
      <c r="E5557">
        <v>688</v>
      </c>
      <c r="F5557">
        <v>292</v>
      </c>
      <c r="G5557">
        <v>28</v>
      </c>
      <c r="H5557">
        <v>3428</v>
      </c>
      <c r="I5557" s="1">
        <v>45536</v>
      </c>
      <c r="J5557">
        <v>320</v>
      </c>
      <c r="K5557" t="s">
        <v>23</v>
      </c>
    </row>
    <row r="5558" spans="1:11">
      <c r="A5558" s="1">
        <v>45561</v>
      </c>
      <c r="B5558" t="s">
        <v>40</v>
      </c>
      <c r="C5558" t="s">
        <v>44</v>
      </c>
      <c r="D5558">
        <v>6557</v>
      </c>
      <c r="E5558">
        <v>2649</v>
      </c>
      <c r="F5558">
        <v>992</v>
      </c>
      <c r="G5558">
        <v>318</v>
      </c>
      <c r="H5558">
        <v>10516</v>
      </c>
      <c r="I5558" s="1">
        <v>45536</v>
      </c>
      <c r="J5558">
        <v>1310</v>
      </c>
      <c r="K5558" t="s">
        <v>23</v>
      </c>
    </row>
    <row r="5559" spans="1:11">
      <c r="A5559" s="1">
        <v>45561</v>
      </c>
      <c r="B5559" t="s">
        <v>40</v>
      </c>
      <c r="C5559" t="s">
        <v>59</v>
      </c>
      <c r="D5559">
        <v>14990</v>
      </c>
      <c r="E5559">
        <v>4098</v>
      </c>
      <c r="F5559">
        <v>1820</v>
      </c>
      <c r="G5559">
        <v>841</v>
      </c>
      <c r="H5559">
        <v>21749</v>
      </c>
      <c r="I5559" s="1">
        <v>45536</v>
      </c>
      <c r="J5559">
        <v>2661</v>
      </c>
      <c r="K5559" t="s">
        <v>23</v>
      </c>
    </row>
    <row r="5560" spans="1:11">
      <c r="A5560" s="1">
        <v>45561</v>
      </c>
      <c r="B5560" t="s">
        <v>40</v>
      </c>
      <c r="C5560" t="s">
        <v>67</v>
      </c>
      <c r="D5560">
        <v>20311</v>
      </c>
      <c r="E5560">
        <v>9694</v>
      </c>
      <c r="F5560">
        <v>5149</v>
      </c>
      <c r="G5560">
        <v>4729</v>
      </c>
      <c r="H5560">
        <v>39883</v>
      </c>
      <c r="I5560" s="1">
        <v>45536</v>
      </c>
      <c r="J5560">
        <v>9878</v>
      </c>
      <c r="K5560" t="s">
        <v>23</v>
      </c>
    </row>
    <row r="5561" spans="1:11">
      <c r="A5561" s="1">
        <v>45561</v>
      </c>
      <c r="B5561" t="s">
        <v>40</v>
      </c>
      <c r="C5561" t="s">
        <v>49</v>
      </c>
      <c r="D5561">
        <v>3022</v>
      </c>
      <c r="E5561">
        <v>595</v>
      </c>
      <c r="F5561">
        <v>106</v>
      </c>
      <c r="G5561">
        <v>85</v>
      </c>
      <c r="H5561">
        <v>3808</v>
      </c>
      <c r="I5561" s="1">
        <v>45536</v>
      </c>
      <c r="J5561">
        <v>191</v>
      </c>
      <c r="K5561" t="s">
        <v>23</v>
      </c>
    </row>
    <row r="5562" spans="1:11">
      <c r="A5562" s="1">
        <v>45596</v>
      </c>
      <c r="B5562" t="s">
        <v>40</v>
      </c>
      <c r="C5562" t="s">
        <v>48</v>
      </c>
      <c r="D5562">
        <v>25722</v>
      </c>
      <c r="E5562">
        <v>13259</v>
      </c>
      <c r="F5562">
        <v>2997</v>
      </c>
      <c r="G5562">
        <v>341</v>
      </c>
      <c r="H5562">
        <v>42318</v>
      </c>
      <c r="I5562" s="1">
        <v>45566</v>
      </c>
      <c r="J5562">
        <v>3338</v>
      </c>
      <c r="K5562" t="s">
        <v>23</v>
      </c>
    </row>
    <row r="5563" spans="1:11">
      <c r="A5563" s="1">
        <v>45596</v>
      </c>
      <c r="B5563" t="s">
        <v>40</v>
      </c>
      <c r="C5563" t="s">
        <v>41</v>
      </c>
      <c r="D5563">
        <v>4633</v>
      </c>
      <c r="E5563">
        <v>1419</v>
      </c>
      <c r="F5563">
        <v>430</v>
      </c>
      <c r="G5563">
        <v>35</v>
      </c>
      <c r="H5563">
        <v>6517</v>
      </c>
      <c r="I5563" s="1">
        <v>45566</v>
      </c>
      <c r="J5563">
        <v>465</v>
      </c>
      <c r="K5563" t="s">
        <v>23</v>
      </c>
    </row>
    <row r="5564" spans="1:11">
      <c r="A5564" s="1">
        <v>45596</v>
      </c>
      <c r="B5564" t="s">
        <v>40</v>
      </c>
      <c r="C5564" t="s">
        <v>33</v>
      </c>
      <c r="D5564">
        <v>1738</v>
      </c>
      <c r="E5564">
        <v>733</v>
      </c>
      <c r="F5564">
        <v>111</v>
      </c>
      <c r="G5564">
        <v>7</v>
      </c>
      <c r="H5564">
        <v>2588</v>
      </c>
      <c r="I5564" s="1">
        <v>45566</v>
      </c>
      <c r="J5564">
        <v>118</v>
      </c>
      <c r="K5564" t="s">
        <v>23</v>
      </c>
    </row>
    <row r="5565" spans="1:11">
      <c r="A5565" s="1">
        <v>45596</v>
      </c>
      <c r="B5565" t="s">
        <v>40</v>
      </c>
      <c r="C5565" t="s">
        <v>65</v>
      </c>
      <c r="D5565">
        <v>13281</v>
      </c>
      <c r="E5565">
        <v>6342</v>
      </c>
      <c r="F5565">
        <v>2595</v>
      </c>
      <c r="G5565">
        <v>4660</v>
      </c>
      <c r="H5565">
        <v>26878</v>
      </c>
      <c r="I5565" s="1">
        <v>45566</v>
      </c>
      <c r="J5565">
        <v>7255</v>
      </c>
      <c r="K5565" t="s">
        <v>23</v>
      </c>
    </row>
    <row r="5566" spans="1:11">
      <c r="A5566" s="1">
        <v>45596</v>
      </c>
      <c r="B5566" t="s">
        <v>40</v>
      </c>
      <c r="C5566" t="s">
        <v>27</v>
      </c>
      <c r="D5566">
        <v>3238</v>
      </c>
      <c r="E5566">
        <v>1544</v>
      </c>
      <c r="F5566">
        <v>609</v>
      </c>
      <c r="G5566">
        <v>312</v>
      </c>
      <c r="H5566">
        <v>5703</v>
      </c>
      <c r="I5566" s="1">
        <v>45566</v>
      </c>
      <c r="J5566">
        <v>921</v>
      </c>
      <c r="K5566" t="s">
        <v>23</v>
      </c>
    </row>
    <row r="5567" spans="1:11">
      <c r="A5567" s="1">
        <v>45596</v>
      </c>
      <c r="B5567" t="s">
        <v>40</v>
      </c>
      <c r="C5567" t="s">
        <v>37</v>
      </c>
      <c r="D5567">
        <v>495</v>
      </c>
      <c r="E5567">
        <v>304</v>
      </c>
      <c r="F5567">
        <v>257</v>
      </c>
      <c r="G5567">
        <v>124</v>
      </c>
      <c r="H5567">
        <v>1181</v>
      </c>
      <c r="I5567" s="1">
        <v>45566</v>
      </c>
      <c r="J5567">
        <v>381</v>
      </c>
      <c r="K5567" t="s">
        <v>23</v>
      </c>
    </row>
    <row r="5568" spans="1:11">
      <c r="A5568" s="1">
        <v>45596</v>
      </c>
      <c r="B5568" t="s">
        <v>40</v>
      </c>
      <c r="C5568" t="s">
        <v>66</v>
      </c>
      <c r="D5568">
        <v>23048</v>
      </c>
      <c r="E5568">
        <v>7720</v>
      </c>
      <c r="F5568">
        <v>3543</v>
      </c>
      <c r="G5568">
        <v>5277</v>
      </c>
      <c r="H5568">
        <v>39588</v>
      </c>
      <c r="I5568" s="1">
        <v>45566</v>
      </c>
      <c r="J5568">
        <v>8820</v>
      </c>
      <c r="K5568" t="s">
        <v>23</v>
      </c>
    </row>
    <row r="5569" spans="1:11">
      <c r="A5569" s="1">
        <v>45596</v>
      </c>
      <c r="B5569" t="s">
        <v>40</v>
      </c>
      <c r="C5569" t="s">
        <v>57</v>
      </c>
      <c r="D5569">
        <v>9482</v>
      </c>
      <c r="E5569">
        <v>2483</v>
      </c>
      <c r="F5569">
        <v>782</v>
      </c>
      <c r="G5569">
        <v>920</v>
      </c>
      <c r="H5569">
        <v>13667</v>
      </c>
      <c r="I5569" s="1">
        <v>45566</v>
      </c>
      <c r="J5569">
        <v>1702</v>
      </c>
      <c r="K5569" t="s">
        <v>23</v>
      </c>
    </row>
    <row r="5570" spans="1:11">
      <c r="A5570" s="1">
        <v>45596</v>
      </c>
      <c r="B5570" t="s">
        <v>40</v>
      </c>
      <c r="C5570" t="s">
        <v>42</v>
      </c>
      <c r="D5570">
        <v>1482</v>
      </c>
      <c r="E5570">
        <v>406</v>
      </c>
      <c r="F5570">
        <v>13</v>
      </c>
      <c r="G5570">
        <v>16</v>
      </c>
      <c r="H5570">
        <v>1918</v>
      </c>
      <c r="I5570" s="1">
        <v>45566</v>
      </c>
      <c r="J5570">
        <v>29</v>
      </c>
      <c r="K5570" t="s">
        <v>23</v>
      </c>
    </row>
    <row r="5571" spans="1:11">
      <c r="A5571" s="1">
        <v>45596</v>
      </c>
      <c r="B5571" t="s">
        <v>40</v>
      </c>
      <c r="C5571" t="s">
        <v>28</v>
      </c>
      <c r="D5571">
        <v>2333</v>
      </c>
      <c r="E5571">
        <v>1044</v>
      </c>
      <c r="F5571">
        <v>337</v>
      </c>
      <c r="G5571">
        <v>247</v>
      </c>
      <c r="H5571">
        <v>3961</v>
      </c>
      <c r="I5571" s="1">
        <v>45566</v>
      </c>
      <c r="J5571">
        <v>584</v>
      </c>
      <c r="K5571" t="s">
        <v>23</v>
      </c>
    </row>
    <row r="5572" spans="1:11">
      <c r="A5572" s="1">
        <v>45596</v>
      </c>
      <c r="B5572" t="s">
        <v>40</v>
      </c>
      <c r="C5572" t="s">
        <v>68</v>
      </c>
      <c r="D5572">
        <v>23889</v>
      </c>
      <c r="E5572">
        <v>6600</v>
      </c>
      <c r="F5572">
        <v>2922</v>
      </c>
      <c r="G5572">
        <v>4494</v>
      </c>
      <c r="H5572">
        <v>37905</v>
      </c>
      <c r="I5572" s="1">
        <v>45566</v>
      </c>
      <c r="J5572">
        <v>7416</v>
      </c>
      <c r="K5572" t="s">
        <v>23</v>
      </c>
    </row>
    <row r="5573" spans="1:11">
      <c r="A5573" s="1">
        <v>45596</v>
      </c>
      <c r="B5573" t="s">
        <v>40</v>
      </c>
      <c r="C5573" t="s">
        <v>47</v>
      </c>
      <c r="D5573">
        <v>4007</v>
      </c>
      <c r="E5573">
        <v>949</v>
      </c>
      <c r="F5573">
        <v>207</v>
      </c>
      <c r="G5573">
        <v>286</v>
      </c>
      <c r="H5573">
        <v>5448</v>
      </c>
      <c r="I5573" s="1">
        <v>45566</v>
      </c>
      <c r="J5573">
        <v>493</v>
      </c>
      <c r="K5573" t="s">
        <v>23</v>
      </c>
    </row>
    <row r="5574" spans="1:11">
      <c r="A5574" s="1">
        <v>45596</v>
      </c>
      <c r="B5574" t="s">
        <v>40</v>
      </c>
      <c r="C5574" t="s">
        <v>25</v>
      </c>
      <c r="D5574">
        <v>3205</v>
      </c>
      <c r="E5574">
        <v>1338</v>
      </c>
      <c r="F5574">
        <v>364</v>
      </c>
      <c r="G5574">
        <v>536</v>
      </c>
      <c r="H5574">
        <v>5444</v>
      </c>
      <c r="I5574" s="1">
        <v>45566</v>
      </c>
      <c r="J5574">
        <v>900</v>
      </c>
      <c r="K5574" t="s">
        <v>23</v>
      </c>
    </row>
    <row r="5575" spans="1:11">
      <c r="A5575" s="1">
        <v>45596</v>
      </c>
      <c r="B5575" t="s">
        <v>40</v>
      </c>
      <c r="C5575" t="s">
        <v>51</v>
      </c>
      <c r="D5575">
        <v>4851</v>
      </c>
      <c r="E5575">
        <v>1550</v>
      </c>
      <c r="F5575">
        <v>632</v>
      </c>
      <c r="G5575">
        <v>879</v>
      </c>
      <c r="H5575">
        <v>7911</v>
      </c>
      <c r="I5575" s="1">
        <v>45566</v>
      </c>
      <c r="J5575">
        <v>1511</v>
      </c>
      <c r="K5575" t="s">
        <v>23</v>
      </c>
    </row>
    <row r="5576" spans="1:11">
      <c r="A5576" s="1">
        <v>45596</v>
      </c>
      <c r="B5576" t="s">
        <v>40</v>
      </c>
      <c r="C5576" t="s">
        <v>45</v>
      </c>
      <c r="D5576">
        <v>2778</v>
      </c>
      <c r="E5576">
        <v>665</v>
      </c>
      <c r="F5576">
        <v>327</v>
      </c>
      <c r="G5576">
        <v>263</v>
      </c>
      <c r="H5576">
        <v>4033</v>
      </c>
      <c r="I5576" s="1">
        <v>45566</v>
      </c>
      <c r="J5576">
        <v>590</v>
      </c>
      <c r="K5576" t="s">
        <v>23</v>
      </c>
    </row>
    <row r="5577" spans="1:11">
      <c r="A5577" s="1">
        <v>45596</v>
      </c>
      <c r="B5577" t="s">
        <v>40</v>
      </c>
      <c r="C5577" t="s">
        <v>39</v>
      </c>
      <c r="D5577">
        <v>6611</v>
      </c>
      <c r="E5577">
        <v>2684</v>
      </c>
      <c r="F5577">
        <v>725</v>
      </c>
      <c r="G5577">
        <v>89</v>
      </c>
      <c r="H5577">
        <v>10110</v>
      </c>
      <c r="I5577" s="1">
        <v>45566</v>
      </c>
      <c r="J5577">
        <v>814</v>
      </c>
      <c r="K5577" t="s">
        <v>23</v>
      </c>
    </row>
    <row r="5578" spans="1:11">
      <c r="A5578" s="1">
        <v>45596</v>
      </c>
      <c r="B5578" t="s">
        <v>40</v>
      </c>
      <c r="C5578" t="s">
        <v>38</v>
      </c>
      <c r="D5578">
        <v>2248</v>
      </c>
      <c r="E5578">
        <v>663</v>
      </c>
      <c r="F5578">
        <v>115</v>
      </c>
      <c r="G5578">
        <v>1</v>
      </c>
      <c r="H5578">
        <v>3027</v>
      </c>
      <c r="I5578" s="1">
        <v>45566</v>
      </c>
      <c r="J5578">
        <v>116</v>
      </c>
      <c r="K5578" t="s">
        <v>23</v>
      </c>
    </row>
    <row r="5579" spans="1:11">
      <c r="A5579" s="1">
        <v>45596</v>
      </c>
      <c r="B5579" t="s">
        <v>40</v>
      </c>
      <c r="C5579" t="s">
        <v>54</v>
      </c>
      <c r="D5579">
        <v>2339</v>
      </c>
      <c r="E5579">
        <v>1338</v>
      </c>
      <c r="F5579">
        <v>606</v>
      </c>
      <c r="G5579">
        <v>209</v>
      </c>
      <c r="H5579">
        <v>4492</v>
      </c>
      <c r="I5579" s="1">
        <v>45566</v>
      </c>
      <c r="J5579">
        <v>815</v>
      </c>
      <c r="K5579" t="s">
        <v>23</v>
      </c>
    </row>
    <row r="5580" spans="1:11">
      <c r="A5580" s="1">
        <v>45596</v>
      </c>
      <c r="B5580" t="s">
        <v>40</v>
      </c>
      <c r="C5580" t="s">
        <v>35</v>
      </c>
      <c r="D5580">
        <v>381</v>
      </c>
      <c r="E5580">
        <v>253</v>
      </c>
      <c r="F5580">
        <v>223</v>
      </c>
      <c r="G5580">
        <v>117</v>
      </c>
      <c r="H5580">
        <v>974</v>
      </c>
      <c r="I5580" s="1">
        <v>45566</v>
      </c>
      <c r="J5580">
        <v>340</v>
      </c>
      <c r="K5580" t="s">
        <v>23</v>
      </c>
    </row>
    <row r="5581" spans="1:11">
      <c r="A5581" s="1">
        <v>45596</v>
      </c>
      <c r="B5581" t="s">
        <v>40</v>
      </c>
      <c r="C5581" t="s">
        <v>52</v>
      </c>
      <c r="D5581">
        <v>9304</v>
      </c>
      <c r="E5581">
        <v>3680</v>
      </c>
      <c r="F5581">
        <v>977</v>
      </c>
      <c r="G5581">
        <v>74</v>
      </c>
      <c r="H5581">
        <v>14034</v>
      </c>
      <c r="I5581" s="1">
        <v>45566</v>
      </c>
      <c r="J5581">
        <v>1051</v>
      </c>
      <c r="K5581" t="s">
        <v>23</v>
      </c>
    </row>
    <row r="5582" spans="1:11">
      <c r="A5582" s="1">
        <v>45596</v>
      </c>
      <c r="B5582" t="s">
        <v>40</v>
      </c>
      <c r="C5582" t="s">
        <v>22</v>
      </c>
      <c r="D5582">
        <v>3836</v>
      </c>
      <c r="E5582">
        <v>1479</v>
      </c>
      <c r="F5582">
        <v>418</v>
      </c>
      <c r="G5582">
        <v>16</v>
      </c>
      <c r="H5582">
        <v>5749</v>
      </c>
      <c r="I5582" s="1">
        <v>45566</v>
      </c>
      <c r="J5582">
        <v>434</v>
      </c>
      <c r="K5582" t="s">
        <v>23</v>
      </c>
    </row>
    <row r="5583" spans="1:11">
      <c r="A5583" s="1">
        <v>45596</v>
      </c>
      <c r="B5583" t="s">
        <v>40</v>
      </c>
      <c r="C5583" t="s">
        <v>46</v>
      </c>
      <c r="D5583">
        <v>2078</v>
      </c>
      <c r="E5583">
        <v>415</v>
      </c>
      <c r="F5583">
        <v>87</v>
      </c>
      <c r="G5583">
        <v>17</v>
      </c>
      <c r="H5583">
        <v>2596</v>
      </c>
      <c r="I5583" s="1">
        <v>45566</v>
      </c>
      <c r="J5583">
        <v>104</v>
      </c>
      <c r="K5583" t="s">
        <v>23</v>
      </c>
    </row>
    <row r="5584" spans="1:11">
      <c r="A5584" s="1">
        <v>45596</v>
      </c>
      <c r="B5584" t="s">
        <v>40</v>
      </c>
      <c r="C5584" t="s">
        <v>31</v>
      </c>
      <c r="D5584">
        <v>2384</v>
      </c>
      <c r="E5584">
        <v>474</v>
      </c>
      <c r="F5584">
        <v>111</v>
      </c>
      <c r="G5584">
        <v>70</v>
      </c>
      <c r="H5584">
        <v>3040</v>
      </c>
      <c r="I5584" s="1">
        <v>45566</v>
      </c>
      <c r="J5584">
        <v>181</v>
      </c>
      <c r="K5584" t="s">
        <v>23</v>
      </c>
    </row>
    <row r="5585" spans="1:11">
      <c r="A5585" s="1">
        <v>45596</v>
      </c>
      <c r="B5585" t="s">
        <v>40</v>
      </c>
      <c r="C5585" t="s">
        <v>63</v>
      </c>
      <c r="D5585">
        <v>5940</v>
      </c>
      <c r="E5585">
        <v>2767</v>
      </c>
      <c r="F5585">
        <v>1584</v>
      </c>
      <c r="G5585">
        <v>1295</v>
      </c>
      <c r="H5585">
        <v>11586</v>
      </c>
      <c r="I5585" s="1">
        <v>45566</v>
      </c>
      <c r="J5585">
        <v>2879</v>
      </c>
      <c r="K5585" t="s">
        <v>23</v>
      </c>
    </row>
    <row r="5586" spans="1:11">
      <c r="A5586" s="1">
        <v>45596</v>
      </c>
      <c r="B5586" t="s">
        <v>40</v>
      </c>
      <c r="C5586" t="s">
        <v>60</v>
      </c>
      <c r="D5586">
        <v>6990</v>
      </c>
      <c r="E5586">
        <v>2057</v>
      </c>
      <c r="F5586">
        <v>1009</v>
      </c>
      <c r="G5586">
        <v>1113</v>
      </c>
      <c r="H5586">
        <v>11170</v>
      </c>
      <c r="I5586" s="1">
        <v>45566</v>
      </c>
      <c r="J5586">
        <v>2122</v>
      </c>
      <c r="K5586" t="s">
        <v>23</v>
      </c>
    </row>
    <row r="5587" spans="1:11">
      <c r="A5587" s="1">
        <v>45596</v>
      </c>
      <c r="B5587" t="s">
        <v>40</v>
      </c>
      <c r="C5587" t="s">
        <v>61</v>
      </c>
      <c r="D5587">
        <v>14203</v>
      </c>
      <c r="E5587">
        <v>6865</v>
      </c>
      <c r="F5587">
        <v>3112</v>
      </c>
      <c r="G5587">
        <v>3989</v>
      </c>
      <c r="H5587">
        <v>28168</v>
      </c>
      <c r="I5587" s="1">
        <v>45566</v>
      </c>
      <c r="J5587">
        <v>7101</v>
      </c>
      <c r="K5587" t="s">
        <v>23</v>
      </c>
    </row>
    <row r="5588" spans="1:11">
      <c r="A5588" s="1">
        <v>45596</v>
      </c>
      <c r="B5588" t="s">
        <v>40</v>
      </c>
      <c r="C5588" t="s">
        <v>62</v>
      </c>
      <c r="D5588">
        <v>2427</v>
      </c>
      <c r="E5588">
        <v>1440</v>
      </c>
      <c r="F5588">
        <v>1154</v>
      </c>
      <c r="G5588">
        <v>4476</v>
      </c>
      <c r="H5588">
        <v>9497</v>
      </c>
      <c r="I5588" s="1">
        <v>45566</v>
      </c>
      <c r="J5588">
        <v>5630</v>
      </c>
      <c r="K5588" t="s">
        <v>23</v>
      </c>
    </row>
    <row r="5589" spans="1:11">
      <c r="A5589" s="1">
        <v>45596</v>
      </c>
      <c r="B5589" t="s">
        <v>40</v>
      </c>
      <c r="C5589" t="s">
        <v>69</v>
      </c>
      <c r="D5589">
        <v>16972</v>
      </c>
      <c r="E5589">
        <v>4624</v>
      </c>
      <c r="F5589">
        <v>1266</v>
      </c>
      <c r="G5589">
        <v>842</v>
      </c>
      <c r="H5589">
        <v>23704</v>
      </c>
      <c r="I5589" s="1">
        <v>45566</v>
      </c>
      <c r="J5589">
        <v>2108</v>
      </c>
      <c r="K5589" t="s">
        <v>23</v>
      </c>
    </row>
    <row r="5590" spans="1:11">
      <c r="A5590" s="1">
        <v>45596</v>
      </c>
      <c r="B5590" t="s">
        <v>40</v>
      </c>
      <c r="C5590" t="s">
        <v>24</v>
      </c>
      <c r="D5590">
        <v>343</v>
      </c>
      <c r="E5590">
        <v>161</v>
      </c>
      <c r="F5590">
        <v>53</v>
      </c>
      <c r="G5590">
        <v>12</v>
      </c>
      <c r="H5590">
        <v>568</v>
      </c>
      <c r="I5590" s="1">
        <v>45566</v>
      </c>
      <c r="J5590">
        <v>65</v>
      </c>
      <c r="K5590" t="s">
        <v>23</v>
      </c>
    </row>
    <row r="5591" spans="1:11">
      <c r="A5591" s="1">
        <v>45596</v>
      </c>
      <c r="B5591" t="s">
        <v>40</v>
      </c>
      <c r="C5591" t="s">
        <v>29</v>
      </c>
      <c r="D5591">
        <v>3590</v>
      </c>
      <c r="E5591">
        <v>1291</v>
      </c>
      <c r="F5591">
        <v>918</v>
      </c>
      <c r="G5591">
        <v>578</v>
      </c>
      <c r="H5591">
        <v>6378</v>
      </c>
      <c r="I5591" s="1">
        <v>45566</v>
      </c>
      <c r="J5591">
        <v>1496</v>
      </c>
      <c r="K5591" t="s">
        <v>23</v>
      </c>
    </row>
    <row r="5592" spans="1:11">
      <c r="A5592" s="1">
        <v>45596</v>
      </c>
      <c r="B5592" t="s">
        <v>40</v>
      </c>
      <c r="C5592" t="s">
        <v>70</v>
      </c>
      <c r="D5592">
        <v>2682</v>
      </c>
      <c r="E5592">
        <v>1028</v>
      </c>
      <c r="F5592">
        <v>560</v>
      </c>
      <c r="G5592">
        <v>342</v>
      </c>
      <c r="H5592">
        <v>4612</v>
      </c>
      <c r="I5592" s="1">
        <v>45566</v>
      </c>
      <c r="J5592">
        <v>902</v>
      </c>
      <c r="K5592" t="s">
        <v>23</v>
      </c>
    </row>
    <row r="5593" spans="1:11">
      <c r="A5593" s="1">
        <v>45596</v>
      </c>
      <c r="B5593" t="s">
        <v>40</v>
      </c>
      <c r="C5593" t="s">
        <v>71</v>
      </c>
      <c r="D5593">
        <v>18739</v>
      </c>
      <c r="E5593">
        <v>7747</v>
      </c>
      <c r="F5593">
        <v>3488</v>
      </c>
      <c r="G5593">
        <v>1496</v>
      </c>
      <c r="H5593">
        <v>31469</v>
      </c>
      <c r="I5593" s="1">
        <v>45566</v>
      </c>
      <c r="J5593">
        <v>4984</v>
      </c>
      <c r="K5593" t="s">
        <v>23</v>
      </c>
    </row>
    <row r="5594" spans="1:11">
      <c r="A5594" s="1">
        <v>45596</v>
      </c>
      <c r="B5594" t="s">
        <v>40</v>
      </c>
      <c r="C5594" t="s">
        <v>36</v>
      </c>
      <c r="D5594">
        <v>15657</v>
      </c>
      <c r="E5594">
        <v>7723</v>
      </c>
      <c r="F5594">
        <v>4084</v>
      </c>
      <c r="G5594">
        <v>2335</v>
      </c>
      <c r="H5594">
        <v>29799</v>
      </c>
      <c r="I5594" s="1">
        <v>45566</v>
      </c>
      <c r="J5594">
        <v>6419</v>
      </c>
      <c r="K5594" t="s">
        <v>23</v>
      </c>
    </row>
    <row r="5595" spans="1:11">
      <c r="A5595" s="1">
        <v>45596</v>
      </c>
      <c r="B5595" t="s">
        <v>40</v>
      </c>
      <c r="C5595" t="s">
        <v>32</v>
      </c>
      <c r="D5595">
        <v>2462</v>
      </c>
      <c r="E5595">
        <v>657</v>
      </c>
      <c r="F5595">
        <v>292</v>
      </c>
      <c r="G5595">
        <v>39</v>
      </c>
      <c r="H5595">
        <v>3450</v>
      </c>
      <c r="I5595" s="1">
        <v>45566</v>
      </c>
      <c r="J5595">
        <v>331</v>
      </c>
      <c r="K5595" t="s">
        <v>23</v>
      </c>
    </row>
    <row r="5596" spans="1:11">
      <c r="A5596" s="1">
        <v>45596</v>
      </c>
      <c r="B5596" t="s">
        <v>40</v>
      </c>
      <c r="C5596" t="s">
        <v>44</v>
      </c>
      <c r="D5596">
        <v>6195</v>
      </c>
      <c r="E5596">
        <v>2622</v>
      </c>
      <c r="F5596">
        <v>746</v>
      </c>
      <c r="G5596">
        <v>369</v>
      </c>
      <c r="H5596">
        <v>9933</v>
      </c>
      <c r="I5596" s="1">
        <v>45566</v>
      </c>
      <c r="J5596">
        <v>1115</v>
      </c>
      <c r="K5596" t="s">
        <v>23</v>
      </c>
    </row>
    <row r="5597" spans="1:11">
      <c r="A5597" s="1">
        <v>45596</v>
      </c>
      <c r="B5597" t="s">
        <v>40</v>
      </c>
      <c r="C5597" t="s">
        <v>59</v>
      </c>
      <c r="D5597">
        <v>15115</v>
      </c>
      <c r="E5597">
        <v>4266</v>
      </c>
      <c r="F5597">
        <v>1741</v>
      </c>
      <c r="G5597">
        <v>783</v>
      </c>
      <c r="H5597">
        <v>21906</v>
      </c>
      <c r="I5597" s="1">
        <v>45566</v>
      </c>
      <c r="J5597">
        <v>2524</v>
      </c>
      <c r="K5597" t="s">
        <v>23</v>
      </c>
    </row>
    <row r="5598" spans="1:11">
      <c r="A5598" s="1">
        <v>45596</v>
      </c>
      <c r="B5598" t="s">
        <v>40</v>
      </c>
      <c r="C5598" t="s">
        <v>67</v>
      </c>
      <c r="D5598">
        <v>20433</v>
      </c>
      <c r="E5598">
        <v>9659</v>
      </c>
      <c r="F5598">
        <v>5236</v>
      </c>
      <c r="G5598">
        <v>4768</v>
      </c>
      <c r="H5598">
        <v>40097</v>
      </c>
      <c r="I5598" s="1">
        <v>45566</v>
      </c>
      <c r="J5598">
        <v>10004</v>
      </c>
      <c r="K5598" t="s">
        <v>23</v>
      </c>
    </row>
    <row r="5599" spans="1:11">
      <c r="A5599" s="1">
        <v>45596</v>
      </c>
      <c r="B5599" t="s">
        <v>40</v>
      </c>
      <c r="C5599" t="s">
        <v>49</v>
      </c>
      <c r="D5599">
        <v>2994</v>
      </c>
      <c r="E5599">
        <v>546</v>
      </c>
      <c r="F5599">
        <v>87</v>
      </c>
      <c r="G5599">
        <v>49</v>
      </c>
      <c r="H5599">
        <v>3677</v>
      </c>
      <c r="I5599" s="1">
        <v>45566</v>
      </c>
      <c r="J5599">
        <v>136</v>
      </c>
      <c r="K5599" t="s">
        <v>23</v>
      </c>
    </row>
    <row r="5600" spans="1:11">
      <c r="A5600" s="1">
        <v>45624</v>
      </c>
      <c r="B5600" t="s">
        <v>40</v>
      </c>
      <c r="C5600" t="s">
        <v>48</v>
      </c>
      <c r="D5600">
        <v>26009</v>
      </c>
      <c r="E5600">
        <v>10611</v>
      </c>
      <c r="F5600">
        <v>2329</v>
      </c>
      <c r="G5600">
        <v>288</v>
      </c>
      <c r="H5600">
        <v>39236</v>
      </c>
      <c r="I5600" s="1">
        <v>45597</v>
      </c>
      <c r="J5600">
        <v>2617</v>
      </c>
      <c r="K5600" t="s">
        <v>23</v>
      </c>
    </row>
    <row r="5601" spans="1:11">
      <c r="A5601" s="1">
        <v>45624</v>
      </c>
      <c r="B5601" t="s">
        <v>40</v>
      </c>
      <c r="C5601" t="s">
        <v>41</v>
      </c>
      <c r="D5601">
        <v>4550</v>
      </c>
      <c r="E5601">
        <v>1148</v>
      </c>
      <c r="F5601">
        <v>317</v>
      </c>
      <c r="G5601">
        <v>30</v>
      </c>
      <c r="H5601">
        <v>6045</v>
      </c>
      <c r="I5601" s="1">
        <v>45597</v>
      </c>
      <c r="J5601">
        <v>347</v>
      </c>
      <c r="K5601" t="s">
        <v>23</v>
      </c>
    </row>
    <row r="5602" spans="1:11">
      <c r="A5602" s="1">
        <v>45624</v>
      </c>
      <c r="B5602" t="s">
        <v>40</v>
      </c>
      <c r="C5602" t="s">
        <v>33</v>
      </c>
      <c r="D5602">
        <v>1698</v>
      </c>
      <c r="E5602">
        <v>564</v>
      </c>
      <c r="F5602">
        <v>87</v>
      </c>
      <c r="G5602">
        <v>10</v>
      </c>
      <c r="H5602">
        <v>2358</v>
      </c>
      <c r="I5602" s="1">
        <v>45597</v>
      </c>
      <c r="J5602">
        <v>97</v>
      </c>
      <c r="K5602" t="s">
        <v>23</v>
      </c>
    </row>
    <row r="5603" spans="1:11">
      <c r="A5603" s="1">
        <v>45624</v>
      </c>
      <c r="B5603" t="s">
        <v>40</v>
      </c>
      <c r="C5603" t="s">
        <v>65</v>
      </c>
      <c r="D5603">
        <v>12385</v>
      </c>
      <c r="E5603">
        <v>4259</v>
      </c>
      <c r="F5603">
        <v>1262</v>
      </c>
      <c r="G5603">
        <v>2615</v>
      </c>
      <c r="H5603">
        <v>20521</v>
      </c>
      <c r="I5603" s="1">
        <v>45597</v>
      </c>
      <c r="J5603">
        <v>3877</v>
      </c>
      <c r="K5603" t="s">
        <v>23</v>
      </c>
    </row>
    <row r="5604" spans="1:11">
      <c r="A5604" s="1">
        <v>45624</v>
      </c>
      <c r="B5604" t="s">
        <v>40</v>
      </c>
      <c r="C5604" t="s">
        <v>27</v>
      </c>
      <c r="D5604">
        <v>3194</v>
      </c>
      <c r="E5604">
        <v>1538</v>
      </c>
      <c r="F5604">
        <v>510</v>
      </c>
      <c r="G5604">
        <v>312</v>
      </c>
      <c r="H5604">
        <v>5554</v>
      </c>
      <c r="I5604" s="1">
        <v>45597</v>
      </c>
      <c r="J5604">
        <v>822</v>
      </c>
      <c r="K5604" t="s">
        <v>23</v>
      </c>
    </row>
    <row r="5605" spans="1:11">
      <c r="A5605" s="1">
        <v>45624</v>
      </c>
      <c r="B5605" t="s">
        <v>40</v>
      </c>
      <c r="C5605" t="s">
        <v>37</v>
      </c>
      <c r="D5605">
        <v>473</v>
      </c>
      <c r="E5605">
        <v>305</v>
      </c>
      <c r="F5605">
        <v>197</v>
      </c>
      <c r="G5605">
        <v>6</v>
      </c>
      <c r="H5605">
        <v>980</v>
      </c>
      <c r="I5605" s="1">
        <v>45597</v>
      </c>
      <c r="J5605">
        <v>203</v>
      </c>
      <c r="K5605" t="s">
        <v>23</v>
      </c>
    </row>
    <row r="5606" spans="1:11">
      <c r="A5606" s="1">
        <v>45624</v>
      </c>
      <c r="B5606" t="s">
        <v>40</v>
      </c>
      <c r="C5606" t="s">
        <v>66</v>
      </c>
      <c r="D5606">
        <v>22668</v>
      </c>
      <c r="E5606">
        <v>7768</v>
      </c>
      <c r="F5606">
        <v>3435</v>
      </c>
      <c r="G5606">
        <v>4732</v>
      </c>
      <c r="H5606">
        <v>38602</v>
      </c>
      <c r="I5606" s="1">
        <v>45597</v>
      </c>
      <c r="J5606">
        <v>8167</v>
      </c>
      <c r="K5606" t="s">
        <v>23</v>
      </c>
    </row>
    <row r="5607" spans="1:11">
      <c r="A5607" s="1">
        <v>45624</v>
      </c>
      <c r="B5607" t="s">
        <v>40</v>
      </c>
      <c r="C5607" t="s">
        <v>57</v>
      </c>
      <c r="D5607">
        <v>9163</v>
      </c>
      <c r="E5607">
        <v>2246</v>
      </c>
      <c r="F5607">
        <v>746</v>
      </c>
      <c r="G5607">
        <v>662</v>
      </c>
      <c r="H5607">
        <v>12817</v>
      </c>
      <c r="I5607" s="1">
        <v>45597</v>
      </c>
      <c r="J5607">
        <v>1408</v>
      </c>
      <c r="K5607" t="s">
        <v>23</v>
      </c>
    </row>
    <row r="5608" spans="1:11">
      <c r="A5608" s="1">
        <v>45624</v>
      </c>
      <c r="B5608" t="s">
        <v>40</v>
      </c>
      <c r="C5608" t="s">
        <v>28</v>
      </c>
      <c r="D5608">
        <v>2376</v>
      </c>
      <c r="E5608">
        <v>1026</v>
      </c>
      <c r="F5608">
        <v>357</v>
      </c>
      <c r="G5608">
        <v>286</v>
      </c>
      <c r="H5608">
        <v>4044</v>
      </c>
      <c r="I5608" s="1">
        <v>45597</v>
      </c>
      <c r="J5608">
        <v>643</v>
      </c>
      <c r="K5608" t="s">
        <v>23</v>
      </c>
    </row>
    <row r="5609" spans="1:11">
      <c r="A5609" s="1">
        <v>45624</v>
      </c>
      <c r="B5609" t="s">
        <v>40</v>
      </c>
      <c r="C5609" t="s">
        <v>68</v>
      </c>
      <c r="D5609">
        <v>23980</v>
      </c>
      <c r="E5609">
        <v>6533</v>
      </c>
      <c r="F5609">
        <v>2773</v>
      </c>
      <c r="G5609">
        <v>4439</v>
      </c>
      <c r="H5609">
        <v>37725</v>
      </c>
      <c r="I5609" s="1">
        <v>45597</v>
      </c>
      <c r="J5609">
        <v>7212</v>
      </c>
      <c r="K5609" t="s">
        <v>23</v>
      </c>
    </row>
    <row r="5610" spans="1:11">
      <c r="A5610" s="1">
        <v>45624</v>
      </c>
      <c r="B5610" t="s">
        <v>40</v>
      </c>
      <c r="C5610" t="s">
        <v>47</v>
      </c>
      <c r="D5610">
        <v>3914</v>
      </c>
      <c r="E5610">
        <v>896</v>
      </c>
      <c r="F5610">
        <v>204</v>
      </c>
      <c r="G5610">
        <v>258</v>
      </c>
      <c r="H5610">
        <v>5271</v>
      </c>
      <c r="I5610" s="1">
        <v>45597</v>
      </c>
      <c r="J5610">
        <v>462</v>
      </c>
      <c r="K5610" t="s">
        <v>23</v>
      </c>
    </row>
    <row r="5611" spans="1:11">
      <c r="A5611" s="1">
        <v>45624</v>
      </c>
      <c r="B5611" t="s">
        <v>40</v>
      </c>
      <c r="C5611" t="s">
        <v>25</v>
      </c>
      <c r="D5611">
        <v>3181</v>
      </c>
      <c r="E5611">
        <v>1301</v>
      </c>
      <c r="F5611">
        <v>318</v>
      </c>
      <c r="G5611">
        <v>426</v>
      </c>
      <c r="H5611">
        <v>5226</v>
      </c>
      <c r="I5611" s="1">
        <v>45597</v>
      </c>
      <c r="J5611">
        <v>744</v>
      </c>
      <c r="K5611" t="s">
        <v>23</v>
      </c>
    </row>
    <row r="5612" spans="1:11">
      <c r="A5612" s="1">
        <v>45624</v>
      </c>
      <c r="B5612" t="s">
        <v>40</v>
      </c>
      <c r="C5612" t="s">
        <v>51</v>
      </c>
      <c r="D5612">
        <v>4616</v>
      </c>
      <c r="E5612">
        <v>1539</v>
      </c>
      <c r="F5612">
        <v>592</v>
      </c>
      <c r="G5612">
        <v>762</v>
      </c>
      <c r="H5612">
        <v>7509</v>
      </c>
      <c r="I5612" s="1">
        <v>45597</v>
      </c>
      <c r="J5612">
        <v>1354</v>
      </c>
      <c r="K5612" t="s">
        <v>23</v>
      </c>
    </row>
    <row r="5613" spans="1:11">
      <c r="A5613" s="1">
        <v>45624</v>
      </c>
      <c r="B5613" t="s">
        <v>40</v>
      </c>
      <c r="C5613" t="s">
        <v>45</v>
      </c>
      <c r="D5613">
        <v>2662</v>
      </c>
      <c r="E5613">
        <v>581</v>
      </c>
      <c r="F5613">
        <v>288</v>
      </c>
      <c r="G5613">
        <v>165</v>
      </c>
      <c r="H5613">
        <v>3697</v>
      </c>
      <c r="I5613" s="1">
        <v>45597</v>
      </c>
      <c r="J5613">
        <v>453</v>
      </c>
      <c r="K5613" t="s">
        <v>23</v>
      </c>
    </row>
    <row r="5614" spans="1:11">
      <c r="A5614" s="1">
        <v>45624</v>
      </c>
      <c r="B5614" t="s">
        <v>40</v>
      </c>
      <c r="C5614" t="s">
        <v>39</v>
      </c>
      <c r="D5614">
        <v>6260</v>
      </c>
      <c r="E5614">
        <v>2246</v>
      </c>
      <c r="F5614">
        <v>573</v>
      </c>
      <c r="G5614">
        <v>103</v>
      </c>
      <c r="H5614">
        <v>9183</v>
      </c>
      <c r="I5614" s="1">
        <v>45597</v>
      </c>
      <c r="J5614">
        <v>676</v>
      </c>
      <c r="K5614" t="s">
        <v>23</v>
      </c>
    </row>
    <row r="5615" spans="1:11">
      <c r="A5615" s="1">
        <v>45624</v>
      </c>
      <c r="B5615" t="s">
        <v>40</v>
      </c>
      <c r="C5615" t="s">
        <v>54</v>
      </c>
      <c r="D5615">
        <v>2292</v>
      </c>
      <c r="E5615">
        <v>1074</v>
      </c>
      <c r="F5615">
        <v>499</v>
      </c>
      <c r="G5615">
        <v>215</v>
      </c>
      <c r="H5615">
        <v>4079</v>
      </c>
      <c r="I5615" s="1">
        <v>45597</v>
      </c>
      <c r="J5615">
        <v>714</v>
      </c>
      <c r="K5615" t="s">
        <v>23</v>
      </c>
    </row>
    <row r="5616" spans="1:11">
      <c r="A5616" s="1">
        <v>45624</v>
      </c>
      <c r="B5616" t="s">
        <v>40</v>
      </c>
      <c r="C5616" t="s">
        <v>35</v>
      </c>
      <c r="D5616">
        <v>338</v>
      </c>
      <c r="E5616">
        <v>257</v>
      </c>
      <c r="F5616">
        <v>175</v>
      </c>
      <c r="G5616">
        <v>11</v>
      </c>
      <c r="H5616">
        <v>781</v>
      </c>
      <c r="I5616" s="1">
        <v>45597</v>
      </c>
      <c r="J5616">
        <v>186</v>
      </c>
      <c r="K5616" t="s">
        <v>23</v>
      </c>
    </row>
    <row r="5617" spans="1:11">
      <c r="A5617" s="1">
        <v>45624</v>
      </c>
      <c r="B5617" t="s">
        <v>40</v>
      </c>
      <c r="C5617" t="s">
        <v>52</v>
      </c>
      <c r="D5617">
        <v>9474</v>
      </c>
      <c r="E5617">
        <v>3648</v>
      </c>
      <c r="F5617">
        <v>1041</v>
      </c>
      <c r="G5617">
        <v>86</v>
      </c>
      <c r="H5617">
        <v>14250</v>
      </c>
      <c r="I5617" s="1">
        <v>45597</v>
      </c>
      <c r="J5617">
        <v>1127</v>
      </c>
      <c r="K5617" t="s">
        <v>23</v>
      </c>
    </row>
    <row r="5618" spans="1:11">
      <c r="A5618" s="1">
        <v>45624</v>
      </c>
      <c r="B5618" t="s">
        <v>40</v>
      </c>
      <c r="C5618" t="s">
        <v>22</v>
      </c>
      <c r="D5618">
        <v>3782</v>
      </c>
      <c r="E5618">
        <v>1282</v>
      </c>
      <c r="F5618">
        <v>213</v>
      </c>
      <c r="G5618">
        <v>8</v>
      </c>
      <c r="H5618">
        <v>5286</v>
      </c>
      <c r="I5618" s="1">
        <v>45597</v>
      </c>
      <c r="J5618">
        <v>221</v>
      </c>
      <c r="K5618" t="s">
        <v>23</v>
      </c>
    </row>
    <row r="5619" spans="1:11">
      <c r="A5619" s="1">
        <v>45624</v>
      </c>
      <c r="B5619" t="s">
        <v>40</v>
      </c>
      <c r="C5619" t="s">
        <v>46</v>
      </c>
      <c r="D5619">
        <v>2129</v>
      </c>
      <c r="E5619">
        <v>434</v>
      </c>
      <c r="F5619">
        <v>85</v>
      </c>
      <c r="G5619">
        <v>7</v>
      </c>
      <c r="H5619">
        <v>2654</v>
      </c>
      <c r="I5619" s="1">
        <v>45597</v>
      </c>
      <c r="J5619">
        <v>92</v>
      </c>
      <c r="K5619" t="s">
        <v>23</v>
      </c>
    </row>
    <row r="5620" spans="1:11">
      <c r="A5620" s="1">
        <v>45624</v>
      </c>
      <c r="B5620" t="s">
        <v>40</v>
      </c>
      <c r="C5620" t="s">
        <v>31</v>
      </c>
      <c r="D5620">
        <v>2426</v>
      </c>
      <c r="E5620">
        <v>487</v>
      </c>
      <c r="F5620">
        <v>140</v>
      </c>
      <c r="G5620">
        <v>58</v>
      </c>
      <c r="H5620">
        <v>3110</v>
      </c>
      <c r="I5620" s="1">
        <v>45597</v>
      </c>
      <c r="J5620">
        <v>198</v>
      </c>
      <c r="K5620" t="s">
        <v>23</v>
      </c>
    </row>
    <row r="5621" spans="1:11">
      <c r="A5621" s="1">
        <v>45624</v>
      </c>
      <c r="B5621" t="s">
        <v>40</v>
      </c>
      <c r="C5621" t="s">
        <v>63</v>
      </c>
      <c r="D5621">
        <v>5778</v>
      </c>
      <c r="E5621">
        <v>2752</v>
      </c>
      <c r="F5621">
        <v>1520</v>
      </c>
      <c r="G5621">
        <v>1247</v>
      </c>
      <c r="H5621">
        <v>11297</v>
      </c>
      <c r="I5621" s="1">
        <v>45597</v>
      </c>
      <c r="J5621">
        <v>2767</v>
      </c>
      <c r="K5621" t="s">
        <v>23</v>
      </c>
    </row>
    <row r="5622" spans="1:11">
      <c r="A5622" s="1">
        <v>45624</v>
      </c>
      <c r="B5622" t="s">
        <v>40</v>
      </c>
      <c r="C5622" t="s">
        <v>60</v>
      </c>
      <c r="D5622">
        <v>6661</v>
      </c>
      <c r="E5622">
        <v>2006</v>
      </c>
      <c r="F5622">
        <v>948</v>
      </c>
      <c r="G5622">
        <v>1027</v>
      </c>
      <c r="H5622">
        <v>10642</v>
      </c>
      <c r="I5622" s="1">
        <v>45597</v>
      </c>
      <c r="J5622">
        <v>1975</v>
      </c>
      <c r="K5622" t="s">
        <v>23</v>
      </c>
    </row>
    <row r="5623" spans="1:11">
      <c r="A5623" s="1">
        <v>45624</v>
      </c>
      <c r="B5623" t="s">
        <v>40</v>
      </c>
      <c r="C5623" t="s">
        <v>61</v>
      </c>
      <c r="D5623">
        <v>14753</v>
      </c>
      <c r="E5623">
        <v>8456</v>
      </c>
      <c r="F5623">
        <v>4280</v>
      </c>
      <c r="G5623">
        <v>5639</v>
      </c>
      <c r="H5623">
        <v>33128</v>
      </c>
      <c r="I5623" s="1">
        <v>45597</v>
      </c>
      <c r="J5623">
        <v>9919</v>
      </c>
      <c r="K5623" t="s">
        <v>23</v>
      </c>
    </row>
    <row r="5624" spans="1:11">
      <c r="A5624" s="1">
        <v>45624</v>
      </c>
      <c r="B5624" t="s">
        <v>40</v>
      </c>
      <c r="C5624" t="s">
        <v>62</v>
      </c>
      <c r="D5624">
        <v>2207</v>
      </c>
      <c r="E5624">
        <v>1440</v>
      </c>
      <c r="F5624">
        <v>1100</v>
      </c>
      <c r="G5624">
        <v>4588</v>
      </c>
      <c r="H5624">
        <v>9334</v>
      </c>
      <c r="I5624" s="1">
        <v>45597</v>
      </c>
      <c r="J5624">
        <v>5688</v>
      </c>
      <c r="K5624" t="s">
        <v>23</v>
      </c>
    </row>
    <row r="5625" spans="1:11">
      <c r="A5625" s="1">
        <v>45624</v>
      </c>
      <c r="B5625" t="s">
        <v>40</v>
      </c>
      <c r="C5625" t="s">
        <v>69</v>
      </c>
      <c r="D5625">
        <v>16785</v>
      </c>
      <c r="E5625">
        <v>4557</v>
      </c>
      <c r="F5625">
        <v>1212</v>
      </c>
      <c r="G5625">
        <v>886</v>
      </c>
      <c r="H5625">
        <v>23440</v>
      </c>
      <c r="I5625" s="1">
        <v>45597</v>
      </c>
      <c r="J5625">
        <v>2098</v>
      </c>
      <c r="K5625" t="s">
        <v>23</v>
      </c>
    </row>
    <row r="5626" spans="1:11">
      <c r="A5626" s="1">
        <v>45624</v>
      </c>
      <c r="B5626" t="s">
        <v>40</v>
      </c>
      <c r="C5626" t="s">
        <v>24</v>
      </c>
      <c r="D5626">
        <v>324</v>
      </c>
      <c r="E5626">
        <v>136</v>
      </c>
      <c r="F5626">
        <v>41</v>
      </c>
      <c r="G5626">
        <v>5</v>
      </c>
      <c r="H5626">
        <v>506</v>
      </c>
      <c r="I5626" s="1">
        <v>45597</v>
      </c>
      <c r="J5626">
        <v>46</v>
      </c>
      <c r="K5626" t="s">
        <v>23</v>
      </c>
    </row>
    <row r="5627" spans="1:11">
      <c r="A5627" s="1">
        <v>45624</v>
      </c>
      <c r="B5627" t="s">
        <v>40</v>
      </c>
      <c r="C5627" t="s">
        <v>29</v>
      </c>
      <c r="D5627">
        <v>3607</v>
      </c>
      <c r="E5627">
        <v>1233</v>
      </c>
      <c r="F5627">
        <v>817</v>
      </c>
      <c r="G5627">
        <v>616</v>
      </c>
      <c r="H5627">
        <v>6274</v>
      </c>
      <c r="I5627" s="1">
        <v>45597</v>
      </c>
      <c r="J5627">
        <v>1433</v>
      </c>
      <c r="K5627" t="s">
        <v>23</v>
      </c>
    </row>
    <row r="5628" spans="1:11">
      <c r="A5628" s="1">
        <v>45624</v>
      </c>
      <c r="B5628" t="s">
        <v>40</v>
      </c>
      <c r="C5628" t="s">
        <v>70</v>
      </c>
      <c r="D5628">
        <v>2680</v>
      </c>
      <c r="E5628">
        <v>1017</v>
      </c>
      <c r="F5628">
        <v>591</v>
      </c>
      <c r="G5628">
        <v>333</v>
      </c>
      <c r="H5628">
        <v>4622</v>
      </c>
      <c r="I5628" s="1">
        <v>45597</v>
      </c>
      <c r="J5628">
        <v>924</v>
      </c>
      <c r="K5628" t="s">
        <v>23</v>
      </c>
    </row>
    <row r="5629" spans="1:11">
      <c r="A5629" s="1">
        <v>45624</v>
      </c>
      <c r="B5629" t="s">
        <v>40</v>
      </c>
      <c r="C5629" t="s">
        <v>71</v>
      </c>
      <c r="D5629">
        <v>19009</v>
      </c>
      <c r="E5629">
        <v>7656</v>
      </c>
      <c r="F5629">
        <v>3202</v>
      </c>
      <c r="G5629">
        <v>1525</v>
      </c>
      <c r="H5629">
        <v>31391</v>
      </c>
      <c r="I5629" s="1">
        <v>45597</v>
      </c>
      <c r="J5629">
        <v>4727</v>
      </c>
      <c r="K5629" t="s">
        <v>23</v>
      </c>
    </row>
    <row r="5630" spans="1:11">
      <c r="A5630" s="1">
        <v>45624</v>
      </c>
      <c r="B5630" t="s">
        <v>40</v>
      </c>
      <c r="C5630" t="s">
        <v>36</v>
      </c>
      <c r="D5630">
        <v>15966</v>
      </c>
      <c r="E5630">
        <v>7635</v>
      </c>
      <c r="F5630">
        <v>3893</v>
      </c>
      <c r="G5630">
        <v>1895</v>
      </c>
      <c r="H5630">
        <v>29389</v>
      </c>
      <c r="I5630" s="1">
        <v>45597</v>
      </c>
      <c r="J5630">
        <v>5788</v>
      </c>
      <c r="K5630" t="s">
        <v>23</v>
      </c>
    </row>
    <row r="5631" spans="1:11">
      <c r="A5631" s="1">
        <v>45624</v>
      </c>
      <c r="B5631" t="s">
        <v>40</v>
      </c>
      <c r="C5631" t="s">
        <v>32</v>
      </c>
      <c r="D5631">
        <v>2417</v>
      </c>
      <c r="E5631">
        <v>682</v>
      </c>
      <c r="F5631">
        <v>323</v>
      </c>
      <c r="G5631">
        <v>32</v>
      </c>
      <c r="H5631">
        <v>3454</v>
      </c>
      <c r="I5631" s="1">
        <v>45597</v>
      </c>
      <c r="J5631">
        <v>355</v>
      </c>
      <c r="K5631" t="s">
        <v>23</v>
      </c>
    </row>
    <row r="5632" spans="1:11">
      <c r="A5632" s="1">
        <v>45624</v>
      </c>
      <c r="B5632" t="s">
        <v>40</v>
      </c>
      <c r="C5632" t="s">
        <v>44</v>
      </c>
      <c r="D5632">
        <v>6142</v>
      </c>
      <c r="E5632">
        <v>2652</v>
      </c>
      <c r="F5632">
        <v>631</v>
      </c>
      <c r="G5632">
        <v>377</v>
      </c>
      <c r="H5632">
        <v>9802</v>
      </c>
      <c r="I5632" s="1">
        <v>45597</v>
      </c>
      <c r="J5632">
        <v>1008</v>
      </c>
      <c r="K5632" t="s">
        <v>23</v>
      </c>
    </row>
    <row r="5633" spans="1:11">
      <c r="A5633" s="1">
        <v>45624</v>
      </c>
      <c r="B5633" t="s">
        <v>40</v>
      </c>
      <c r="C5633" t="s">
        <v>59</v>
      </c>
      <c r="D5633">
        <v>14747</v>
      </c>
      <c r="E5633">
        <v>4371</v>
      </c>
      <c r="F5633">
        <v>1635</v>
      </c>
      <c r="G5633">
        <v>897</v>
      </c>
      <c r="H5633">
        <v>21650</v>
      </c>
      <c r="I5633" s="1">
        <v>45597</v>
      </c>
      <c r="J5633">
        <v>2532</v>
      </c>
      <c r="K5633" t="s">
        <v>23</v>
      </c>
    </row>
    <row r="5634" spans="1:11">
      <c r="A5634" s="1">
        <v>45624</v>
      </c>
      <c r="B5634" t="s">
        <v>40</v>
      </c>
      <c r="C5634" t="s">
        <v>67</v>
      </c>
      <c r="D5634">
        <v>20578</v>
      </c>
      <c r="E5634">
        <v>9652</v>
      </c>
      <c r="F5634">
        <v>4900</v>
      </c>
      <c r="G5634">
        <v>4790</v>
      </c>
      <c r="H5634">
        <v>39919</v>
      </c>
      <c r="I5634" s="1">
        <v>45597</v>
      </c>
      <c r="J5634">
        <v>9690</v>
      </c>
      <c r="K5634" t="s">
        <v>23</v>
      </c>
    </row>
    <row r="5635" spans="1:11">
      <c r="A5635" s="1">
        <v>45624</v>
      </c>
      <c r="B5635" t="s">
        <v>40</v>
      </c>
      <c r="C5635" t="s">
        <v>49</v>
      </c>
      <c r="D5635">
        <v>3123</v>
      </c>
      <c r="E5635">
        <v>535</v>
      </c>
      <c r="F5635">
        <v>60</v>
      </c>
      <c r="G5635">
        <v>5</v>
      </c>
      <c r="H5635">
        <v>3724</v>
      </c>
      <c r="I5635" s="1">
        <v>45597</v>
      </c>
      <c r="J5635">
        <v>65</v>
      </c>
      <c r="K5635" t="s">
        <v>23</v>
      </c>
    </row>
    <row r="5636" spans="1:11">
      <c r="A5636" s="1">
        <v>45645</v>
      </c>
      <c r="B5636" t="s">
        <v>40</v>
      </c>
      <c r="C5636" t="s">
        <v>48</v>
      </c>
      <c r="D5636">
        <v>26097</v>
      </c>
      <c r="E5636">
        <v>10799</v>
      </c>
      <c r="F5636">
        <v>1422</v>
      </c>
      <c r="G5636">
        <v>272</v>
      </c>
      <c r="H5636">
        <v>38590</v>
      </c>
      <c r="I5636" s="1">
        <v>45627</v>
      </c>
      <c r="J5636">
        <v>1694</v>
      </c>
      <c r="K5636" t="s">
        <v>23</v>
      </c>
    </row>
    <row r="5637" spans="1:11">
      <c r="A5637" s="1">
        <v>45645</v>
      </c>
      <c r="B5637" t="s">
        <v>40</v>
      </c>
      <c r="C5637" t="s">
        <v>41</v>
      </c>
      <c r="D5637">
        <v>4355</v>
      </c>
      <c r="E5637">
        <v>1082</v>
      </c>
      <c r="F5637">
        <v>274</v>
      </c>
      <c r="G5637">
        <v>18</v>
      </c>
      <c r="H5637">
        <v>5729</v>
      </c>
      <c r="I5637" s="1">
        <v>45627</v>
      </c>
      <c r="J5637">
        <v>292</v>
      </c>
      <c r="K5637" t="s">
        <v>23</v>
      </c>
    </row>
    <row r="5638" spans="1:11">
      <c r="A5638" s="1">
        <v>45645</v>
      </c>
      <c r="B5638" t="s">
        <v>40</v>
      </c>
      <c r="C5638" t="s">
        <v>33</v>
      </c>
      <c r="D5638">
        <v>1952</v>
      </c>
      <c r="E5638">
        <v>560</v>
      </c>
      <c r="F5638">
        <v>74</v>
      </c>
      <c r="G5638">
        <v>9</v>
      </c>
      <c r="H5638">
        <v>2595</v>
      </c>
      <c r="I5638" s="1">
        <v>45627</v>
      </c>
      <c r="J5638">
        <v>83</v>
      </c>
      <c r="K5638" t="s">
        <v>23</v>
      </c>
    </row>
    <row r="5639" spans="1:11">
      <c r="A5639" s="1">
        <v>45645</v>
      </c>
      <c r="B5639" t="s">
        <v>40</v>
      </c>
      <c r="C5639" t="s">
        <v>65</v>
      </c>
      <c r="D5639">
        <v>11922</v>
      </c>
      <c r="E5639">
        <v>4066</v>
      </c>
      <c r="F5639">
        <v>1129</v>
      </c>
      <c r="G5639">
        <v>2392</v>
      </c>
      <c r="H5639">
        <v>19508</v>
      </c>
      <c r="I5639" s="1">
        <v>45627</v>
      </c>
      <c r="J5639">
        <v>3521</v>
      </c>
      <c r="K5639" t="s">
        <v>23</v>
      </c>
    </row>
    <row r="5640" spans="1:11">
      <c r="A5640" s="1">
        <v>45645</v>
      </c>
      <c r="B5640" t="s">
        <v>40</v>
      </c>
      <c r="C5640" t="s">
        <v>27</v>
      </c>
      <c r="D5640">
        <v>3186</v>
      </c>
      <c r="E5640">
        <v>1603</v>
      </c>
      <c r="F5640">
        <v>518</v>
      </c>
      <c r="G5640">
        <v>300</v>
      </c>
      <c r="H5640">
        <v>5607</v>
      </c>
      <c r="I5640" s="1">
        <v>45627</v>
      </c>
      <c r="J5640">
        <v>818</v>
      </c>
      <c r="K5640" t="s">
        <v>23</v>
      </c>
    </row>
    <row r="5641" spans="1:11">
      <c r="A5641" s="1">
        <v>45645</v>
      </c>
      <c r="B5641" t="s">
        <v>40</v>
      </c>
      <c r="C5641" t="s">
        <v>37</v>
      </c>
      <c r="D5641">
        <v>478</v>
      </c>
      <c r="E5641">
        <v>308</v>
      </c>
      <c r="F5641">
        <v>215</v>
      </c>
      <c r="G5641">
        <v>16</v>
      </c>
      <c r="H5641">
        <v>1017</v>
      </c>
      <c r="I5641" s="1">
        <v>45627</v>
      </c>
      <c r="J5641">
        <v>231</v>
      </c>
      <c r="K5641" t="s">
        <v>23</v>
      </c>
    </row>
    <row r="5642" spans="1:11">
      <c r="A5642" s="1">
        <v>45645</v>
      </c>
      <c r="B5642" t="s">
        <v>40</v>
      </c>
      <c r="C5642" t="s">
        <v>66</v>
      </c>
      <c r="D5642">
        <v>20847</v>
      </c>
      <c r="E5642">
        <v>7354</v>
      </c>
      <c r="F5642">
        <v>3196</v>
      </c>
      <c r="G5642">
        <v>4161</v>
      </c>
      <c r="H5642">
        <v>35557</v>
      </c>
      <c r="I5642" s="1">
        <v>45627</v>
      </c>
      <c r="J5642">
        <v>7357</v>
      </c>
      <c r="K5642" t="s">
        <v>23</v>
      </c>
    </row>
    <row r="5643" spans="1:11">
      <c r="A5643" s="1">
        <v>45645</v>
      </c>
      <c r="B5643" t="s">
        <v>40</v>
      </c>
      <c r="C5643" t="s">
        <v>57</v>
      </c>
      <c r="D5643">
        <v>8896</v>
      </c>
      <c r="E5643">
        <v>2128</v>
      </c>
      <c r="F5643">
        <v>704</v>
      </c>
      <c r="G5643">
        <v>467</v>
      </c>
      <c r="H5643">
        <v>12195</v>
      </c>
      <c r="I5643" s="1">
        <v>45627</v>
      </c>
      <c r="J5643">
        <v>1171</v>
      </c>
      <c r="K5643" t="s">
        <v>23</v>
      </c>
    </row>
    <row r="5644" spans="1:11">
      <c r="A5644" s="1">
        <v>45645</v>
      </c>
      <c r="B5644" t="s">
        <v>40</v>
      </c>
      <c r="C5644" t="s">
        <v>28</v>
      </c>
      <c r="D5644">
        <v>2349</v>
      </c>
      <c r="E5644">
        <v>987</v>
      </c>
      <c r="F5644">
        <v>351</v>
      </c>
      <c r="G5644">
        <v>291</v>
      </c>
      <c r="H5644">
        <v>3978</v>
      </c>
      <c r="I5644" s="1">
        <v>45627</v>
      </c>
      <c r="J5644">
        <v>642</v>
      </c>
      <c r="K5644" t="s">
        <v>23</v>
      </c>
    </row>
    <row r="5645" spans="1:11">
      <c r="A5645" s="1">
        <v>45645</v>
      </c>
      <c r="B5645" t="s">
        <v>40</v>
      </c>
      <c r="C5645" t="s">
        <v>68</v>
      </c>
      <c r="D5645">
        <v>23536</v>
      </c>
      <c r="E5645">
        <v>6497</v>
      </c>
      <c r="F5645">
        <v>2732</v>
      </c>
      <c r="G5645">
        <v>4303</v>
      </c>
      <c r="H5645">
        <v>37067</v>
      </c>
      <c r="I5645" s="1">
        <v>45627</v>
      </c>
      <c r="J5645">
        <v>7035</v>
      </c>
      <c r="K5645" t="s">
        <v>23</v>
      </c>
    </row>
    <row r="5646" spans="1:11">
      <c r="A5646" s="1">
        <v>45645</v>
      </c>
      <c r="B5646" t="s">
        <v>40</v>
      </c>
      <c r="C5646" t="s">
        <v>47</v>
      </c>
      <c r="D5646">
        <v>3987</v>
      </c>
      <c r="E5646">
        <v>901</v>
      </c>
      <c r="F5646">
        <v>185</v>
      </c>
      <c r="G5646">
        <v>239</v>
      </c>
      <c r="H5646">
        <v>5312</v>
      </c>
      <c r="I5646" s="1">
        <v>45627</v>
      </c>
      <c r="J5646">
        <v>424</v>
      </c>
      <c r="K5646" t="s">
        <v>23</v>
      </c>
    </row>
    <row r="5647" spans="1:11">
      <c r="A5647" s="1">
        <v>45645</v>
      </c>
      <c r="B5647" t="s">
        <v>40</v>
      </c>
      <c r="C5647" t="s">
        <v>25</v>
      </c>
      <c r="D5647">
        <v>3071</v>
      </c>
      <c r="E5647">
        <v>1253</v>
      </c>
      <c r="F5647">
        <v>333</v>
      </c>
      <c r="G5647">
        <v>362</v>
      </c>
      <c r="H5647">
        <v>5019</v>
      </c>
      <c r="I5647" s="1">
        <v>45627</v>
      </c>
      <c r="J5647">
        <v>695</v>
      </c>
      <c r="K5647" t="s">
        <v>23</v>
      </c>
    </row>
    <row r="5648" spans="1:11">
      <c r="A5648" s="1">
        <v>45645</v>
      </c>
      <c r="B5648" t="s">
        <v>40</v>
      </c>
      <c r="C5648" t="s">
        <v>51</v>
      </c>
      <c r="D5648">
        <v>4337</v>
      </c>
      <c r="E5648">
        <v>1518</v>
      </c>
      <c r="F5648">
        <v>573</v>
      </c>
      <c r="G5648">
        <v>811</v>
      </c>
      <c r="H5648">
        <v>7239</v>
      </c>
      <c r="I5648" s="1">
        <v>45627</v>
      </c>
      <c r="J5648">
        <v>1384</v>
      </c>
      <c r="K5648" t="s">
        <v>23</v>
      </c>
    </row>
    <row r="5649" spans="1:11">
      <c r="A5649" s="1">
        <v>45645</v>
      </c>
      <c r="B5649" t="s">
        <v>40</v>
      </c>
      <c r="C5649" t="s">
        <v>45</v>
      </c>
      <c r="D5649">
        <v>2828</v>
      </c>
      <c r="E5649">
        <v>617</v>
      </c>
      <c r="F5649">
        <v>268</v>
      </c>
      <c r="G5649">
        <v>174</v>
      </c>
      <c r="H5649">
        <v>3887</v>
      </c>
      <c r="I5649" s="1">
        <v>45627</v>
      </c>
      <c r="J5649">
        <v>442</v>
      </c>
      <c r="K5649" t="s">
        <v>23</v>
      </c>
    </row>
    <row r="5650" spans="1:11">
      <c r="A5650" s="1">
        <v>45645</v>
      </c>
      <c r="B5650" t="s">
        <v>40</v>
      </c>
      <c r="C5650" t="s">
        <v>39</v>
      </c>
      <c r="D5650">
        <v>6207</v>
      </c>
      <c r="E5650">
        <v>1989</v>
      </c>
      <c r="F5650">
        <v>515</v>
      </c>
      <c r="G5650">
        <v>79</v>
      </c>
      <c r="H5650">
        <v>8789</v>
      </c>
      <c r="I5650" s="1">
        <v>45627</v>
      </c>
      <c r="J5650">
        <v>594</v>
      </c>
      <c r="K5650" t="s">
        <v>23</v>
      </c>
    </row>
    <row r="5651" spans="1:11">
      <c r="A5651" s="1">
        <v>45645</v>
      </c>
      <c r="B5651" t="s">
        <v>40</v>
      </c>
      <c r="C5651" t="s">
        <v>54</v>
      </c>
      <c r="D5651">
        <v>2265</v>
      </c>
      <c r="E5651">
        <v>994</v>
      </c>
      <c r="F5651">
        <v>466</v>
      </c>
      <c r="G5651">
        <v>213</v>
      </c>
      <c r="H5651">
        <v>3938</v>
      </c>
      <c r="I5651" s="1">
        <v>45627</v>
      </c>
      <c r="J5651">
        <v>679</v>
      </c>
      <c r="K5651" t="s">
        <v>23</v>
      </c>
    </row>
    <row r="5652" spans="1:11">
      <c r="A5652" s="1">
        <v>45645</v>
      </c>
      <c r="B5652" t="s">
        <v>40</v>
      </c>
      <c r="C5652" t="s">
        <v>35</v>
      </c>
      <c r="D5652">
        <v>351</v>
      </c>
      <c r="E5652">
        <v>254</v>
      </c>
      <c r="F5652">
        <v>190</v>
      </c>
      <c r="G5652">
        <v>28</v>
      </c>
      <c r="H5652">
        <v>822</v>
      </c>
      <c r="I5652" s="1">
        <v>45627</v>
      </c>
      <c r="J5652">
        <v>218</v>
      </c>
      <c r="K5652" t="s">
        <v>23</v>
      </c>
    </row>
    <row r="5653" spans="1:11">
      <c r="A5653" s="1">
        <v>45645</v>
      </c>
      <c r="B5653" t="s">
        <v>40</v>
      </c>
      <c r="C5653" t="s">
        <v>52</v>
      </c>
      <c r="D5653">
        <v>9149</v>
      </c>
      <c r="E5653">
        <v>3844</v>
      </c>
      <c r="F5653">
        <v>1059</v>
      </c>
      <c r="G5653">
        <v>118</v>
      </c>
      <c r="H5653">
        <v>14170</v>
      </c>
      <c r="I5653" s="1">
        <v>45627</v>
      </c>
      <c r="J5653">
        <v>1177</v>
      </c>
      <c r="K5653" t="s">
        <v>23</v>
      </c>
    </row>
    <row r="5654" spans="1:11">
      <c r="A5654" s="1">
        <v>45645</v>
      </c>
      <c r="B5654" t="s">
        <v>40</v>
      </c>
      <c r="C5654" t="s">
        <v>22</v>
      </c>
      <c r="D5654">
        <v>3811</v>
      </c>
      <c r="E5654">
        <v>1301</v>
      </c>
      <c r="F5654">
        <v>185</v>
      </c>
      <c r="G5654">
        <v>1</v>
      </c>
      <c r="H5654">
        <v>5298</v>
      </c>
      <c r="I5654" s="1">
        <v>45627</v>
      </c>
      <c r="J5654">
        <v>186</v>
      </c>
      <c r="K5654" t="s">
        <v>23</v>
      </c>
    </row>
    <row r="5655" spans="1:11">
      <c r="A5655" s="1">
        <v>45645</v>
      </c>
      <c r="B5655" t="s">
        <v>40</v>
      </c>
      <c r="C5655" t="s">
        <v>31</v>
      </c>
      <c r="D5655">
        <v>2365</v>
      </c>
      <c r="E5655">
        <v>489</v>
      </c>
      <c r="F5655">
        <v>141</v>
      </c>
      <c r="G5655">
        <v>70</v>
      </c>
      <c r="H5655">
        <v>3065</v>
      </c>
      <c r="I5655" s="1">
        <v>45627</v>
      </c>
      <c r="J5655">
        <v>211</v>
      </c>
      <c r="K5655" t="s">
        <v>23</v>
      </c>
    </row>
    <row r="5656" spans="1:11">
      <c r="A5656" s="1">
        <v>45645</v>
      </c>
      <c r="B5656" t="s">
        <v>40</v>
      </c>
      <c r="C5656" t="s">
        <v>63</v>
      </c>
      <c r="D5656">
        <v>5875</v>
      </c>
      <c r="E5656">
        <v>2784</v>
      </c>
      <c r="F5656">
        <v>1475</v>
      </c>
      <c r="G5656">
        <v>1230</v>
      </c>
      <c r="H5656">
        <v>11364</v>
      </c>
      <c r="I5656" s="1">
        <v>45627</v>
      </c>
      <c r="J5656">
        <v>2705</v>
      </c>
      <c r="K5656" t="s">
        <v>23</v>
      </c>
    </row>
    <row r="5657" spans="1:11">
      <c r="A5657" s="1">
        <v>45645</v>
      </c>
      <c r="B5657" t="s">
        <v>40</v>
      </c>
      <c r="C5657" t="s">
        <v>60</v>
      </c>
      <c r="D5657">
        <v>6463</v>
      </c>
      <c r="E5657">
        <v>1859</v>
      </c>
      <c r="F5657">
        <v>917</v>
      </c>
      <c r="G5657">
        <v>1005</v>
      </c>
      <c r="H5657">
        <v>10244</v>
      </c>
      <c r="I5657" s="1">
        <v>45627</v>
      </c>
      <c r="J5657">
        <v>1922</v>
      </c>
      <c r="K5657" t="s">
        <v>23</v>
      </c>
    </row>
    <row r="5658" spans="1:11">
      <c r="A5658" s="1">
        <v>45645</v>
      </c>
      <c r="B5658" t="s">
        <v>40</v>
      </c>
      <c r="C5658" t="s">
        <v>61</v>
      </c>
      <c r="D5658">
        <v>14363</v>
      </c>
      <c r="E5658">
        <v>8148</v>
      </c>
      <c r="F5658">
        <v>3966</v>
      </c>
      <c r="G5658">
        <v>5166</v>
      </c>
      <c r="H5658">
        <v>31642</v>
      </c>
      <c r="I5658" s="1">
        <v>45627</v>
      </c>
      <c r="J5658">
        <v>9132</v>
      </c>
      <c r="K5658" t="s">
        <v>23</v>
      </c>
    </row>
    <row r="5659" spans="1:11">
      <c r="A5659" s="1">
        <v>45645</v>
      </c>
      <c r="B5659" t="s">
        <v>40</v>
      </c>
      <c r="C5659" t="s">
        <v>62</v>
      </c>
      <c r="D5659">
        <v>2134</v>
      </c>
      <c r="E5659">
        <v>1436</v>
      </c>
      <c r="F5659">
        <v>1063</v>
      </c>
      <c r="G5659">
        <v>4591</v>
      </c>
      <c r="H5659">
        <v>9223</v>
      </c>
      <c r="I5659" s="1">
        <v>45627</v>
      </c>
      <c r="J5659">
        <v>5654</v>
      </c>
      <c r="K5659" t="s">
        <v>23</v>
      </c>
    </row>
    <row r="5660" spans="1:11">
      <c r="A5660" s="1">
        <v>45645</v>
      </c>
      <c r="B5660" t="s">
        <v>40</v>
      </c>
      <c r="C5660" t="s">
        <v>69</v>
      </c>
      <c r="D5660">
        <v>16143</v>
      </c>
      <c r="E5660">
        <v>4384</v>
      </c>
      <c r="F5660">
        <v>1125</v>
      </c>
      <c r="G5660">
        <v>870</v>
      </c>
      <c r="H5660">
        <v>22521</v>
      </c>
      <c r="I5660" s="1">
        <v>45627</v>
      </c>
      <c r="J5660">
        <v>1995</v>
      </c>
      <c r="K5660" t="s">
        <v>23</v>
      </c>
    </row>
    <row r="5661" spans="1:11">
      <c r="A5661" s="1">
        <v>45645</v>
      </c>
      <c r="B5661" t="s">
        <v>40</v>
      </c>
      <c r="C5661" t="s">
        <v>24</v>
      </c>
      <c r="D5661">
        <v>327</v>
      </c>
      <c r="E5661">
        <v>134</v>
      </c>
      <c r="F5661">
        <v>16</v>
      </c>
      <c r="G5661">
        <v>5</v>
      </c>
      <c r="H5661">
        <v>482</v>
      </c>
      <c r="I5661" s="1">
        <v>45627</v>
      </c>
      <c r="J5661">
        <v>21</v>
      </c>
      <c r="K5661" t="s">
        <v>23</v>
      </c>
    </row>
    <row r="5662" spans="1:11">
      <c r="A5662" s="1">
        <v>45645</v>
      </c>
      <c r="B5662" t="s">
        <v>40</v>
      </c>
      <c r="C5662" t="s">
        <v>29</v>
      </c>
      <c r="D5662">
        <v>3574</v>
      </c>
      <c r="E5662">
        <v>1228</v>
      </c>
      <c r="F5662">
        <v>757</v>
      </c>
      <c r="G5662">
        <v>573</v>
      </c>
      <c r="H5662">
        <v>6131</v>
      </c>
      <c r="I5662" s="1">
        <v>45627</v>
      </c>
      <c r="J5662">
        <v>1330</v>
      </c>
      <c r="K5662" t="s">
        <v>23</v>
      </c>
    </row>
    <row r="5663" spans="1:11">
      <c r="A5663" s="1">
        <v>45645</v>
      </c>
      <c r="B5663" t="s">
        <v>40</v>
      </c>
      <c r="C5663" t="s">
        <v>70</v>
      </c>
      <c r="D5663">
        <v>2629</v>
      </c>
      <c r="E5663">
        <v>1057</v>
      </c>
      <c r="F5663">
        <v>607</v>
      </c>
      <c r="G5663">
        <v>340</v>
      </c>
      <c r="H5663">
        <v>4634</v>
      </c>
      <c r="I5663" s="1">
        <v>45627</v>
      </c>
      <c r="J5663">
        <v>947</v>
      </c>
      <c r="K5663" t="s">
        <v>23</v>
      </c>
    </row>
    <row r="5664" spans="1:11">
      <c r="A5664" s="1">
        <v>45645</v>
      </c>
      <c r="B5664" t="s">
        <v>40</v>
      </c>
      <c r="C5664" t="s">
        <v>71</v>
      </c>
      <c r="D5664">
        <v>18678</v>
      </c>
      <c r="E5664">
        <v>7677</v>
      </c>
      <c r="F5664">
        <v>3224</v>
      </c>
      <c r="G5664">
        <v>1640</v>
      </c>
      <c r="H5664">
        <v>31219</v>
      </c>
      <c r="I5664" s="1">
        <v>45627</v>
      </c>
      <c r="J5664">
        <v>4864</v>
      </c>
      <c r="K5664" t="s">
        <v>23</v>
      </c>
    </row>
    <row r="5665" spans="1:11">
      <c r="A5665" s="1">
        <v>45645</v>
      </c>
      <c r="B5665" t="s">
        <v>40</v>
      </c>
      <c r="C5665" t="s">
        <v>36</v>
      </c>
      <c r="D5665">
        <v>15809</v>
      </c>
      <c r="E5665">
        <v>7797</v>
      </c>
      <c r="F5665">
        <v>3586</v>
      </c>
      <c r="G5665">
        <v>1496</v>
      </c>
      <c r="H5665">
        <v>28688</v>
      </c>
      <c r="I5665" s="1">
        <v>45627</v>
      </c>
      <c r="J5665">
        <v>5082</v>
      </c>
      <c r="K5665" t="s">
        <v>23</v>
      </c>
    </row>
    <row r="5666" spans="1:11">
      <c r="A5666" s="1">
        <v>45645</v>
      </c>
      <c r="B5666" t="s">
        <v>40</v>
      </c>
      <c r="C5666" t="s">
        <v>32</v>
      </c>
      <c r="D5666">
        <v>2400</v>
      </c>
      <c r="E5666">
        <v>707</v>
      </c>
      <c r="F5666">
        <v>328</v>
      </c>
      <c r="G5666">
        <v>34</v>
      </c>
      <c r="H5666">
        <v>3469</v>
      </c>
      <c r="I5666" s="1">
        <v>45627</v>
      </c>
      <c r="J5666">
        <v>362</v>
      </c>
      <c r="K5666" t="s">
        <v>23</v>
      </c>
    </row>
    <row r="5667" spans="1:11">
      <c r="A5667" s="1">
        <v>45645</v>
      </c>
      <c r="B5667" t="s">
        <v>40</v>
      </c>
      <c r="C5667" t="s">
        <v>44</v>
      </c>
      <c r="D5667">
        <v>5984</v>
      </c>
      <c r="E5667">
        <v>2584</v>
      </c>
      <c r="F5667">
        <v>474</v>
      </c>
      <c r="G5667">
        <v>386</v>
      </c>
      <c r="H5667">
        <v>9429</v>
      </c>
      <c r="I5667" s="1">
        <v>45627</v>
      </c>
      <c r="J5667">
        <v>860</v>
      </c>
      <c r="K5667" t="s">
        <v>23</v>
      </c>
    </row>
    <row r="5668" spans="1:11">
      <c r="A5668" s="1">
        <v>45645</v>
      </c>
      <c r="B5668" t="s">
        <v>40</v>
      </c>
      <c r="C5668" t="s">
        <v>59</v>
      </c>
      <c r="D5668">
        <v>14674</v>
      </c>
      <c r="E5668">
        <v>4359</v>
      </c>
      <c r="F5668">
        <v>1624</v>
      </c>
      <c r="G5668">
        <v>741</v>
      </c>
      <c r="H5668">
        <v>21397</v>
      </c>
      <c r="I5668" s="1">
        <v>45627</v>
      </c>
      <c r="J5668">
        <v>2365</v>
      </c>
      <c r="K5668" t="s">
        <v>23</v>
      </c>
    </row>
    <row r="5669" spans="1:11">
      <c r="A5669" s="1">
        <v>45645</v>
      </c>
      <c r="B5669" t="s">
        <v>40</v>
      </c>
      <c r="C5669" t="s">
        <v>67</v>
      </c>
      <c r="D5669">
        <v>20691</v>
      </c>
      <c r="E5669">
        <v>9441</v>
      </c>
      <c r="F5669">
        <v>4790</v>
      </c>
      <c r="G5669">
        <v>4713</v>
      </c>
      <c r="H5669">
        <v>39635</v>
      </c>
      <c r="I5669" s="1">
        <v>45627</v>
      </c>
      <c r="J5669">
        <v>9503</v>
      </c>
      <c r="K5669" t="s">
        <v>23</v>
      </c>
    </row>
    <row r="5670" spans="1:11">
      <c r="A5670" s="1">
        <v>45687</v>
      </c>
      <c r="B5670" t="s">
        <v>40</v>
      </c>
      <c r="C5670" t="s">
        <v>48</v>
      </c>
      <c r="D5670">
        <v>25335</v>
      </c>
      <c r="E5670">
        <v>12493</v>
      </c>
      <c r="F5670">
        <v>2601</v>
      </c>
      <c r="G5670">
        <v>379</v>
      </c>
      <c r="H5670">
        <v>40807</v>
      </c>
      <c r="I5670" s="1">
        <v>45658</v>
      </c>
      <c r="J5670">
        <v>2980</v>
      </c>
      <c r="K5670" t="s">
        <v>23</v>
      </c>
    </row>
    <row r="5671" spans="1:11">
      <c r="A5671" s="1">
        <v>45687</v>
      </c>
      <c r="B5671" t="s">
        <v>40</v>
      </c>
      <c r="C5671" t="s">
        <v>41</v>
      </c>
      <c r="D5671">
        <v>3976</v>
      </c>
      <c r="E5671">
        <v>1305</v>
      </c>
      <c r="F5671">
        <v>300</v>
      </c>
      <c r="G5671">
        <v>11</v>
      </c>
      <c r="H5671">
        <v>5592</v>
      </c>
      <c r="I5671" s="1">
        <v>45658</v>
      </c>
      <c r="J5671">
        <v>311</v>
      </c>
      <c r="K5671" t="s">
        <v>23</v>
      </c>
    </row>
    <row r="5672" spans="1:11">
      <c r="A5672" s="1">
        <v>45687</v>
      </c>
      <c r="B5672" t="s">
        <v>40</v>
      </c>
      <c r="C5672" t="s">
        <v>33</v>
      </c>
      <c r="D5672">
        <v>1821</v>
      </c>
      <c r="E5672">
        <v>617</v>
      </c>
      <c r="F5672">
        <v>103</v>
      </c>
      <c r="G5672">
        <v>8</v>
      </c>
      <c r="H5672">
        <v>2549</v>
      </c>
      <c r="I5672" s="1">
        <v>45658</v>
      </c>
      <c r="J5672">
        <v>111</v>
      </c>
      <c r="K5672" t="s">
        <v>23</v>
      </c>
    </row>
    <row r="5673" spans="1:11">
      <c r="A5673" s="1">
        <v>45687</v>
      </c>
      <c r="B5673" t="s">
        <v>40</v>
      </c>
      <c r="C5673" t="s">
        <v>65</v>
      </c>
      <c r="D5673">
        <v>11903</v>
      </c>
      <c r="E5673">
        <v>4423</v>
      </c>
      <c r="F5673">
        <v>1136</v>
      </c>
      <c r="G5673">
        <v>2397</v>
      </c>
      <c r="H5673">
        <v>19859</v>
      </c>
      <c r="I5673" s="1">
        <v>45658</v>
      </c>
      <c r="J5673">
        <v>3533</v>
      </c>
      <c r="K5673" t="s">
        <v>23</v>
      </c>
    </row>
    <row r="5674" spans="1:11">
      <c r="A5674" s="1">
        <v>45687</v>
      </c>
      <c r="B5674" t="s">
        <v>40</v>
      </c>
      <c r="C5674" t="s">
        <v>27</v>
      </c>
      <c r="D5674">
        <v>3103</v>
      </c>
      <c r="E5674">
        <v>1482</v>
      </c>
      <c r="F5674">
        <v>454</v>
      </c>
      <c r="G5674">
        <v>329</v>
      </c>
      <c r="H5674">
        <v>5368</v>
      </c>
      <c r="I5674" s="1">
        <v>45658</v>
      </c>
      <c r="J5674">
        <v>783</v>
      </c>
      <c r="K5674" t="s">
        <v>23</v>
      </c>
    </row>
    <row r="5675" spans="1:11">
      <c r="A5675" s="1">
        <v>45687</v>
      </c>
      <c r="B5675" t="s">
        <v>40</v>
      </c>
      <c r="C5675" t="s">
        <v>37</v>
      </c>
      <c r="D5675">
        <v>439</v>
      </c>
      <c r="E5675">
        <v>295</v>
      </c>
      <c r="F5675">
        <v>183</v>
      </c>
      <c r="G5675">
        <v>38</v>
      </c>
      <c r="H5675">
        <v>955</v>
      </c>
      <c r="I5675" s="1">
        <v>45658</v>
      </c>
      <c r="J5675">
        <v>221</v>
      </c>
      <c r="K5675" t="s">
        <v>23</v>
      </c>
    </row>
    <row r="5676" spans="1:11">
      <c r="A5676" s="1">
        <v>45687</v>
      </c>
      <c r="B5676" t="s">
        <v>40</v>
      </c>
      <c r="C5676" t="s">
        <v>66</v>
      </c>
      <c r="D5676">
        <v>22092</v>
      </c>
      <c r="E5676">
        <v>8166</v>
      </c>
      <c r="F5676">
        <v>3338</v>
      </c>
      <c r="G5676">
        <v>4534</v>
      </c>
      <c r="H5676">
        <v>38130</v>
      </c>
      <c r="I5676" s="1">
        <v>45658</v>
      </c>
      <c r="J5676">
        <v>7872</v>
      </c>
      <c r="K5676" t="s">
        <v>23</v>
      </c>
    </row>
    <row r="5677" spans="1:11">
      <c r="A5677" s="1">
        <v>45687</v>
      </c>
      <c r="B5677" t="s">
        <v>40</v>
      </c>
      <c r="C5677" t="s">
        <v>57</v>
      </c>
      <c r="D5677">
        <v>9277</v>
      </c>
      <c r="E5677">
        <v>2659</v>
      </c>
      <c r="F5677">
        <v>772</v>
      </c>
      <c r="G5677">
        <v>588</v>
      </c>
      <c r="H5677">
        <v>13295</v>
      </c>
      <c r="I5677" s="1">
        <v>45658</v>
      </c>
      <c r="J5677">
        <v>1360</v>
      </c>
      <c r="K5677" t="s">
        <v>23</v>
      </c>
    </row>
    <row r="5678" spans="1:11">
      <c r="A5678" s="1">
        <v>45687</v>
      </c>
      <c r="B5678" t="s">
        <v>40</v>
      </c>
      <c r="C5678" t="s">
        <v>28</v>
      </c>
      <c r="D5678">
        <v>2327</v>
      </c>
      <c r="E5678">
        <v>1165</v>
      </c>
      <c r="F5678">
        <v>359</v>
      </c>
      <c r="G5678">
        <v>339</v>
      </c>
      <c r="H5678">
        <v>4190</v>
      </c>
      <c r="I5678" s="1">
        <v>45658</v>
      </c>
      <c r="J5678">
        <v>698</v>
      </c>
      <c r="K5678" t="s">
        <v>23</v>
      </c>
    </row>
    <row r="5679" spans="1:11">
      <c r="A5679" s="1">
        <v>45687</v>
      </c>
      <c r="B5679" t="s">
        <v>40</v>
      </c>
      <c r="C5679" t="s">
        <v>68</v>
      </c>
      <c r="D5679">
        <v>23367</v>
      </c>
      <c r="E5679">
        <v>7372</v>
      </c>
      <c r="F5679">
        <v>2817</v>
      </c>
      <c r="G5679">
        <v>4350</v>
      </c>
      <c r="H5679">
        <v>37905</v>
      </c>
      <c r="I5679" s="1">
        <v>45658</v>
      </c>
      <c r="J5679">
        <v>7167</v>
      </c>
      <c r="K5679" t="s">
        <v>23</v>
      </c>
    </row>
    <row r="5680" spans="1:11">
      <c r="A5680" s="1">
        <v>45687</v>
      </c>
      <c r="B5680" t="s">
        <v>40</v>
      </c>
      <c r="C5680" t="s">
        <v>47</v>
      </c>
      <c r="D5680">
        <v>3945</v>
      </c>
      <c r="E5680">
        <v>1192</v>
      </c>
      <c r="F5680">
        <v>211</v>
      </c>
      <c r="G5680">
        <v>244</v>
      </c>
      <c r="H5680">
        <v>5592</v>
      </c>
      <c r="I5680" s="1">
        <v>45658</v>
      </c>
      <c r="J5680">
        <v>455</v>
      </c>
      <c r="K5680" t="s">
        <v>23</v>
      </c>
    </row>
    <row r="5681" spans="1:11">
      <c r="A5681" s="1">
        <v>45687</v>
      </c>
      <c r="B5681" t="s">
        <v>40</v>
      </c>
      <c r="C5681" t="s">
        <v>25</v>
      </c>
      <c r="D5681">
        <v>3066</v>
      </c>
      <c r="E5681">
        <v>1340</v>
      </c>
      <c r="F5681">
        <v>392</v>
      </c>
      <c r="G5681">
        <v>358</v>
      </c>
      <c r="H5681">
        <v>5157</v>
      </c>
      <c r="I5681" s="1">
        <v>45658</v>
      </c>
      <c r="J5681">
        <v>750</v>
      </c>
      <c r="K5681" t="s">
        <v>23</v>
      </c>
    </row>
    <row r="5682" spans="1:11">
      <c r="A5682" s="1">
        <v>45687</v>
      </c>
      <c r="B5682" t="s">
        <v>40</v>
      </c>
      <c r="C5682" t="s">
        <v>51</v>
      </c>
      <c r="D5682">
        <v>4429</v>
      </c>
      <c r="E5682">
        <v>1704</v>
      </c>
      <c r="F5682">
        <v>626</v>
      </c>
      <c r="G5682">
        <v>800</v>
      </c>
      <c r="H5682">
        <v>7559</v>
      </c>
      <c r="I5682" s="1">
        <v>45658</v>
      </c>
      <c r="J5682">
        <v>1426</v>
      </c>
      <c r="K5682" t="s">
        <v>23</v>
      </c>
    </row>
    <row r="5683" spans="1:11">
      <c r="A5683" s="1">
        <v>45687</v>
      </c>
      <c r="B5683" t="s">
        <v>40</v>
      </c>
      <c r="C5683" t="s">
        <v>45</v>
      </c>
      <c r="D5683">
        <v>2754</v>
      </c>
      <c r="E5683">
        <v>811</v>
      </c>
      <c r="F5683">
        <v>290</v>
      </c>
      <c r="G5683">
        <v>192</v>
      </c>
      <c r="H5683">
        <v>4046</v>
      </c>
      <c r="I5683" s="1">
        <v>45658</v>
      </c>
      <c r="J5683">
        <v>482</v>
      </c>
      <c r="K5683" t="s">
        <v>23</v>
      </c>
    </row>
    <row r="5684" spans="1:11">
      <c r="A5684" s="1">
        <v>45687</v>
      </c>
      <c r="B5684" t="s">
        <v>40</v>
      </c>
      <c r="C5684" t="s">
        <v>39</v>
      </c>
      <c r="D5684">
        <v>6450</v>
      </c>
      <c r="E5684">
        <v>2136</v>
      </c>
      <c r="F5684">
        <v>576</v>
      </c>
      <c r="G5684">
        <v>95</v>
      </c>
      <c r="H5684">
        <v>9258</v>
      </c>
      <c r="I5684" s="1">
        <v>45658</v>
      </c>
      <c r="J5684">
        <v>671</v>
      </c>
      <c r="K5684" t="s">
        <v>23</v>
      </c>
    </row>
    <row r="5685" spans="1:11">
      <c r="A5685" s="1">
        <v>45687</v>
      </c>
      <c r="B5685" t="s">
        <v>40</v>
      </c>
      <c r="C5685" t="s">
        <v>38</v>
      </c>
      <c r="D5685">
        <v>2103</v>
      </c>
      <c r="E5685">
        <v>694</v>
      </c>
      <c r="F5685">
        <v>69</v>
      </c>
      <c r="G5685">
        <v>4</v>
      </c>
      <c r="H5685">
        <v>2870</v>
      </c>
      <c r="I5685" s="1">
        <v>45658</v>
      </c>
      <c r="J5685">
        <v>73</v>
      </c>
      <c r="K5685" t="s">
        <v>23</v>
      </c>
    </row>
    <row r="5686" spans="1:11">
      <c r="A5686" s="1">
        <v>45687</v>
      </c>
      <c r="B5686" t="s">
        <v>40</v>
      </c>
      <c r="C5686" t="s">
        <v>54</v>
      </c>
      <c r="D5686">
        <v>2047</v>
      </c>
      <c r="E5686">
        <v>1129</v>
      </c>
      <c r="F5686">
        <v>436</v>
      </c>
      <c r="G5686">
        <v>230</v>
      </c>
      <c r="H5686">
        <v>3841</v>
      </c>
      <c r="I5686" s="1">
        <v>45658</v>
      </c>
      <c r="J5686">
        <v>666</v>
      </c>
      <c r="K5686" t="s">
        <v>23</v>
      </c>
    </row>
    <row r="5687" spans="1:11">
      <c r="A5687" s="1">
        <v>45687</v>
      </c>
      <c r="B5687" t="s">
        <v>40</v>
      </c>
      <c r="C5687" t="s">
        <v>35</v>
      </c>
      <c r="D5687">
        <v>339</v>
      </c>
      <c r="E5687">
        <v>231</v>
      </c>
      <c r="F5687">
        <v>180</v>
      </c>
      <c r="G5687">
        <v>62</v>
      </c>
      <c r="H5687">
        <v>811</v>
      </c>
      <c r="I5687" s="1">
        <v>45658</v>
      </c>
      <c r="J5687">
        <v>242</v>
      </c>
      <c r="K5687" t="s">
        <v>23</v>
      </c>
    </row>
    <row r="5688" spans="1:11">
      <c r="A5688" s="1">
        <v>45687</v>
      </c>
      <c r="B5688" t="s">
        <v>40</v>
      </c>
      <c r="C5688" t="s">
        <v>52</v>
      </c>
      <c r="D5688">
        <v>8670</v>
      </c>
      <c r="E5688">
        <v>4286</v>
      </c>
      <c r="F5688">
        <v>1162</v>
      </c>
      <c r="G5688">
        <v>243</v>
      </c>
      <c r="H5688">
        <v>14361</v>
      </c>
      <c r="I5688" s="1">
        <v>45658</v>
      </c>
      <c r="J5688">
        <v>1405</v>
      </c>
      <c r="K5688" t="s">
        <v>23</v>
      </c>
    </row>
    <row r="5689" spans="1:11">
      <c r="A5689" s="1">
        <v>45687</v>
      </c>
      <c r="B5689" t="s">
        <v>40</v>
      </c>
      <c r="C5689" t="s">
        <v>22</v>
      </c>
      <c r="D5689">
        <v>3822</v>
      </c>
      <c r="E5689">
        <v>1471</v>
      </c>
      <c r="F5689">
        <v>163</v>
      </c>
      <c r="G5689">
        <v>15</v>
      </c>
      <c r="H5689">
        <v>5470</v>
      </c>
      <c r="I5689" s="1">
        <v>45658</v>
      </c>
      <c r="J5689">
        <v>178</v>
      </c>
      <c r="K5689" t="s">
        <v>23</v>
      </c>
    </row>
    <row r="5690" spans="1:11">
      <c r="A5690" s="1">
        <v>45687</v>
      </c>
      <c r="B5690" t="s">
        <v>40</v>
      </c>
      <c r="C5690" t="s">
        <v>31</v>
      </c>
      <c r="D5690">
        <v>2379</v>
      </c>
      <c r="E5690">
        <v>548</v>
      </c>
      <c r="F5690">
        <v>138</v>
      </c>
      <c r="G5690">
        <v>77</v>
      </c>
      <c r="H5690">
        <v>3143</v>
      </c>
      <c r="I5690" s="1">
        <v>45658</v>
      </c>
      <c r="J5690">
        <v>215</v>
      </c>
      <c r="K5690" t="s">
        <v>23</v>
      </c>
    </row>
    <row r="5691" spans="1:11">
      <c r="A5691" s="1">
        <v>45687</v>
      </c>
      <c r="B5691" t="s">
        <v>40</v>
      </c>
      <c r="C5691" t="s">
        <v>63</v>
      </c>
      <c r="D5691">
        <v>5753</v>
      </c>
      <c r="E5691">
        <v>2957</v>
      </c>
      <c r="F5691">
        <v>1426</v>
      </c>
      <c r="G5691">
        <v>1270</v>
      </c>
      <c r="H5691">
        <v>11406</v>
      </c>
      <c r="I5691" s="1">
        <v>45658</v>
      </c>
      <c r="J5691">
        <v>2696</v>
      </c>
      <c r="K5691" t="s">
        <v>23</v>
      </c>
    </row>
    <row r="5692" spans="1:11">
      <c r="A5692" s="1">
        <v>45687</v>
      </c>
      <c r="B5692" t="s">
        <v>40</v>
      </c>
      <c r="C5692" t="s">
        <v>60</v>
      </c>
      <c r="D5692">
        <v>6687</v>
      </c>
      <c r="E5692">
        <v>2179</v>
      </c>
      <c r="F5692">
        <v>958</v>
      </c>
      <c r="G5692">
        <v>1040</v>
      </c>
      <c r="H5692">
        <v>10863</v>
      </c>
      <c r="I5692" s="1">
        <v>45658</v>
      </c>
      <c r="J5692">
        <v>1998</v>
      </c>
      <c r="K5692" t="s">
        <v>23</v>
      </c>
    </row>
    <row r="5693" spans="1:11">
      <c r="A5693" s="1">
        <v>45687</v>
      </c>
      <c r="B5693" t="s">
        <v>40</v>
      </c>
      <c r="C5693" t="s">
        <v>61</v>
      </c>
      <c r="D5693">
        <v>13864</v>
      </c>
      <c r="E5693">
        <v>8386</v>
      </c>
      <c r="F5693">
        <v>3657</v>
      </c>
      <c r="G5693">
        <v>4545</v>
      </c>
      <c r="H5693">
        <v>30452</v>
      </c>
      <c r="I5693" s="1">
        <v>45658</v>
      </c>
      <c r="J5693">
        <v>8202</v>
      </c>
      <c r="K5693" t="s">
        <v>23</v>
      </c>
    </row>
    <row r="5694" spans="1:11">
      <c r="A5694" s="1">
        <v>45687</v>
      </c>
      <c r="B5694" t="s">
        <v>40</v>
      </c>
      <c r="C5694" t="s">
        <v>62</v>
      </c>
      <c r="D5694">
        <v>1945</v>
      </c>
      <c r="E5694">
        <v>1551</v>
      </c>
      <c r="F5694">
        <v>990</v>
      </c>
      <c r="G5694">
        <v>4727</v>
      </c>
      <c r="H5694">
        <v>9213</v>
      </c>
      <c r="I5694" s="1">
        <v>45658</v>
      </c>
      <c r="J5694">
        <v>5717</v>
      </c>
      <c r="K5694" t="s">
        <v>23</v>
      </c>
    </row>
    <row r="5695" spans="1:11">
      <c r="A5695" s="1">
        <v>45687</v>
      </c>
      <c r="B5695" t="s">
        <v>40</v>
      </c>
      <c r="C5695" t="s">
        <v>69</v>
      </c>
      <c r="D5695">
        <v>16451</v>
      </c>
      <c r="E5695">
        <v>4806</v>
      </c>
      <c r="F5695">
        <v>1211</v>
      </c>
      <c r="G5695">
        <v>925</v>
      </c>
      <c r="H5695">
        <v>23393</v>
      </c>
      <c r="I5695" s="1">
        <v>45658</v>
      </c>
      <c r="J5695">
        <v>2136</v>
      </c>
      <c r="K5695" t="s">
        <v>23</v>
      </c>
    </row>
    <row r="5696" spans="1:11">
      <c r="A5696" s="1">
        <v>45687</v>
      </c>
      <c r="B5696" t="s">
        <v>40</v>
      </c>
      <c r="C5696" t="s">
        <v>24</v>
      </c>
      <c r="D5696">
        <v>312</v>
      </c>
      <c r="E5696">
        <v>158</v>
      </c>
      <c r="F5696">
        <v>9</v>
      </c>
      <c r="G5696">
        <v>1</v>
      </c>
      <c r="H5696">
        <v>481</v>
      </c>
      <c r="I5696" s="1">
        <v>45658</v>
      </c>
      <c r="J5696">
        <v>10</v>
      </c>
      <c r="K5696" t="s">
        <v>23</v>
      </c>
    </row>
    <row r="5697" spans="1:11">
      <c r="A5697" s="1">
        <v>45687</v>
      </c>
      <c r="B5697" t="s">
        <v>40</v>
      </c>
      <c r="C5697" t="s">
        <v>29</v>
      </c>
      <c r="D5697">
        <v>3446</v>
      </c>
      <c r="E5697">
        <v>1241</v>
      </c>
      <c r="F5697">
        <v>628</v>
      </c>
      <c r="G5697">
        <v>609</v>
      </c>
      <c r="H5697">
        <v>5925</v>
      </c>
      <c r="I5697" s="1">
        <v>45658</v>
      </c>
      <c r="J5697">
        <v>1237</v>
      </c>
      <c r="K5697" t="s">
        <v>23</v>
      </c>
    </row>
    <row r="5698" spans="1:11">
      <c r="A5698" s="1">
        <v>45687</v>
      </c>
      <c r="B5698" t="s">
        <v>40</v>
      </c>
      <c r="C5698" t="s">
        <v>70</v>
      </c>
      <c r="D5698">
        <v>2634</v>
      </c>
      <c r="E5698">
        <v>1221</v>
      </c>
      <c r="F5698">
        <v>580</v>
      </c>
      <c r="G5698">
        <v>442</v>
      </c>
      <c r="H5698">
        <v>4877</v>
      </c>
      <c r="I5698" s="1">
        <v>45658</v>
      </c>
      <c r="J5698">
        <v>1022</v>
      </c>
      <c r="K5698" t="s">
        <v>23</v>
      </c>
    </row>
    <row r="5699" spans="1:11">
      <c r="A5699" s="1">
        <v>45687</v>
      </c>
      <c r="B5699" t="s">
        <v>40</v>
      </c>
      <c r="C5699" t="s">
        <v>71</v>
      </c>
      <c r="D5699">
        <v>17778</v>
      </c>
      <c r="E5699">
        <v>8303</v>
      </c>
      <c r="F5699">
        <v>3442</v>
      </c>
      <c r="G5699">
        <v>2003</v>
      </c>
      <c r="H5699">
        <v>31525</v>
      </c>
      <c r="I5699" s="1">
        <v>45658</v>
      </c>
      <c r="J5699">
        <v>5445</v>
      </c>
      <c r="K5699" t="s">
        <v>23</v>
      </c>
    </row>
    <row r="5700" spans="1:11">
      <c r="A5700" s="1">
        <v>45687</v>
      </c>
      <c r="B5700" t="s">
        <v>40</v>
      </c>
      <c r="C5700" t="s">
        <v>36</v>
      </c>
      <c r="D5700">
        <v>15551</v>
      </c>
      <c r="E5700">
        <v>8485</v>
      </c>
      <c r="F5700">
        <v>3275</v>
      </c>
      <c r="G5700">
        <v>1361</v>
      </c>
      <c r="H5700">
        <v>28673</v>
      </c>
      <c r="I5700" s="1">
        <v>45658</v>
      </c>
      <c r="J5700">
        <v>4636</v>
      </c>
      <c r="K5700" t="s">
        <v>23</v>
      </c>
    </row>
    <row r="5701" spans="1:11">
      <c r="A5701" s="1">
        <v>45687</v>
      </c>
      <c r="B5701" t="s">
        <v>40</v>
      </c>
      <c r="C5701" t="s">
        <v>32</v>
      </c>
      <c r="D5701">
        <v>2352</v>
      </c>
      <c r="E5701">
        <v>813</v>
      </c>
      <c r="F5701">
        <v>323</v>
      </c>
      <c r="G5701">
        <v>43</v>
      </c>
      <c r="H5701">
        <v>3530</v>
      </c>
      <c r="I5701" s="1">
        <v>45658</v>
      </c>
      <c r="J5701">
        <v>366</v>
      </c>
      <c r="K5701" t="s">
        <v>23</v>
      </c>
    </row>
    <row r="5702" spans="1:11">
      <c r="A5702" s="1">
        <v>45687</v>
      </c>
      <c r="B5702" t="s">
        <v>40</v>
      </c>
      <c r="C5702" t="s">
        <v>44</v>
      </c>
      <c r="D5702">
        <v>6129</v>
      </c>
      <c r="E5702">
        <v>2926</v>
      </c>
      <c r="F5702">
        <v>546</v>
      </c>
      <c r="G5702">
        <v>132</v>
      </c>
      <c r="H5702">
        <v>9732</v>
      </c>
      <c r="I5702" s="1">
        <v>45658</v>
      </c>
      <c r="J5702">
        <v>678</v>
      </c>
      <c r="K5702" t="s">
        <v>23</v>
      </c>
    </row>
    <row r="5703" spans="1:11">
      <c r="A5703" s="1">
        <v>45687</v>
      </c>
      <c r="B5703" t="s">
        <v>40</v>
      </c>
      <c r="C5703" t="s">
        <v>59</v>
      </c>
      <c r="D5703">
        <v>14216</v>
      </c>
      <c r="E5703">
        <v>4273</v>
      </c>
      <c r="F5703">
        <v>1509</v>
      </c>
      <c r="G5703">
        <v>782</v>
      </c>
      <c r="H5703">
        <v>20780</v>
      </c>
      <c r="I5703" s="1">
        <v>45658</v>
      </c>
      <c r="J5703">
        <v>2291</v>
      </c>
      <c r="K5703" t="s">
        <v>23</v>
      </c>
    </row>
    <row r="5704" spans="1:11">
      <c r="A5704" s="1">
        <v>45687</v>
      </c>
      <c r="B5704" t="s">
        <v>40</v>
      </c>
      <c r="C5704" t="s">
        <v>67</v>
      </c>
      <c r="D5704">
        <v>20444</v>
      </c>
      <c r="E5704">
        <v>10524</v>
      </c>
      <c r="F5704">
        <v>4634</v>
      </c>
      <c r="G5704">
        <v>4751</v>
      </c>
      <c r="H5704">
        <v>40353</v>
      </c>
      <c r="I5704" s="1">
        <v>45658</v>
      </c>
      <c r="J5704">
        <v>9385</v>
      </c>
      <c r="K5704" t="s">
        <v>23</v>
      </c>
    </row>
    <row r="5705" spans="1:11">
      <c r="A5705" s="1">
        <v>45687</v>
      </c>
      <c r="B5705" t="s">
        <v>40</v>
      </c>
      <c r="C5705" t="s">
        <v>49</v>
      </c>
      <c r="D5705">
        <v>2981</v>
      </c>
      <c r="E5705">
        <v>564</v>
      </c>
      <c r="F5705">
        <v>25</v>
      </c>
      <c r="G5705">
        <v>6</v>
      </c>
      <c r="H5705">
        <v>3576</v>
      </c>
      <c r="I5705" s="1">
        <v>45658</v>
      </c>
      <c r="J5705">
        <v>31</v>
      </c>
      <c r="K5705" t="s">
        <v>23</v>
      </c>
    </row>
    <row r="5706" spans="1:11">
      <c r="A5706" s="1">
        <v>45715</v>
      </c>
      <c r="B5706" t="s">
        <v>40</v>
      </c>
      <c r="C5706" t="s">
        <v>48</v>
      </c>
      <c r="D5706">
        <v>23880</v>
      </c>
      <c r="E5706">
        <v>12902</v>
      </c>
      <c r="F5706">
        <v>3200</v>
      </c>
      <c r="G5706">
        <v>456</v>
      </c>
      <c r="H5706">
        <v>40437</v>
      </c>
      <c r="I5706" s="1">
        <v>45689</v>
      </c>
      <c r="J5706">
        <v>3656</v>
      </c>
      <c r="K5706" t="s">
        <v>23</v>
      </c>
    </row>
    <row r="5707" spans="1:11">
      <c r="A5707" s="1">
        <v>45715</v>
      </c>
      <c r="B5707" t="s">
        <v>40</v>
      </c>
      <c r="C5707" t="s">
        <v>41</v>
      </c>
      <c r="D5707">
        <v>4044</v>
      </c>
      <c r="E5707">
        <v>1411</v>
      </c>
      <c r="F5707">
        <v>265</v>
      </c>
      <c r="G5707">
        <v>82</v>
      </c>
      <c r="H5707">
        <v>5801</v>
      </c>
      <c r="I5707" s="1">
        <v>45689</v>
      </c>
      <c r="J5707">
        <v>347</v>
      </c>
      <c r="K5707" t="s">
        <v>23</v>
      </c>
    </row>
    <row r="5708" spans="1:11">
      <c r="A5708" s="1">
        <v>45715</v>
      </c>
      <c r="B5708" t="s">
        <v>40</v>
      </c>
      <c r="C5708" t="s">
        <v>33</v>
      </c>
      <c r="D5708">
        <v>1877</v>
      </c>
      <c r="E5708">
        <v>610</v>
      </c>
      <c r="F5708">
        <v>136</v>
      </c>
      <c r="G5708">
        <v>8</v>
      </c>
      <c r="H5708">
        <v>2631</v>
      </c>
      <c r="I5708" s="1">
        <v>45689</v>
      </c>
      <c r="J5708">
        <v>144</v>
      </c>
      <c r="K5708" t="s">
        <v>23</v>
      </c>
    </row>
    <row r="5709" spans="1:11">
      <c r="A5709" s="1">
        <v>45715</v>
      </c>
      <c r="B5709" t="s">
        <v>40</v>
      </c>
      <c r="C5709" t="s">
        <v>65</v>
      </c>
      <c r="D5709">
        <v>12249</v>
      </c>
      <c r="E5709">
        <v>4450</v>
      </c>
      <c r="F5709">
        <v>1272</v>
      </c>
      <c r="G5709">
        <v>1939</v>
      </c>
      <c r="H5709">
        <v>19910</v>
      </c>
      <c r="I5709" s="1">
        <v>45689</v>
      </c>
      <c r="J5709">
        <v>3211</v>
      </c>
      <c r="K5709" t="s">
        <v>23</v>
      </c>
    </row>
    <row r="5710" spans="1:11">
      <c r="A5710" s="1">
        <v>45715</v>
      </c>
      <c r="B5710" t="s">
        <v>40</v>
      </c>
      <c r="C5710" t="s">
        <v>27</v>
      </c>
      <c r="D5710">
        <v>3206</v>
      </c>
      <c r="E5710">
        <v>1477</v>
      </c>
      <c r="F5710">
        <v>479</v>
      </c>
      <c r="G5710">
        <v>365</v>
      </c>
      <c r="H5710">
        <v>5527</v>
      </c>
      <c r="I5710" s="1">
        <v>45689</v>
      </c>
      <c r="J5710">
        <v>844</v>
      </c>
      <c r="K5710" t="s">
        <v>23</v>
      </c>
    </row>
    <row r="5711" spans="1:11">
      <c r="A5711" s="1">
        <v>45715</v>
      </c>
      <c r="B5711" t="s">
        <v>40</v>
      </c>
      <c r="C5711" t="s">
        <v>37</v>
      </c>
      <c r="D5711">
        <v>434</v>
      </c>
      <c r="E5711">
        <v>316</v>
      </c>
      <c r="F5711">
        <v>190</v>
      </c>
      <c r="G5711">
        <v>45</v>
      </c>
      <c r="H5711">
        <v>985</v>
      </c>
      <c r="I5711" s="1">
        <v>45689</v>
      </c>
      <c r="J5711">
        <v>235</v>
      </c>
      <c r="K5711" t="s">
        <v>23</v>
      </c>
    </row>
    <row r="5712" spans="1:11">
      <c r="A5712" s="1">
        <v>45715</v>
      </c>
      <c r="B5712" t="s">
        <v>40</v>
      </c>
      <c r="C5712" t="s">
        <v>66</v>
      </c>
      <c r="D5712">
        <v>22389</v>
      </c>
      <c r="E5712">
        <v>8394</v>
      </c>
      <c r="F5712">
        <v>3612</v>
      </c>
      <c r="G5712">
        <v>4959</v>
      </c>
      <c r="H5712">
        <v>39354</v>
      </c>
      <c r="I5712" s="1">
        <v>45689</v>
      </c>
      <c r="J5712">
        <v>8571</v>
      </c>
      <c r="K5712" t="s">
        <v>23</v>
      </c>
    </row>
    <row r="5713" spans="1:11">
      <c r="A5713" s="1">
        <v>45715</v>
      </c>
      <c r="B5713" t="s">
        <v>40</v>
      </c>
      <c r="C5713" t="s">
        <v>57</v>
      </c>
      <c r="D5713">
        <v>9021</v>
      </c>
      <c r="E5713">
        <v>2558</v>
      </c>
      <c r="F5713">
        <v>784</v>
      </c>
      <c r="G5713">
        <v>485</v>
      </c>
      <c r="H5713">
        <v>12849</v>
      </c>
      <c r="I5713" s="1">
        <v>45689</v>
      </c>
      <c r="J5713">
        <v>1269</v>
      </c>
      <c r="K5713" t="s">
        <v>23</v>
      </c>
    </row>
    <row r="5714" spans="1:11">
      <c r="A5714" s="1">
        <v>45715</v>
      </c>
      <c r="B5714" t="s">
        <v>40</v>
      </c>
      <c r="C5714" t="s">
        <v>42</v>
      </c>
      <c r="D5714">
        <v>1683</v>
      </c>
      <c r="E5714">
        <v>652</v>
      </c>
      <c r="F5714">
        <v>19</v>
      </c>
      <c r="G5714">
        <v>8</v>
      </c>
      <c r="H5714">
        <v>2361</v>
      </c>
      <c r="I5714" s="1">
        <v>45689</v>
      </c>
      <c r="J5714">
        <v>27</v>
      </c>
      <c r="K5714" t="s">
        <v>23</v>
      </c>
    </row>
    <row r="5715" spans="1:11">
      <c r="A5715" s="1">
        <v>45715</v>
      </c>
      <c r="B5715" t="s">
        <v>40</v>
      </c>
      <c r="C5715" t="s">
        <v>28</v>
      </c>
      <c r="D5715">
        <v>2386</v>
      </c>
      <c r="E5715">
        <v>1208</v>
      </c>
      <c r="F5715">
        <v>348</v>
      </c>
      <c r="G5715">
        <v>370</v>
      </c>
      <c r="H5715">
        <v>4312</v>
      </c>
      <c r="I5715" s="1">
        <v>45689</v>
      </c>
      <c r="J5715">
        <v>718</v>
      </c>
      <c r="K5715" t="s">
        <v>23</v>
      </c>
    </row>
    <row r="5716" spans="1:11">
      <c r="A5716" s="1">
        <v>45715</v>
      </c>
      <c r="B5716" t="s">
        <v>40</v>
      </c>
      <c r="C5716" t="s">
        <v>68</v>
      </c>
      <c r="D5716">
        <v>23849</v>
      </c>
      <c r="E5716">
        <v>7232</v>
      </c>
      <c r="F5716">
        <v>2917</v>
      </c>
      <c r="G5716">
        <v>4255</v>
      </c>
      <c r="H5716">
        <v>38254</v>
      </c>
      <c r="I5716" s="1">
        <v>45689</v>
      </c>
      <c r="J5716">
        <v>7172</v>
      </c>
      <c r="K5716" t="s">
        <v>23</v>
      </c>
    </row>
    <row r="5717" spans="1:11">
      <c r="A5717" s="1">
        <v>45715</v>
      </c>
      <c r="B5717" t="s">
        <v>40</v>
      </c>
      <c r="C5717" t="s">
        <v>47</v>
      </c>
      <c r="D5717">
        <v>3853</v>
      </c>
      <c r="E5717">
        <v>1221</v>
      </c>
      <c r="F5717">
        <v>259</v>
      </c>
      <c r="G5717">
        <v>222</v>
      </c>
      <c r="H5717">
        <v>5554</v>
      </c>
      <c r="I5717" s="1">
        <v>45689</v>
      </c>
      <c r="J5717">
        <v>481</v>
      </c>
      <c r="K5717" t="s">
        <v>23</v>
      </c>
    </row>
    <row r="5718" spans="1:11">
      <c r="A5718" s="1">
        <v>45715</v>
      </c>
      <c r="B5718" t="s">
        <v>40</v>
      </c>
      <c r="C5718" t="s">
        <v>25</v>
      </c>
      <c r="D5718">
        <v>3180</v>
      </c>
      <c r="E5718">
        <v>1321</v>
      </c>
      <c r="F5718">
        <v>478</v>
      </c>
      <c r="G5718">
        <v>334</v>
      </c>
      <c r="H5718">
        <v>5314</v>
      </c>
      <c r="I5718" s="1">
        <v>45689</v>
      </c>
      <c r="J5718">
        <v>812</v>
      </c>
      <c r="K5718" t="s">
        <v>23</v>
      </c>
    </row>
    <row r="5719" spans="1:11">
      <c r="A5719" s="1">
        <v>45715</v>
      </c>
      <c r="B5719" t="s">
        <v>40</v>
      </c>
      <c r="C5719" t="s">
        <v>51</v>
      </c>
      <c r="D5719">
        <v>4656</v>
      </c>
      <c r="E5719">
        <v>1733</v>
      </c>
      <c r="F5719">
        <v>629</v>
      </c>
      <c r="G5719">
        <v>816</v>
      </c>
      <c r="H5719">
        <v>7834</v>
      </c>
      <c r="I5719" s="1">
        <v>45689</v>
      </c>
      <c r="J5719">
        <v>1445</v>
      </c>
      <c r="K5719" t="s">
        <v>23</v>
      </c>
    </row>
    <row r="5720" spans="1:11">
      <c r="A5720" s="1">
        <v>45715</v>
      </c>
      <c r="B5720" t="s">
        <v>40</v>
      </c>
      <c r="C5720" t="s">
        <v>45</v>
      </c>
      <c r="D5720">
        <v>2699</v>
      </c>
      <c r="E5720">
        <v>928</v>
      </c>
      <c r="F5720">
        <v>296</v>
      </c>
      <c r="G5720">
        <v>197</v>
      </c>
      <c r="H5720">
        <v>4121</v>
      </c>
      <c r="I5720" s="1">
        <v>45689</v>
      </c>
      <c r="J5720">
        <v>493</v>
      </c>
      <c r="K5720" t="s">
        <v>23</v>
      </c>
    </row>
    <row r="5721" spans="1:11">
      <c r="A5721" s="1">
        <v>45715</v>
      </c>
      <c r="B5721" t="s">
        <v>40</v>
      </c>
      <c r="C5721" t="s">
        <v>39</v>
      </c>
      <c r="D5721">
        <v>6560</v>
      </c>
      <c r="E5721">
        <v>2286</v>
      </c>
      <c r="F5721">
        <v>675</v>
      </c>
      <c r="G5721">
        <v>101</v>
      </c>
      <c r="H5721">
        <v>9621</v>
      </c>
      <c r="I5721" s="1">
        <v>45689</v>
      </c>
      <c r="J5721">
        <v>776</v>
      </c>
      <c r="K5721" t="s">
        <v>23</v>
      </c>
    </row>
    <row r="5722" spans="1:11">
      <c r="A5722" s="1">
        <v>45715</v>
      </c>
      <c r="B5722" t="s">
        <v>40</v>
      </c>
      <c r="C5722" t="s">
        <v>38</v>
      </c>
      <c r="D5722">
        <v>2147</v>
      </c>
      <c r="E5722">
        <v>690</v>
      </c>
      <c r="F5722">
        <v>77</v>
      </c>
      <c r="G5722">
        <v>1</v>
      </c>
      <c r="H5722">
        <v>2915</v>
      </c>
      <c r="I5722" s="1">
        <v>45689</v>
      </c>
      <c r="J5722">
        <v>78</v>
      </c>
      <c r="K5722" t="s">
        <v>23</v>
      </c>
    </row>
    <row r="5723" spans="1:11">
      <c r="A5723" s="1">
        <v>45715</v>
      </c>
      <c r="B5723" t="s">
        <v>40</v>
      </c>
      <c r="C5723" t="s">
        <v>54</v>
      </c>
      <c r="D5723">
        <v>1973</v>
      </c>
      <c r="E5723">
        <v>1015</v>
      </c>
      <c r="F5723">
        <v>474</v>
      </c>
      <c r="G5723">
        <v>228</v>
      </c>
      <c r="H5723">
        <v>3690</v>
      </c>
      <c r="I5723" s="1">
        <v>45689</v>
      </c>
      <c r="J5723">
        <v>702</v>
      </c>
      <c r="K5723" t="s">
        <v>23</v>
      </c>
    </row>
    <row r="5724" spans="1:11">
      <c r="A5724" s="1">
        <v>45715</v>
      </c>
      <c r="B5724" t="s">
        <v>40</v>
      </c>
      <c r="C5724" t="s">
        <v>35</v>
      </c>
      <c r="D5724">
        <v>359</v>
      </c>
      <c r="E5724">
        <v>245</v>
      </c>
      <c r="F5724">
        <v>199</v>
      </c>
      <c r="G5724">
        <v>70</v>
      </c>
      <c r="H5724">
        <v>873</v>
      </c>
      <c r="I5724" s="1">
        <v>45689</v>
      </c>
      <c r="J5724">
        <v>269</v>
      </c>
      <c r="K5724" t="s">
        <v>23</v>
      </c>
    </row>
    <row r="5725" spans="1:11">
      <c r="A5725" s="1">
        <v>45715</v>
      </c>
      <c r="B5725" t="s">
        <v>40</v>
      </c>
      <c r="C5725" t="s">
        <v>52</v>
      </c>
      <c r="D5725">
        <v>8998</v>
      </c>
      <c r="E5725">
        <v>4513</v>
      </c>
      <c r="F5725">
        <v>1304</v>
      </c>
      <c r="G5725">
        <v>299</v>
      </c>
      <c r="H5725">
        <v>15114</v>
      </c>
      <c r="I5725" s="1">
        <v>45689</v>
      </c>
      <c r="J5725">
        <v>1603</v>
      </c>
      <c r="K5725" t="s">
        <v>23</v>
      </c>
    </row>
    <row r="5726" spans="1:11">
      <c r="A5726" s="1">
        <v>45715</v>
      </c>
      <c r="B5726" t="s">
        <v>40</v>
      </c>
      <c r="C5726" t="s">
        <v>22</v>
      </c>
      <c r="D5726">
        <v>3945</v>
      </c>
      <c r="E5726">
        <v>1546</v>
      </c>
      <c r="F5726">
        <v>211</v>
      </c>
      <c r="G5726">
        <v>13</v>
      </c>
      <c r="H5726">
        <v>5715</v>
      </c>
      <c r="I5726" s="1">
        <v>45689</v>
      </c>
      <c r="J5726">
        <v>224</v>
      </c>
      <c r="K5726" t="s">
        <v>23</v>
      </c>
    </row>
    <row r="5727" spans="1:11">
      <c r="A5727" s="1">
        <v>45715</v>
      </c>
      <c r="B5727" t="s">
        <v>40</v>
      </c>
      <c r="C5727" t="s">
        <v>46</v>
      </c>
      <c r="D5727">
        <v>2193</v>
      </c>
      <c r="E5727">
        <v>497</v>
      </c>
      <c r="F5727">
        <v>39</v>
      </c>
      <c r="G5727">
        <v>4</v>
      </c>
      <c r="H5727">
        <v>2733</v>
      </c>
      <c r="I5727" s="1">
        <v>45689</v>
      </c>
      <c r="J5727">
        <v>43</v>
      </c>
      <c r="K5727" t="s">
        <v>23</v>
      </c>
    </row>
    <row r="5728" spans="1:11">
      <c r="A5728" s="1">
        <v>45715</v>
      </c>
      <c r="B5728" t="s">
        <v>40</v>
      </c>
      <c r="C5728" t="s">
        <v>31</v>
      </c>
      <c r="D5728">
        <v>2547</v>
      </c>
      <c r="E5728">
        <v>563</v>
      </c>
      <c r="F5728">
        <v>108</v>
      </c>
      <c r="G5728">
        <v>56</v>
      </c>
      <c r="H5728">
        <v>3274</v>
      </c>
      <c r="I5728" s="1">
        <v>45689</v>
      </c>
      <c r="J5728">
        <v>164</v>
      </c>
      <c r="K5728" t="s">
        <v>23</v>
      </c>
    </row>
    <row r="5729" spans="1:11">
      <c r="A5729" s="1">
        <v>45715</v>
      </c>
      <c r="B5729" t="s">
        <v>40</v>
      </c>
      <c r="C5729" t="s">
        <v>63</v>
      </c>
      <c r="D5729">
        <v>6084</v>
      </c>
      <c r="E5729">
        <v>3022</v>
      </c>
      <c r="F5729">
        <v>1406</v>
      </c>
      <c r="G5729">
        <v>1238</v>
      </c>
      <c r="H5729">
        <v>11750</v>
      </c>
      <c r="I5729" s="1">
        <v>45689</v>
      </c>
      <c r="J5729">
        <v>2644</v>
      </c>
      <c r="K5729" t="s">
        <v>23</v>
      </c>
    </row>
    <row r="5730" spans="1:11">
      <c r="A5730" s="1">
        <v>45715</v>
      </c>
      <c r="B5730" t="s">
        <v>40</v>
      </c>
      <c r="C5730" t="s">
        <v>60</v>
      </c>
      <c r="D5730">
        <v>6835</v>
      </c>
      <c r="E5730">
        <v>2173</v>
      </c>
      <c r="F5730">
        <v>980</v>
      </c>
      <c r="G5730">
        <v>1062</v>
      </c>
      <c r="H5730">
        <v>11050</v>
      </c>
      <c r="I5730" s="1">
        <v>45689</v>
      </c>
      <c r="J5730">
        <v>2042</v>
      </c>
      <c r="K5730" t="s">
        <v>23</v>
      </c>
    </row>
    <row r="5731" spans="1:11">
      <c r="A5731" s="1">
        <v>45715</v>
      </c>
      <c r="B5731" t="s">
        <v>40</v>
      </c>
      <c r="C5731" t="s">
        <v>61</v>
      </c>
      <c r="D5731">
        <v>13977</v>
      </c>
      <c r="E5731">
        <v>8193</v>
      </c>
      <c r="F5731">
        <v>3608</v>
      </c>
      <c r="G5731">
        <v>4645</v>
      </c>
      <c r="H5731">
        <v>30423</v>
      </c>
      <c r="I5731" s="1">
        <v>45689</v>
      </c>
      <c r="J5731">
        <v>8253</v>
      </c>
      <c r="K5731" t="s">
        <v>23</v>
      </c>
    </row>
    <row r="5732" spans="1:11">
      <c r="A5732" s="1">
        <v>45715</v>
      </c>
      <c r="B5732" t="s">
        <v>40</v>
      </c>
      <c r="C5732" t="s">
        <v>62</v>
      </c>
      <c r="D5732">
        <v>2002</v>
      </c>
      <c r="E5732">
        <v>1474</v>
      </c>
      <c r="F5732">
        <v>987</v>
      </c>
      <c r="G5732">
        <v>4766</v>
      </c>
      <c r="H5732">
        <v>9229</v>
      </c>
      <c r="I5732" s="1">
        <v>45689</v>
      </c>
      <c r="J5732">
        <v>5753</v>
      </c>
      <c r="K5732" t="s">
        <v>23</v>
      </c>
    </row>
    <row r="5733" spans="1:11">
      <c r="A5733" s="1">
        <v>45715</v>
      </c>
      <c r="B5733" t="s">
        <v>40</v>
      </c>
      <c r="C5733" t="s">
        <v>69</v>
      </c>
      <c r="D5733">
        <v>16801</v>
      </c>
      <c r="E5733">
        <v>4895</v>
      </c>
      <c r="F5733">
        <v>1320</v>
      </c>
      <c r="G5733">
        <v>934</v>
      </c>
      <c r="H5733">
        <v>23950</v>
      </c>
      <c r="I5733" s="1">
        <v>45689</v>
      </c>
      <c r="J5733">
        <v>2254</v>
      </c>
      <c r="K5733" t="s">
        <v>23</v>
      </c>
    </row>
    <row r="5734" spans="1:11">
      <c r="A5734" s="1">
        <v>45715</v>
      </c>
      <c r="B5734" t="s">
        <v>40</v>
      </c>
      <c r="C5734" t="s">
        <v>29</v>
      </c>
      <c r="D5734">
        <v>3637</v>
      </c>
      <c r="E5734">
        <v>1239</v>
      </c>
      <c r="F5734">
        <v>578</v>
      </c>
      <c r="G5734">
        <v>625</v>
      </c>
      <c r="H5734">
        <v>6079</v>
      </c>
      <c r="I5734" s="1">
        <v>45689</v>
      </c>
      <c r="J5734">
        <v>1203</v>
      </c>
      <c r="K5734" t="s">
        <v>23</v>
      </c>
    </row>
    <row r="5735" spans="1:11">
      <c r="A5735" s="1">
        <v>45715</v>
      </c>
      <c r="B5735" t="s">
        <v>40</v>
      </c>
      <c r="C5735" t="s">
        <v>70</v>
      </c>
      <c r="D5735">
        <v>2698</v>
      </c>
      <c r="E5735">
        <v>1181</v>
      </c>
      <c r="F5735">
        <v>562</v>
      </c>
      <c r="G5735">
        <v>411</v>
      </c>
      <c r="H5735">
        <v>4852</v>
      </c>
      <c r="I5735" s="1">
        <v>45689</v>
      </c>
      <c r="J5735">
        <v>973</v>
      </c>
      <c r="K5735" t="s">
        <v>23</v>
      </c>
    </row>
    <row r="5736" spans="1:11">
      <c r="A5736" s="1">
        <v>45715</v>
      </c>
      <c r="B5736" t="s">
        <v>40</v>
      </c>
      <c r="C5736" t="s">
        <v>71</v>
      </c>
      <c r="D5736">
        <v>17616</v>
      </c>
      <c r="E5736">
        <v>8214</v>
      </c>
      <c r="F5736">
        <v>3609</v>
      </c>
      <c r="G5736">
        <v>2127</v>
      </c>
      <c r="H5736">
        <v>31567</v>
      </c>
      <c r="I5736" s="1">
        <v>45689</v>
      </c>
      <c r="J5736">
        <v>5736</v>
      </c>
      <c r="K5736" t="s">
        <v>23</v>
      </c>
    </row>
    <row r="5737" spans="1:11">
      <c r="A5737" s="1">
        <v>45715</v>
      </c>
      <c r="B5737" t="s">
        <v>40</v>
      </c>
      <c r="C5737" t="s">
        <v>36</v>
      </c>
      <c r="D5737">
        <v>14720</v>
      </c>
      <c r="E5737">
        <v>8227</v>
      </c>
      <c r="F5737">
        <v>3032</v>
      </c>
      <c r="G5737">
        <v>1278</v>
      </c>
      <c r="H5737">
        <v>27257</v>
      </c>
      <c r="I5737" s="1">
        <v>45689</v>
      </c>
      <c r="J5737">
        <v>4310</v>
      </c>
      <c r="K5737" t="s">
        <v>23</v>
      </c>
    </row>
    <row r="5738" spans="1:11">
      <c r="A5738" s="1">
        <v>45715</v>
      </c>
      <c r="B5738" t="s">
        <v>40</v>
      </c>
      <c r="C5738" t="s">
        <v>32</v>
      </c>
      <c r="D5738">
        <v>2363</v>
      </c>
      <c r="E5738">
        <v>827</v>
      </c>
      <c r="F5738">
        <v>350</v>
      </c>
      <c r="G5738">
        <v>61</v>
      </c>
      <c r="H5738">
        <v>3600</v>
      </c>
      <c r="I5738" s="1">
        <v>45689</v>
      </c>
      <c r="J5738">
        <v>411</v>
      </c>
      <c r="K5738" t="s">
        <v>23</v>
      </c>
    </row>
    <row r="5739" spans="1:11">
      <c r="A5739" s="1">
        <v>45715</v>
      </c>
      <c r="B5739" t="s">
        <v>40</v>
      </c>
      <c r="C5739" t="s">
        <v>44</v>
      </c>
      <c r="D5739">
        <v>6187</v>
      </c>
      <c r="E5739">
        <v>2921</v>
      </c>
      <c r="F5739">
        <v>622</v>
      </c>
      <c r="G5739">
        <v>116</v>
      </c>
      <c r="H5739">
        <v>9847</v>
      </c>
      <c r="I5739" s="1">
        <v>45689</v>
      </c>
      <c r="J5739">
        <v>738</v>
      </c>
      <c r="K5739" t="s">
        <v>23</v>
      </c>
    </row>
    <row r="5740" spans="1:11">
      <c r="A5740" s="1">
        <v>45715</v>
      </c>
      <c r="B5740" t="s">
        <v>40</v>
      </c>
      <c r="C5740" t="s">
        <v>59</v>
      </c>
      <c r="D5740">
        <v>14634</v>
      </c>
      <c r="E5740">
        <v>4268</v>
      </c>
      <c r="F5740">
        <v>1651</v>
      </c>
      <c r="G5740">
        <v>799</v>
      </c>
      <c r="H5740">
        <v>21352</v>
      </c>
      <c r="I5740" s="1">
        <v>45689</v>
      </c>
      <c r="J5740">
        <v>2450</v>
      </c>
      <c r="K5740" t="s">
        <v>23</v>
      </c>
    </row>
    <row r="5741" spans="1:11">
      <c r="A5741" s="1">
        <v>45715</v>
      </c>
      <c r="B5741" t="s">
        <v>40</v>
      </c>
      <c r="C5741" t="s">
        <v>67</v>
      </c>
      <c r="D5741">
        <v>20481</v>
      </c>
      <c r="E5741">
        <v>10475</v>
      </c>
      <c r="F5741">
        <v>4745</v>
      </c>
      <c r="G5741">
        <v>4841</v>
      </c>
      <c r="H5741">
        <v>40542</v>
      </c>
      <c r="I5741" s="1">
        <v>45689</v>
      </c>
      <c r="J5741">
        <v>9586</v>
      </c>
      <c r="K5741" t="s">
        <v>23</v>
      </c>
    </row>
    <row r="5742" spans="1:11">
      <c r="A5742" s="1">
        <v>45715</v>
      </c>
      <c r="B5742" t="s">
        <v>40</v>
      </c>
      <c r="C5742" t="s">
        <v>49</v>
      </c>
      <c r="D5742">
        <v>3148</v>
      </c>
      <c r="E5742">
        <v>648</v>
      </c>
      <c r="F5742">
        <v>35</v>
      </c>
      <c r="G5742">
        <v>8</v>
      </c>
      <c r="H5742">
        <v>3838</v>
      </c>
      <c r="I5742" s="1">
        <v>45689</v>
      </c>
      <c r="J5742">
        <v>43</v>
      </c>
      <c r="K5742" t="s">
        <v>23</v>
      </c>
    </row>
    <row r="5743" spans="1:11">
      <c r="A5743" s="1">
        <v>45743</v>
      </c>
      <c r="B5743" t="s">
        <v>40</v>
      </c>
      <c r="C5743" t="s">
        <v>48</v>
      </c>
      <c r="D5743">
        <v>23471</v>
      </c>
      <c r="E5743">
        <v>13196</v>
      </c>
      <c r="F5743">
        <v>3275</v>
      </c>
      <c r="G5743">
        <v>564</v>
      </c>
      <c r="H5743">
        <v>40505</v>
      </c>
      <c r="I5743" s="1">
        <v>45717</v>
      </c>
      <c r="J5743">
        <v>3839</v>
      </c>
      <c r="K5743" t="s">
        <v>23</v>
      </c>
    </row>
    <row r="5744" spans="1:11">
      <c r="A5744" s="1">
        <v>45743</v>
      </c>
      <c r="B5744" t="s">
        <v>40</v>
      </c>
      <c r="C5744" t="s">
        <v>41</v>
      </c>
      <c r="D5744">
        <v>4014</v>
      </c>
      <c r="E5744">
        <v>1474</v>
      </c>
      <c r="F5744">
        <v>277</v>
      </c>
      <c r="G5744">
        <v>87</v>
      </c>
      <c r="H5744">
        <v>5852</v>
      </c>
      <c r="I5744" s="1">
        <v>45717</v>
      </c>
      <c r="J5744">
        <v>364</v>
      </c>
      <c r="K5744" t="s">
        <v>23</v>
      </c>
    </row>
    <row r="5745" spans="1:11">
      <c r="A5745" s="1">
        <v>45743</v>
      </c>
      <c r="B5745" t="s">
        <v>40</v>
      </c>
      <c r="C5745" t="s">
        <v>33</v>
      </c>
      <c r="D5745">
        <v>1987</v>
      </c>
      <c r="E5745">
        <v>601</v>
      </c>
      <c r="F5745">
        <v>158</v>
      </c>
      <c r="G5745">
        <v>8</v>
      </c>
      <c r="H5745">
        <v>2754</v>
      </c>
      <c r="I5745" s="1">
        <v>45717</v>
      </c>
      <c r="J5745">
        <v>166</v>
      </c>
      <c r="K5745" t="s">
        <v>23</v>
      </c>
    </row>
    <row r="5746" spans="1:11">
      <c r="A5746" s="1">
        <v>45743</v>
      </c>
      <c r="B5746" t="s">
        <v>40</v>
      </c>
      <c r="C5746" t="s">
        <v>65</v>
      </c>
      <c r="D5746">
        <v>12362</v>
      </c>
      <c r="E5746">
        <v>4381</v>
      </c>
      <c r="F5746">
        <v>1409</v>
      </c>
      <c r="G5746">
        <v>1754</v>
      </c>
      <c r="H5746">
        <v>19907</v>
      </c>
      <c r="I5746" s="1">
        <v>45717</v>
      </c>
      <c r="J5746">
        <v>3163</v>
      </c>
      <c r="K5746" t="s">
        <v>23</v>
      </c>
    </row>
    <row r="5747" spans="1:11">
      <c r="A5747" s="1">
        <v>45743</v>
      </c>
      <c r="B5747" t="s">
        <v>40</v>
      </c>
      <c r="C5747" t="s">
        <v>27</v>
      </c>
      <c r="D5747">
        <v>3218</v>
      </c>
      <c r="E5747">
        <v>1583</v>
      </c>
      <c r="F5747">
        <v>504</v>
      </c>
      <c r="G5747">
        <v>385</v>
      </c>
      <c r="H5747">
        <v>5689</v>
      </c>
      <c r="I5747" s="1">
        <v>45717</v>
      </c>
      <c r="J5747">
        <v>889</v>
      </c>
      <c r="K5747" t="s">
        <v>23</v>
      </c>
    </row>
    <row r="5748" spans="1:11">
      <c r="A5748" s="1">
        <v>45743</v>
      </c>
      <c r="B5748" t="s">
        <v>40</v>
      </c>
      <c r="C5748" t="s">
        <v>37</v>
      </c>
      <c r="D5748">
        <v>439</v>
      </c>
      <c r="E5748">
        <v>345</v>
      </c>
      <c r="F5748">
        <v>208</v>
      </c>
      <c r="G5748">
        <v>57</v>
      </c>
      <c r="H5748">
        <v>1049</v>
      </c>
      <c r="I5748" s="1">
        <v>45717</v>
      </c>
      <c r="J5748">
        <v>265</v>
      </c>
      <c r="K5748" t="s">
        <v>23</v>
      </c>
    </row>
    <row r="5749" spans="1:11">
      <c r="A5749" s="1">
        <v>45743</v>
      </c>
      <c r="B5749" t="s">
        <v>40</v>
      </c>
      <c r="C5749" t="s">
        <v>66</v>
      </c>
      <c r="D5749">
        <v>23650</v>
      </c>
      <c r="E5749">
        <v>8688</v>
      </c>
      <c r="F5749">
        <v>3703</v>
      </c>
      <c r="G5749">
        <v>4849</v>
      </c>
      <c r="H5749">
        <v>40890</v>
      </c>
      <c r="I5749" s="1">
        <v>45717</v>
      </c>
      <c r="J5749">
        <v>8552</v>
      </c>
      <c r="K5749" t="s">
        <v>23</v>
      </c>
    </row>
    <row r="5750" spans="1:11">
      <c r="A5750" s="1">
        <v>45743</v>
      </c>
      <c r="B5750" t="s">
        <v>40</v>
      </c>
      <c r="C5750" t="s">
        <v>57</v>
      </c>
      <c r="D5750">
        <v>9213</v>
      </c>
      <c r="E5750">
        <v>2564</v>
      </c>
      <c r="F5750">
        <v>772</v>
      </c>
      <c r="G5750">
        <v>402</v>
      </c>
      <c r="H5750">
        <v>12951</v>
      </c>
      <c r="I5750" s="1">
        <v>45717</v>
      </c>
      <c r="J5750">
        <v>1174</v>
      </c>
      <c r="K5750" t="s">
        <v>23</v>
      </c>
    </row>
    <row r="5751" spans="1:11">
      <c r="A5751" s="1">
        <v>45743</v>
      </c>
      <c r="B5751" t="s">
        <v>40</v>
      </c>
      <c r="C5751" t="s">
        <v>28</v>
      </c>
      <c r="D5751">
        <v>2335</v>
      </c>
      <c r="E5751">
        <v>1200</v>
      </c>
      <c r="F5751">
        <v>339</v>
      </c>
      <c r="G5751">
        <v>386</v>
      </c>
      <c r="H5751">
        <v>4259</v>
      </c>
      <c r="I5751" s="1">
        <v>45717</v>
      </c>
      <c r="J5751">
        <v>725</v>
      </c>
      <c r="K5751" t="s">
        <v>23</v>
      </c>
    </row>
    <row r="5752" spans="1:11">
      <c r="A5752" s="1">
        <v>45743</v>
      </c>
      <c r="B5752" t="s">
        <v>40</v>
      </c>
      <c r="C5752" t="s">
        <v>68</v>
      </c>
      <c r="D5752">
        <v>24256</v>
      </c>
      <c r="E5752">
        <v>7546</v>
      </c>
      <c r="F5752">
        <v>3039</v>
      </c>
      <c r="G5752">
        <v>4225</v>
      </c>
      <c r="H5752">
        <v>39066</v>
      </c>
      <c r="I5752" s="1">
        <v>45717</v>
      </c>
      <c r="J5752">
        <v>7264</v>
      </c>
      <c r="K5752" t="s">
        <v>23</v>
      </c>
    </row>
    <row r="5753" spans="1:11">
      <c r="A5753" s="1">
        <v>45743</v>
      </c>
      <c r="B5753" t="s">
        <v>40</v>
      </c>
      <c r="C5753" t="s">
        <v>47</v>
      </c>
      <c r="D5753">
        <v>4041</v>
      </c>
      <c r="E5753">
        <v>1293</v>
      </c>
      <c r="F5753">
        <v>290</v>
      </c>
      <c r="G5753">
        <v>232</v>
      </c>
      <c r="H5753">
        <v>5855</v>
      </c>
      <c r="I5753" s="1">
        <v>45717</v>
      </c>
      <c r="J5753">
        <v>522</v>
      </c>
      <c r="K5753" t="s">
        <v>23</v>
      </c>
    </row>
    <row r="5754" spans="1:11">
      <c r="A5754" s="1">
        <v>45743</v>
      </c>
      <c r="B5754" t="s">
        <v>40</v>
      </c>
      <c r="C5754" t="s">
        <v>25</v>
      </c>
      <c r="D5754">
        <v>3084</v>
      </c>
      <c r="E5754">
        <v>1338</v>
      </c>
      <c r="F5754">
        <v>450</v>
      </c>
      <c r="G5754">
        <v>300</v>
      </c>
      <c r="H5754">
        <v>5172</v>
      </c>
      <c r="I5754" s="1">
        <v>45717</v>
      </c>
      <c r="J5754">
        <v>750</v>
      </c>
      <c r="K5754" t="s">
        <v>23</v>
      </c>
    </row>
    <row r="5755" spans="1:11">
      <c r="A5755" s="1">
        <v>45743</v>
      </c>
      <c r="B5755" t="s">
        <v>40</v>
      </c>
      <c r="C5755" t="s">
        <v>51</v>
      </c>
      <c r="D5755">
        <v>4788</v>
      </c>
      <c r="E5755">
        <v>1694</v>
      </c>
      <c r="F5755">
        <v>634</v>
      </c>
      <c r="G5755">
        <v>824</v>
      </c>
      <c r="H5755">
        <v>7940</v>
      </c>
      <c r="I5755" s="1">
        <v>45717</v>
      </c>
      <c r="J5755">
        <v>1458</v>
      </c>
      <c r="K5755" t="s">
        <v>23</v>
      </c>
    </row>
    <row r="5756" spans="1:11">
      <c r="A5756" s="1">
        <v>45743</v>
      </c>
      <c r="B5756" t="s">
        <v>40</v>
      </c>
      <c r="C5756" t="s">
        <v>45</v>
      </c>
      <c r="D5756">
        <v>2796</v>
      </c>
      <c r="E5756">
        <v>960</v>
      </c>
      <c r="F5756">
        <v>398</v>
      </c>
      <c r="G5756">
        <v>208</v>
      </c>
      <c r="H5756">
        <v>4362</v>
      </c>
      <c r="I5756" s="1">
        <v>45717</v>
      </c>
      <c r="J5756">
        <v>606</v>
      </c>
      <c r="K5756" t="s">
        <v>23</v>
      </c>
    </row>
    <row r="5757" spans="1:11">
      <c r="A5757" s="1">
        <v>45743</v>
      </c>
      <c r="B5757" t="s">
        <v>40</v>
      </c>
      <c r="C5757" t="s">
        <v>39</v>
      </c>
      <c r="D5757">
        <v>6587</v>
      </c>
      <c r="E5757">
        <v>2312</v>
      </c>
      <c r="F5757">
        <v>676</v>
      </c>
      <c r="G5757">
        <v>98</v>
      </c>
      <c r="H5757">
        <v>9674</v>
      </c>
      <c r="I5757" s="1">
        <v>45717</v>
      </c>
      <c r="J5757">
        <v>774</v>
      </c>
      <c r="K5757" t="s">
        <v>23</v>
      </c>
    </row>
    <row r="5758" spans="1:11">
      <c r="A5758" s="1">
        <v>45743</v>
      </c>
      <c r="B5758" t="s">
        <v>40</v>
      </c>
      <c r="C5758" t="s">
        <v>54</v>
      </c>
      <c r="D5758">
        <v>1945</v>
      </c>
      <c r="E5758">
        <v>997</v>
      </c>
      <c r="F5758">
        <v>520</v>
      </c>
      <c r="G5758">
        <v>229</v>
      </c>
      <c r="H5758">
        <v>3692</v>
      </c>
      <c r="I5758" s="1">
        <v>45717</v>
      </c>
      <c r="J5758">
        <v>749</v>
      </c>
      <c r="K5758" t="s">
        <v>23</v>
      </c>
    </row>
    <row r="5759" spans="1:11">
      <c r="A5759" s="1">
        <v>45743</v>
      </c>
      <c r="B5759" t="s">
        <v>40</v>
      </c>
      <c r="C5759" t="s">
        <v>35</v>
      </c>
      <c r="D5759">
        <v>356</v>
      </c>
      <c r="E5759">
        <v>256</v>
      </c>
      <c r="F5759">
        <v>192</v>
      </c>
      <c r="G5759">
        <v>107</v>
      </c>
      <c r="H5759">
        <v>910</v>
      </c>
      <c r="I5759" s="1">
        <v>45717</v>
      </c>
      <c r="J5759">
        <v>299</v>
      </c>
      <c r="K5759" t="s">
        <v>23</v>
      </c>
    </row>
    <row r="5760" spans="1:11">
      <c r="A5760" s="1">
        <v>45743</v>
      </c>
      <c r="B5760" t="s">
        <v>40</v>
      </c>
      <c r="C5760" t="s">
        <v>52</v>
      </c>
      <c r="D5760">
        <v>9053</v>
      </c>
      <c r="E5760">
        <v>4618</v>
      </c>
      <c r="F5760">
        <v>1420</v>
      </c>
      <c r="G5760">
        <v>382</v>
      </c>
      <c r="H5760">
        <v>15473</v>
      </c>
      <c r="I5760" s="1">
        <v>45717</v>
      </c>
      <c r="J5760">
        <v>1802</v>
      </c>
      <c r="K5760" t="s">
        <v>23</v>
      </c>
    </row>
    <row r="5761" spans="1:11">
      <c r="A5761" s="1">
        <v>45743</v>
      </c>
      <c r="B5761" t="s">
        <v>40</v>
      </c>
      <c r="C5761" t="s">
        <v>22</v>
      </c>
      <c r="D5761">
        <v>3918</v>
      </c>
      <c r="E5761">
        <v>1627</v>
      </c>
      <c r="F5761">
        <v>266</v>
      </c>
      <c r="G5761">
        <v>4</v>
      </c>
      <c r="H5761">
        <v>5815</v>
      </c>
      <c r="I5761" s="1">
        <v>45717</v>
      </c>
      <c r="J5761">
        <v>270</v>
      </c>
      <c r="K5761" t="s">
        <v>23</v>
      </c>
    </row>
    <row r="5762" spans="1:11">
      <c r="A5762" s="1">
        <v>45743</v>
      </c>
      <c r="B5762" t="s">
        <v>40</v>
      </c>
      <c r="C5762" t="s">
        <v>46</v>
      </c>
      <c r="D5762">
        <v>2189</v>
      </c>
      <c r="E5762">
        <v>487</v>
      </c>
      <c r="F5762">
        <v>31</v>
      </c>
      <c r="G5762">
        <v>3</v>
      </c>
      <c r="H5762">
        <v>2710</v>
      </c>
      <c r="I5762" s="1">
        <v>45717</v>
      </c>
      <c r="J5762">
        <v>34</v>
      </c>
      <c r="K5762" t="s">
        <v>23</v>
      </c>
    </row>
    <row r="5763" spans="1:11">
      <c r="A5763" s="1">
        <v>45743</v>
      </c>
      <c r="B5763" t="s">
        <v>40</v>
      </c>
      <c r="C5763" t="s">
        <v>31</v>
      </c>
      <c r="D5763">
        <v>2657</v>
      </c>
      <c r="E5763">
        <v>562</v>
      </c>
      <c r="F5763">
        <v>87</v>
      </c>
      <c r="G5763">
        <v>44</v>
      </c>
      <c r="H5763">
        <v>3350</v>
      </c>
      <c r="I5763" s="1">
        <v>45717</v>
      </c>
      <c r="J5763">
        <v>131</v>
      </c>
      <c r="K5763" t="s">
        <v>23</v>
      </c>
    </row>
    <row r="5764" spans="1:11">
      <c r="A5764" s="1">
        <v>45743</v>
      </c>
      <c r="B5764" t="s">
        <v>40</v>
      </c>
      <c r="C5764" t="s">
        <v>63</v>
      </c>
      <c r="D5764">
        <v>6081</v>
      </c>
      <c r="E5764">
        <v>3073</v>
      </c>
      <c r="F5764">
        <v>1389</v>
      </c>
      <c r="G5764">
        <v>1206</v>
      </c>
      <c r="H5764">
        <v>11749</v>
      </c>
      <c r="I5764" s="1">
        <v>45717</v>
      </c>
      <c r="J5764">
        <v>2595</v>
      </c>
      <c r="K5764" t="s">
        <v>23</v>
      </c>
    </row>
    <row r="5765" spans="1:11">
      <c r="A5765" s="1">
        <v>45743</v>
      </c>
      <c r="B5765" t="s">
        <v>40</v>
      </c>
      <c r="C5765" t="s">
        <v>60</v>
      </c>
      <c r="D5765">
        <v>6800</v>
      </c>
      <c r="E5765">
        <v>2182</v>
      </c>
      <c r="F5765">
        <v>915</v>
      </c>
      <c r="G5765">
        <v>1118</v>
      </c>
      <c r="H5765">
        <v>11015</v>
      </c>
      <c r="I5765" s="1">
        <v>45717</v>
      </c>
      <c r="J5765">
        <v>2033</v>
      </c>
      <c r="K5765" t="s">
        <v>23</v>
      </c>
    </row>
    <row r="5766" spans="1:11">
      <c r="A5766" s="1">
        <v>45743</v>
      </c>
      <c r="B5766" t="s">
        <v>40</v>
      </c>
      <c r="C5766" t="s">
        <v>61</v>
      </c>
      <c r="D5766">
        <v>14095</v>
      </c>
      <c r="E5766">
        <v>8090</v>
      </c>
      <c r="F5766">
        <v>3694</v>
      </c>
      <c r="G5766">
        <v>4579</v>
      </c>
      <c r="H5766">
        <v>30458</v>
      </c>
      <c r="I5766" s="1">
        <v>45717</v>
      </c>
      <c r="J5766">
        <v>8273</v>
      </c>
      <c r="K5766" t="s">
        <v>23</v>
      </c>
    </row>
    <row r="5767" spans="1:11">
      <c r="A5767" s="1">
        <v>45743</v>
      </c>
      <c r="B5767" t="s">
        <v>40</v>
      </c>
      <c r="C5767" t="s">
        <v>62</v>
      </c>
      <c r="D5767">
        <v>1867</v>
      </c>
      <c r="E5767">
        <v>1375</v>
      </c>
      <c r="F5767">
        <v>994</v>
      </c>
      <c r="G5767">
        <v>4908</v>
      </c>
      <c r="H5767">
        <v>9143</v>
      </c>
      <c r="I5767" s="1">
        <v>45717</v>
      </c>
      <c r="J5767">
        <v>5902</v>
      </c>
      <c r="K5767" t="s">
        <v>23</v>
      </c>
    </row>
    <row r="5768" spans="1:11">
      <c r="A5768" s="1">
        <v>45743</v>
      </c>
      <c r="B5768" t="s">
        <v>40</v>
      </c>
      <c r="C5768" t="s">
        <v>69</v>
      </c>
      <c r="D5768">
        <v>16993</v>
      </c>
      <c r="E5768">
        <v>5017</v>
      </c>
      <c r="F5768">
        <v>1416</v>
      </c>
      <c r="G5768">
        <v>946</v>
      </c>
      <c r="H5768">
        <v>24371</v>
      </c>
      <c r="I5768" s="1">
        <v>45717</v>
      </c>
      <c r="J5768">
        <v>2362</v>
      </c>
      <c r="K5768" t="s">
        <v>23</v>
      </c>
    </row>
    <row r="5769" spans="1:11">
      <c r="A5769" s="1">
        <v>45743</v>
      </c>
      <c r="B5769" t="s">
        <v>40</v>
      </c>
      <c r="C5769" t="s">
        <v>29</v>
      </c>
      <c r="D5769">
        <v>3598</v>
      </c>
      <c r="E5769">
        <v>1319</v>
      </c>
      <c r="F5769">
        <v>534</v>
      </c>
      <c r="G5769">
        <v>657</v>
      </c>
      <c r="H5769">
        <v>6107</v>
      </c>
      <c r="I5769" s="1">
        <v>45717</v>
      </c>
      <c r="J5769">
        <v>1191</v>
      </c>
      <c r="K5769" t="s">
        <v>23</v>
      </c>
    </row>
    <row r="5770" spans="1:11">
      <c r="A5770" s="1">
        <v>45743</v>
      </c>
      <c r="B5770" t="s">
        <v>40</v>
      </c>
      <c r="C5770" t="s">
        <v>70</v>
      </c>
      <c r="D5770">
        <v>2767</v>
      </c>
      <c r="E5770">
        <v>1112</v>
      </c>
      <c r="F5770">
        <v>561</v>
      </c>
      <c r="G5770">
        <v>362</v>
      </c>
      <c r="H5770">
        <v>4801</v>
      </c>
      <c r="I5770" s="1">
        <v>45717</v>
      </c>
      <c r="J5770">
        <v>923</v>
      </c>
      <c r="K5770" t="s">
        <v>23</v>
      </c>
    </row>
    <row r="5771" spans="1:11">
      <c r="A5771" s="1">
        <v>45743</v>
      </c>
      <c r="B5771" t="s">
        <v>40</v>
      </c>
      <c r="C5771" t="s">
        <v>71</v>
      </c>
      <c r="D5771">
        <v>17812</v>
      </c>
      <c r="E5771">
        <v>8079</v>
      </c>
      <c r="F5771">
        <v>3701</v>
      </c>
      <c r="G5771">
        <v>2103</v>
      </c>
      <c r="H5771">
        <v>31696</v>
      </c>
      <c r="I5771" s="1">
        <v>45717</v>
      </c>
      <c r="J5771">
        <v>5804</v>
      </c>
      <c r="K5771" t="s">
        <v>23</v>
      </c>
    </row>
    <row r="5772" spans="1:11">
      <c r="A5772" s="1">
        <v>45743</v>
      </c>
      <c r="B5772" t="s">
        <v>40</v>
      </c>
      <c r="C5772" t="s">
        <v>36</v>
      </c>
      <c r="D5772">
        <v>14621</v>
      </c>
      <c r="E5772">
        <v>8364</v>
      </c>
      <c r="F5772">
        <v>2990</v>
      </c>
      <c r="G5772">
        <v>1153</v>
      </c>
      <c r="H5772">
        <v>27127</v>
      </c>
      <c r="I5772" s="1">
        <v>45717</v>
      </c>
      <c r="J5772">
        <v>4143</v>
      </c>
      <c r="K5772" t="s">
        <v>23</v>
      </c>
    </row>
    <row r="5773" spans="1:11">
      <c r="A5773" s="1">
        <v>45743</v>
      </c>
      <c r="B5773" t="s">
        <v>40</v>
      </c>
      <c r="C5773" t="s">
        <v>32</v>
      </c>
      <c r="D5773">
        <v>2345</v>
      </c>
      <c r="E5773">
        <v>895</v>
      </c>
      <c r="F5773">
        <v>366</v>
      </c>
      <c r="G5773">
        <v>77</v>
      </c>
      <c r="H5773">
        <v>3684</v>
      </c>
      <c r="I5773" s="1">
        <v>45717</v>
      </c>
      <c r="J5773">
        <v>443</v>
      </c>
      <c r="K5773" t="s">
        <v>23</v>
      </c>
    </row>
    <row r="5774" spans="1:11">
      <c r="A5774" s="1">
        <v>45743</v>
      </c>
      <c r="B5774" t="s">
        <v>40</v>
      </c>
      <c r="C5774" t="s">
        <v>44</v>
      </c>
      <c r="D5774">
        <v>6036</v>
      </c>
      <c r="E5774">
        <v>2883</v>
      </c>
      <c r="F5774">
        <v>626</v>
      </c>
      <c r="G5774">
        <v>132</v>
      </c>
      <c r="H5774">
        <v>9676</v>
      </c>
      <c r="I5774" s="1">
        <v>45717</v>
      </c>
      <c r="J5774">
        <v>758</v>
      </c>
      <c r="K5774" t="s">
        <v>23</v>
      </c>
    </row>
    <row r="5775" spans="1:11">
      <c r="A5775" s="1">
        <v>45743</v>
      </c>
      <c r="B5775" t="s">
        <v>40</v>
      </c>
      <c r="C5775" t="s">
        <v>59</v>
      </c>
      <c r="D5775">
        <v>14955</v>
      </c>
      <c r="E5775">
        <v>4280</v>
      </c>
      <c r="F5775">
        <v>1719</v>
      </c>
      <c r="G5775">
        <v>903</v>
      </c>
      <c r="H5775">
        <v>21858</v>
      </c>
      <c r="I5775" s="1">
        <v>45717</v>
      </c>
      <c r="J5775">
        <v>2622</v>
      </c>
      <c r="K5775" t="s">
        <v>23</v>
      </c>
    </row>
    <row r="5776" spans="1:11">
      <c r="A5776" s="1">
        <v>45743</v>
      </c>
      <c r="B5776" t="s">
        <v>40</v>
      </c>
      <c r="C5776" t="s">
        <v>67</v>
      </c>
      <c r="D5776">
        <v>20244</v>
      </c>
      <c r="E5776">
        <v>10688</v>
      </c>
      <c r="F5776">
        <v>4675</v>
      </c>
      <c r="G5776">
        <v>4840</v>
      </c>
      <c r="H5776">
        <v>40448</v>
      </c>
      <c r="I5776" s="1">
        <v>45717</v>
      </c>
      <c r="J5776">
        <v>9515</v>
      </c>
      <c r="K5776" t="s">
        <v>23</v>
      </c>
    </row>
    <row r="5777" spans="1:11">
      <c r="A5777" s="1">
        <v>45743</v>
      </c>
      <c r="B5777" t="s">
        <v>40</v>
      </c>
      <c r="C5777" t="s">
        <v>49</v>
      </c>
      <c r="D5777">
        <v>3376</v>
      </c>
      <c r="E5777">
        <v>658</v>
      </c>
      <c r="F5777">
        <v>37</v>
      </c>
      <c r="G5777">
        <v>22</v>
      </c>
      <c r="H5777">
        <v>4092</v>
      </c>
      <c r="I5777" s="1">
        <v>45717</v>
      </c>
      <c r="J5777">
        <v>59</v>
      </c>
      <c r="K5777" t="s">
        <v>23</v>
      </c>
    </row>
    <row r="5778" spans="1:11">
      <c r="A5778" s="1">
        <v>45771</v>
      </c>
      <c r="B5778" t="s">
        <v>40</v>
      </c>
      <c r="C5778" t="s">
        <v>48</v>
      </c>
      <c r="D5778">
        <v>21522</v>
      </c>
      <c r="E5778">
        <v>13995</v>
      </c>
      <c r="F5778">
        <v>3853</v>
      </c>
      <c r="G5778">
        <v>650</v>
      </c>
      <c r="H5778">
        <v>40021</v>
      </c>
      <c r="I5778" s="1">
        <v>45748</v>
      </c>
      <c r="J5778">
        <v>4503</v>
      </c>
      <c r="K5778" t="s">
        <v>23</v>
      </c>
    </row>
    <row r="5779" spans="1:11">
      <c r="A5779" s="1">
        <v>45771</v>
      </c>
      <c r="B5779" t="s">
        <v>40</v>
      </c>
      <c r="C5779" t="s">
        <v>41</v>
      </c>
      <c r="D5779">
        <v>4072</v>
      </c>
      <c r="E5779">
        <v>1495</v>
      </c>
      <c r="F5779">
        <v>305</v>
      </c>
      <c r="G5779">
        <v>104</v>
      </c>
      <c r="H5779">
        <v>5976</v>
      </c>
      <c r="I5779" s="1">
        <v>45748</v>
      </c>
      <c r="J5779">
        <v>409</v>
      </c>
      <c r="K5779" t="s">
        <v>23</v>
      </c>
    </row>
    <row r="5780" spans="1:11">
      <c r="A5780" s="1">
        <v>45771</v>
      </c>
      <c r="B5780" t="s">
        <v>40</v>
      </c>
      <c r="C5780" t="s">
        <v>33</v>
      </c>
      <c r="D5780">
        <v>1977</v>
      </c>
      <c r="E5780">
        <v>634</v>
      </c>
      <c r="F5780">
        <v>183</v>
      </c>
      <c r="G5780">
        <v>10</v>
      </c>
      <c r="H5780">
        <v>2804</v>
      </c>
      <c r="I5780" s="1">
        <v>45748</v>
      </c>
      <c r="J5780">
        <v>193</v>
      </c>
      <c r="K5780" t="s">
        <v>23</v>
      </c>
    </row>
    <row r="5781" spans="1:11">
      <c r="A5781" s="1">
        <v>45771</v>
      </c>
      <c r="B5781" t="s">
        <v>40</v>
      </c>
      <c r="C5781" t="s">
        <v>65</v>
      </c>
      <c r="D5781">
        <v>12317</v>
      </c>
      <c r="E5781">
        <v>4387</v>
      </c>
      <c r="F5781">
        <v>1495</v>
      </c>
      <c r="G5781">
        <v>1741</v>
      </c>
      <c r="H5781">
        <v>19941</v>
      </c>
      <c r="I5781" s="1">
        <v>45748</v>
      </c>
      <c r="J5781">
        <v>3236</v>
      </c>
      <c r="K5781" t="s">
        <v>23</v>
      </c>
    </row>
    <row r="5782" spans="1:11">
      <c r="A5782" s="1">
        <v>45771</v>
      </c>
      <c r="B5782" t="s">
        <v>40</v>
      </c>
      <c r="C5782" t="s">
        <v>27</v>
      </c>
      <c r="D5782">
        <v>3227</v>
      </c>
      <c r="E5782">
        <v>1626</v>
      </c>
      <c r="F5782">
        <v>573</v>
      </c>
      <c r="G5782">
        <v>400</v>
      </c>
      <c r="H5782">
        <v>5826</v>
      </c>
      <c r="I5782" s="1">
        <v>45748</v>
      </c>
      <c r="J5782">
        <v>973</v>
      </c>
      <c r="K5782" t="s">
        <v>23</v>
      </c>
    </row>
    <row r="5783" spans="1:11">
      <c r="A5783" s="1">
        <v>45771</v>
      </c>
      <c r="B5783" t="s">
        <v>40</v>
      </c>
      <c r="C5783" t="s">
        <v>37</v>
      </c>
      <c r="D5783">
        <v>421</v>
      </c>
      <c r="E5783">
        <v>344</v>
      </c>
      <c r="F5783">
        <v>219</v>
      </c>
      <c r="G5783">
        <v>72</v>
      </c>
      <c r="H5783">
        <v>1056</v>
      </c>
      <c r="I5783" s="1">
        <v>45748</v>
      </c>
      <c r="J5783">
        <v>291</v>
      </c>
      <c r="K5783" t="s">
        <v>23</v>
      </c>
    </row>
    <row r="5784" spans="1:11">
      <c r="A5784" s="1">
        <v>45771</v>
      </c>
      <c r="B5784" t="s">
        <v>40</v>
      </c>
      <c r="C5784" t="s">
        <v>66</v>
      </c>
      <c r="D5784">
        <v>22862</v>
      </c>
      <c r="E5784">
        <v>8482</v>
      </c>
      <c r="F5784">
        <v>3693</v>
      </c>
      <c r="G5784">
        <v>4860</v>
      </c>
      <c r="H5784">
        <v>39898</v>
      </c>
      <c r="I5784" s="1">
        <v>45748</v>
      </c>
      <c r="J5784">
        <v>8553</v>
      </c>
      <c r="K5784" t="s">
        <v>23</v>
      </c>
    </row>
    <row r="5785" spans="1:11">
      <c r="A5785" s="1">
        <v>45771</v>
      </c>
      <c r="B5785" t="s">
        <v>40</v>
      </c>
      <c r="C5785" t="s">
        <v>57</v>
      </c>
      <c r="D5785">
        <v>9365</v>
      </c>
      <c r="E5785">
        <v>2642</v>
      </c>
      <c r="F5785">
        <v>757</v>
      </c>
      <c r="G5785">
        <v>390</v>
      </c>
      <c r="H5785">
        <v>13154</v>
      </c>
      <c r="I5785" s="1">
        <v>45748</v>
      </c>
      <c r="J5785">
        <v>1147</v>
      </c>
      <c r="K5785" t="s">
        <v>23</v>
      </c>
    </row>
    <row r="5786" spans="1:11">
      <c r="A5786" s="1">
        <v>45771</v>
      </c>
      <c r="B5786" t="s">
        <v>40</v>
      </c>
      <c r="C5786" t="s">
        <v>42</v>
      </c>
      <c r="D5786">
        <v>1778</v>
      </c>
      <c r="E5786">
        <v>678</v>
      </c>
      <c r="F5786">
        <v>53</v>
      </c>
      <c r="G5786">
        <v>10</v>
      </c>
      <c r="H5786">
        <v>2519</v>
      </c>
      <c r="I5786" s="1">
        <v>45748</v>
      </c>
      <c r="J5786">
        <v>63</v>
      </c>
      <c r="K5786" t="s">
        <v>23</v>
      </c>
    </row>
    <row r="5787" spans="1:11">
      <c r="A5787" s="1">
        <v>45771</v>
      </c>
      <c r="B5787" t="s">
        <v>40</v>
      </c>
      <c r="C5787" t="s">
        <v>28</v>
      </c>
      <c r="D5787">
        <v>2319</v>
      </c>
      <c r="E5787">
        <v>1170</v>
      </c>
      <c r="F5787">
        <v>375</v>
      </c>
      <c r="G5787">
        <v>410</v>
      </c>
      <c r="H5787">
        <v>4274</v>
      </c>
      <c r="I5787" s="1">
        <v>45748</v>
      </c>
      <c r="J5787">
        <v>785</v>
      </c>
      <c r="K5787" t="s">
        <v>23</v>
      </c>
    </row>
    <row r="5788" spans="1:11">
      <c r="A5788" s="1">
        <v>45771</v>
      </c>
      <c r="B5788" t="s">
        <v>40</v>
      </c>
      <c r="C5788" t="s">
        <v>68</v>
      </c>
      <c r="D5788">
        <v>24137</v>
      </c>
      <c r="E5788">
        <v>8069</v>
      </c>
      <c r="F5788">
        <v>3029</v>
      </c>
      <c r="G5788">
        <v>4147</v>
      </c>
      <c r="H5788">
        <v>39381</v>
      </c>
      <c r="I5788" s="1">
        <v>45748</v>
      </c>
      <c r="J5788">
        <v>7176</v>
      </c>
      <c r="K5788" t="s">
        <v>23</v>
      </c>
    </row>
    <row r="5789" spans="1:11">
      <c r="A5789" s="1">
        <v>45771</v>
      </c>
      <c r="B5789" t="s">
        <v>40</v>
      </c>
      <c r="C5789" t="s">
        <v>47</v>
      </c>
      <c r="D5789">
        <v>3902</v>
      </c>
      <c r="E5789">
        <v>1400</v>
      </c>
      <c r="F5789">
        <v>296</v>
      </c>
      <c r="G5789">
        <v>241</v>
      </c>
      <c r="H5789">
        <v>5838</v>
      </c>
      <c r="I5789" s="1">
        <v>45748</v>
      </c>
      <c r="J5789">
        <v>537</v>
      </c>
      <c r="K5789" t="s">
        <v>23</v>
      </c>
    </row>
    <row r="5790" spans="1:11">
      <c r="A5790" s="1">
        <v>45771</v>
      </c>
      <c r="B5790" t="s">
        <v>40</v>
      </c>
      <c r="C5790" t="s">
        <v>25</v>
      </c>
      <c r="D5790">
        <v>3202</v>
      </c>
      <c r="E5790">
        <v>1343</v>
      </c>
      <c r="F5790">
        <v>506</v>
      </c>
      <c r="G5790">
        <v>221</v>
      </c>
      <c r="H5790">
        <v>5271</v>
      </c>
      <c r="I5790" s="1">
        <v>45748</v>
      </c>
      <c r="J5790">
        <v>727</v>
      </c>
      <c r="K5790" t="s">
        <v>23</v>
      </c>
    </row>
    <row r="5791" spans="1:11">
      <c r="A5791" s="1">
        <v>45771</v>
      </c>
      <c r="B5791" t="s">
        <v>40</v>
      </c>
      <c r="C5791" t="s">
        <v>51</v>
      </c>
      <c r="D5791">
        <v>4648</v>
      </c>
      <c r="E5791">
        <v>1729</v>
      </c>
      <c r="F5791">
        <v>681</v>
      </c>
      <c r="G5791">
        <v>858</v>
      </c>
      <c r="H5791">
        <v>7917</v>
      </c>
      <c r="I5791" s="1">
        <v>45748</v>
      </c>
      <c r="J5791">
        <v>1539</v>
      </c>
      <c r="K5791" t="s">
        <v>23</v>
      </c>
    </row>
    <row r="5792" spans="1:11">
      <c r="A5792" s="1">
        <v>45771</v>
      </c>
      <c r="B5792" t="s">
        <v>40</v>
      </c>
      <c r="C5792" t="s">
        <v>45</v>
      </c>
      <c r="D5792">
        <v>2704</v>
      </c>
      <c r="E5792">
        <v>953</v>
      </c>
      <c r="F5792">
        <v>350</v>
      </c>
      <c r="G5792">
        <v>195</v>
      </c>
      <c r="H5792">
        <v>4203</v>
      </c>
      <c r="I5792" s="1">
        <v>45748</v>
      </c>
      <c r="J5792">
        <v>545</v>
      </c>
      <c r="K5792" t="s">
        <v>23</v>
      </c>
    </row>
    <row r="5793" spans="1:11">
      <c r="A5793" s="1">
        <v>45771</v>
      </c>
      <c r="B5793" t="s">
        <v>40</v>
      </c>
      <c r="C5793" t="s">
        <v>39</v>
      </c>
      <c r="D5793">
        <v>6609</v>
      </c>
      <c r="E5793">
        <v>2401</v>
      </c>
      <c r="F5793">
        <v>710</v>
      </c>
      <c r="G5793">
        <v>147</v>
      </c>
      <c r="H5793">
        <v>9866</v>
      </c>
      <c r="I5793" s="1">
        <v>45748</v>
      </c>
      <c r="J5793">
        <v>857</v>
      </c>
      <c r="K5793" t="s">
        <v>23</v>
      </c>
    </row>
    <row r="5794" spans="1:11">
      <c r="A5794" s="1">
        <v>45771</v>
      </c>
      <c r="B5794" t="s">
        <v>40</v>
      </c>
      <c r="C5794" t="s">
        <v>54</v>
      </c>
      <c r="D5794">
        <v>1749</v>
      </c>
      <c r="E5794">
        <v>1046</v>
      </c>
      <c r="F5794">
        <v>517</v>
      </c>
      <c r="G5794">
        <v>246</v>
      </c>
      <c r="H5794">
        <v>3558</v>
      </c>
      <c r="I5794" s="1">
        <v>45748</v>
      </c>
      <c r="J5794">
        <v>763</v>
      </c>
      <c r="K5794" t="s">
        <v>23</v>
      </c>
    </row>
    <row r="5795" spans="1:11">
      <c r="A5795" s="1">
        <v>45771</v>
      </c>
      <c r="B5795" t="s">
        <v>40</v>
      </c>
      <c r="C5795" t="s">
        <v>35</v>
      </c>
      <c r="D5795">
        <v>384</v>
      </c>
      <c r="E5795">
        <v>266</v>
      </c>
      <c r="F5795">
        <v>186</v>
      </c>
      <c r="G5795">
        <v>128</v>
      </c>
      <c r="H5795">
        <v>964</v>
      </c>
      <c r="I5795" s="1">
        <v>45748</v>
      </c>
      <c r="J5795">
        <v>314</v>
      </c>
      <c r="K5795" t="s">
        <v>23</v>
      </c>
    </row>
    <row r="5796" spans="1:11">
      <c r="A5796" s="1">
        <v>45771</v>
      </c>
      <c r="B5796" t="s">
        <v>40</v>
      </c>
      <c r="C5796" t="s">
        <v>52</v>
      </c>
      <c r="D5796">
        <v>8904</v>
      </c>
      <c r="E5796">
        <v>4689</v>
      </c>
      <c r="F5796">
        <v>1477</v>
      </c>
      <c r="G5796">
        <v>372</v>
      </c>
      <c r="H5796">
        <v>15441</v>
      </c>
      <c r="I5796" s="1">
        <v>45748</v>
      </c>
      <c r="J5796">
        <v>1849</v>
      </c>
      <c r="K5796" t="s">
        <v>23</v>
      </c>
    </row>
    <row r="5797" spans="1:11">
      <c r="A5797" s="1">
        <v>45771</v>
      </c>
      <c r="B5797" t="s">
        <v>40</v>
      </c>
      <c r="C5797" t="s">
        <v>22</v>
      </c>
      <c r="D5797">
        <v>3908</v>
      </c>
      <c r="E5797">
        <v>1671</v>
      </c>
      <c r="F5797">
        <v>307</v>
      </c>
      <c r="G5797">
        <v>23</v>
      </c>
      <c r="H5797">
        <v>5909</v>
      </c>
      <c r="I5797" s="1">
        <v>45748</v>
      </c>
      <c r="J5797">
        <v>330</v>
      </c>
      <c r="K5797" t="s">
        <v>23</v>
      </c>
    </row>
    <row r="5798" spans="1:11">
      <c r="A5798" s="1">
        <v>45771</v>
      </c>
      <c r="B5798" t="s">
        <v>40</v>
      </c>
      <c r="C5798" t="s">
        <v>31</v>
      </c>
      <c r="D5798">
        <v>2680</v>
      </c>
      <c r="E5798">
        <v>562</v>
      </c>
      <c r="F5798">
        <v>126</v>
      </c>
      <c r="G5798">
        <v>34</v>
      </c>
      <c r="H5798">
        <v>3401</v>
      </c>
      <c r="I5798" s="1">
        <v>45748</v>
      </c>
      <c r="J5798">
        <v>160</v>
      </c>
      <c r="K5798" t="s">
        <v>23</v>
      </c>
    </row>
    <row r="5799" spans="1:11">
      <c r="A5799" s="1">
        <v>45771</v>
      </c>
      <c r="B5799" t="s">
        <v>40</v>
      </c>
      <c r="C5799" t="s">
        <v>63</v>
      </c>
      <c r="D5799">
        <v>6268</v>
      </c>
      <c r="E5799">
        <v>3179</v>
      </c>
      <c r="F5799">
        <v>1298</v>
      </c>
      <c r="G5799">
        <v>1247</v>
      </c>
      <c r="H5799">
        <v>11992</v>
      </c>
      <c r="I5799" s="1">
        <v>45748</v>
      </c>
      <c r="J5799">
        <v>2545</v>
      </c>
      <c r="K5799" t="s">
        <v>23</v>
      </c>
    </row>
    <row r="5800" spans="1:11">
      <c r="A5800" s="1">
        <v>45771</v>
      </c>
      <c r="B5800" t="s">
        <v>40</v>
      </c>
      <c r="C5800" t="s">
        <v>60</v>
      </c>
      <c r="D5800">
        <v>6980</v>
      </c>
      <c r="E5800">
        <v>2172</v>
      </c>
      <c r="F5800">
        <v>920</v>
      </c>
      <c r="G5800">
        <v>1182</v>
      </c>
      <c r="H5800">
        <v>11255</v>
      </c>
      <c r="I5800" s="1">
        <v>45748</v>
      </c>
      <c r="J5800">
        <v>2102</v>
      </c>
      <c r="K5800" t="s">
        <v>23</v>
      </c>
    </row>
    <row r="5801" spans="1:11">
      <c r="A5801" s="1">
        <v>45771</v>
      </c>
      <c r="B5801" t="s">
        <v>40</v>
      </c>
      <c r="C5801" t="s">
        <v>61</v>
      </c>
      <c r="D5801">
        <v>14355</v>
      </c>
      <c r="E5801">
        <v>7902</v>
      </c>
      <c r="F5801">
        <v>3850</v>
      </c>
      <c r="G5801">
        <v>4469</v>
      </c>
      <c r="H5801">
        <v>30577</v>
      </c>
      <c r="I5801" s="1">
        <v>45748</v>
      </c>
      <c r="J5801">
        <v>8319</v>
      </c>
      <c r="K5801" t="s">
        <v>23</v>
      </c>
    </row>
    <row r="5802" spans="1:11">
      <c r="A5802" s="1">
        <v>45771</v>
      </c>
      <c r="B5802" t="s">
        <v>40</v>
      </c>
      <c r="C5802" t="s">
        <v>62</v>
      </c>
      <c r="D5802">
        <v>1918</v>
      </c>
      <c r="E5802">
        <v>1467</v>
      </c>
      <c r="F5802">
        <v>994</v>
      </c>
      <c r="G5802">
        <v>4926</v>
      </c>
      <c r="H5802">
        <v>9305</v>
      </c>
      <c r="I5802" s="1">
        <v>45748</v>
      </c>
      <c r="J5802">
        <v>5920</v>
      </c>
      <c r="K5802" t="s">
        <v>23</v>
      </c>
    </row>
    <row r="5803" spans="1:11">
      <c r="A5803" s="1">
        <v>45771</v>
      </c>
      <c r="B5803" t="s">
        <v>40</v>
      </c>
      <c r="C5803" t="s">
        <v>69</v>
      </c>
      <c r="D5803">
        <v>17261</v>
      </c>
      <c r="E5803">
        <v>5213</v>
      </c>
      <c r="F5803">
        <v>1567</v>
      </c>
      <c r="G5803">
        <v>961</v>
      </c>
      <c r="H5803">
        <v>25002</v>
      </c>
      <c r="I5803" s="1">
        <v>45748</v>
      </c>
      <c r="J5803">
        <v>2528</v>
      </c>
      <c r="K5803" t="s">
        <v>23</v>
      </c>
    </row>
    <row r="5804" spans="1:11">
      <c r="A5804" s="1">
        <v>45771</v>
      </c>
      <c r="B5804" t="s">
        <v>40</v>
      </c>
      <c r="C5804" t="s">
        <v>24</v>
      </c>
      <c r="D5804">
        <v>365</v>
      </c>
      <c r="E5804">
        <v>156</v>
      </c>
      <c r="F5804">
        <v>6</v>
      </c>
      <c r="G5804">
        <v>1</v>
      </c>
      <c r="H5804">
        <v>528</v>
      </c>
      <c r="I5804" s="1">
        <v>45748</v>
      </c>
      <c r="J5804">
        <v>7</v>
      </c>
      <c r="K5804" t="s">
        <v>23</v>
      </c>
    </row>
    <row r="5805" spans="1:11">
      <c r="A5805" s="1">
        <v>45771</v>
      </c>
      <c r="B5805" t="s">
        <v>40</v>
      </c>
      <c r="C5805" t="s">
        <v>29</v>
      </c>
      <c r="D5805">
        <v>3500</v>
      </c>
      <c r="E5805">
        <v>1271</v>
      </c>
      <c r="F5805">
        <v>505</v>
      </c>
      <c r="G5805">
        <v>817</v>
      </c>
      <c r="H5805">
        <v>6093</v>
      </c>
      <c r="I5805" s="1">
        <v>45748</v>
      </c>
      <c r="J5805">
        <v>1322</v>
      </c>
      <c r="K5805" t="s">
        <v>23</v>
      </c>
    </row>
    <row r="5806" spans="1:11">
      <c r="A5806" s="1">
        <v>45771</v>
      </c>
      <c r="B5806" t="s">
        <v>40</v>
      </c>
      <c r="C5806" t="s">
        <v>70</v>
      </c>
      <c r="D5806">
        <v>2815</v>
      </c>
      <c r="E5806">
        <v>1144</v>
      </c>
      <c r="F5806">
        <v>588</v>
      </c>
      <c r="G5806">
        <v>394</v>
      </c>
      <c r="H5806">
        <v>4941</v>
      </c>
      <c r="I5806" s="1">
        <v>45748</v>
      </c>
      <c r="J5806">
        <v>982</v>
      </c>
      <c r="K5806" t="s">
        <v>23</v>
      </c>
    </row>
    <row r="5807" spans="1:11">
      <c r="A5807" s="1">
        <v>45771</v>
      </c>
      <c r="B5807" t="s">
        <v>40</v>
      </c>
      <c r="C5807" t="s">
        <v>71</v>
      </c>
      <c r="D5807">
        <v>18041</v>
      </c>
      <c r="E5807">
        <v>8017</v>
      </c>
      <c r="F5807">
        <v>3912</v>
      </c>
      <c r="G5807">
        <v>2264</v>
      </c>
      <c r="H5807">
        <v>32235</v>
      </c>
      <c r="I5807" s="1">
        <v>45748</v>
      </c>
      <c r="J5807">
        <v>6176</v>
      </c>
      <c r="K5807" t="s">
        <v>23</v>
      </c>
    </row>
    <row r="5808" spans="1:11">
      <c r="A5808" s="1">
        <v>45771</v>
      </c>
      <c r="B5808" t="s">
        <v>40</v>
      </c>
      <c r="C5808" t="s">
        <v>36</v>
      </c>
      <c r="D5808">
        <v>14097</v>
      </c>
      <c r="E5808">
        <v>8431</v>
      </c>
      <c r="F5808">
        <v>2876</v>
      </c>
      <c r="G5808">
        <v>1173</v>
      </c>
      <c r="H5808">
        <v>26578</v>
      </c>
      <c r="I5808" s="1">
        <v>45748</v>
      </c>
      <c r="J5808">
        <v>4049</v>
      </c>
      <c r="K5808" t="s">
        <v>23</v>
      </c>
    </row>
    <row r="5809" spans="1:11">
      <c r="A5809" s="1">
        <v>45771</v>
      </c>
      <c r="B5809" t="s">
        <v>40</v>
      </c>
      <c r="C5809" t="s">
        <v>32</v>
      </c>
      <c r="D5809">
        <v>2305</v>
      </c>
      <c r="E5809">
        <v>907</v>
      </c>
      <c r="F5809">
        <v>359</v>
      </c>
      <c r="G5809">
        <v>70</v>
      </c>
      <c r="H5809">
        <v>3640</v>
      </c>
      <c r="I5809" s="1">
        <v>45748</v>
      </c>
      <c r="J5809">
        <v>429</v>
      </c>
      <c r="K5809" t="s">
        <v>23</v>
      </c>
    </row>
    <row r="5810" spans="1:11">
      <c r="A5810" s="1">
        <v>45771</v>
      </c>
      <c r="B5810" t="s">
        <v>40</v>
      </c>
      <c r="C5810" t="s">
        <v>44</v>
      </c>
      <c r="D5810">
        <v>6666</v>
      </c>
      <c r="E5810">
        <v>2727</v>
      </c>
      <c r="F5810">
        <v>725</v>
      </c>
      <c r="G5810">
        <v>117</v>
      </c>
      <c r="H5810">
        <v>10234</v>
      </c>
      <c r="I5810" s="1">
        <v>45748</v>
      </c>
      <c r="J5810">
        <v>842</v>
      </c>
      <c r="K5810" t="s">
        <v>23</v>
      </c>
    </row>
    <row r="5811" spans="1:11">
      <c r="A5811" s="1">
        <v>45771</v>
      </c>
      <c r="B5811" t="s">
        <v>40</v>
      </c>
      <c r="C5811" t="s">
        <v>59</v>
      </c>
      <c r="D5811">
        <v>14847</v>
      </c>
      <c r="E5811">
        <v>4214</v>
      </c>
      <c r="F5811">
        <v>1806</v>
      </c>
      <c r="G5811">
        <v>952</v>
      </c>
      <c r="H5811">
        <v>21819</v>
      </c>
      <c r="I5811" s="1">
        <v>45748</v>
      </c>
      <c r="J5811">
        <v>2758</v>
      </c>
      <c r="K5811" t="s">
        <v>23</v>
      </c>
    </row>
    <row r="5812" spans="1:11">
      <c r="A5812" s="1">
        <v>45771</v>
      </c>
      <c r="B5812" t="s">
        <v>40</v>
      </c>
      <c r="C5812" t="s">
        <v>67</v>
      </c>
      <c r="D5812">
        <v>20579</v>
      </c>
      <c r="E5812">
        <v>10934</v>
      </c>
      <c r="F5812">
        <v>4599</v>
      </c>
      <c r="G5812">
        <v>5048</v>
      </c>
      <c r="H5812">
        <v>41160</v>
      </c>
      <c r="I5812" s="1">
        <v>45748</v>
      </c>
      <c r="J5812">
        <v>9647</v>
      </c>
      <c r="K5812" t="s">
        <v>23</v>
      </c>
    </row>
    <row r="5813" spans="1:11">
      <c r="A5813" s="1">
        <v>45771</v>
      </c>
      <c r="B5813" t="s">
        <v>40</v>
      </c>
      <c r="C5813" t="s">
        <v>49</v>
      </c>
      <c r="D5813">
        <v>3481</v>
      </c>
      <c r="E5813">
        <v>649</v>
      </c>
      <c r="F5813">
        <v>51</v>
      </c>
      <c r="G5813">
        <v>23</v>
      </c>
      <c r="H5813">
        <v>4204</v>
      </c>
      <c r="I5813" s="1">
        <v>45748</v>
      </c>
      <c r="J5813">
        <v>74</v>
      </c>
      <c r="K5813" t="s">
        <v>23</v>
      </c>
    </row>
    <row r="5814" spans="1:11">
      <c r="A5814" s="1">
        <v>45806</v>
      </c>
      <c r="B5814" t="s">
        <v>40</v>
      </c>
      <c r="C5814" t="s">
        <v>48</v>
      </c>
      <c r="D5814">
        <v>21815</v>
      </c>
      <c r="E5814">
        <v>11643</v>
      </c>
      <c r="F5814">
        <v>4116</v>
      </c>
      <c r="G5814">
        <v>659</v>
      </c>
      <c r="H5814">
        <v>38233</v>
      </c>
      <c r="I5814" s="1">
        <v>45778</v>
      </c>
      <c r="J5814">
        <v>4775</v>
      </c>
      <c r="K5814" t="s">
        <v>23</v>
      </c>
    </row>
    <row r="5815" spans="1:11">
      <c r="A5815" s="1">
        <v>45806</v>
      </c>
      <c r="B5815" t="s">
        <v>40</v>
      </c>
      <c r="C5815" t="s">
        <v>41</v>
      </c>
      <c r="D5815">
        <v>4276</v>
      </c>
      <c r="E5815">
        <v>1501</v>
      </c>
      <c r="F5815">
        <v>350</v>
      </c>
      <c r="G5815">
        <v>95</v>
      </c>
      <c r="H5815">
        <v>6222</v>
      </c>
      <c r="I5815" s="1">
        <v>45778</v>
      </c>
      <c r="J5815">
        <v>445</v>
      </c>
      <c r="K5815" t="s">
        <v>23</v>
      </c>
    </row>
    <row r="5816" spans="1:11">
      <c r="A5816" s="1">
        <v>45806</v>
      </c>
      <c r="B5816" t="s">
        <v>40</v>
      </c>
      <c r="C5816" t="s">
        <v>65</v>
      </c>
      <c r="D5816">
        <v>12585</v>
      </c>
      <c r="E5816">
        <v>4155</v>
      </c>
      <c r="F5816">
        <v>1417</v>
      </c>
      <c r="G5816">
        <v>1297</v>
      </c>
      <c r="H5816">
        <v>19454</v>
      </c>
      <c r="I5816" s="1">
        <v>45778</v>
      </c>
      <c r="J5816">
        <v>2714</v>
      </c>
      <c r="K5816" t="s">
        <v>23</v>
      </c>
    </row>
    <row r="5817" spans="1:11">
      <c r="A5817" s="1">
        <v>45806</v>
      </c>
      <c r="B5817" t="s">
        <v>40</v>
      </c>
      <c r="C5817" t="s">
        <v>27</v>
      </c>
      <c r="D5817">
        <v>3240</v>
      </c>
      <c r="E5817">
        <v>1694</v>
      </c>
      <c r="F5817">
        <v>630</v>
      </c>
      <c r="G5817">
        <v>412</v>
      </c>
      <c r="H5817">
        <v>5976</v>
      </c>
      <c r="I5817" s="1">
        <v>45778</v>
      </c>
      <c r="J5817">
        <v>1042</v>
      </c>
      <c r="K5817" t="s">
        <v>23</v>
      </c>
    </row>
    <row r="5818" spans="1:11">
      <c r="A5818" s="1">
        <v>45806</v>
      </c>
      <c r="B5818" t="s">
        <v>40</v>
      </c>
      <c r="C5818" t="s">
        <v>37</v>
      </c>
      <c r="D5818">
        <v>396</v>
      </c>
      <c r="E5818">
        <v>331</v>
      </c>
      <c r="F5818">
        <v>239</v>
      </c>
      <c r="G5818">
        <v>107</v>
      </c>
      <c r="H5818">
        <v>1073</v>
      </c>
      <c r="I5818" s="1">
        <v>45778</v>
      </c>
      <c r="J5818">
        <v>346</v>
      </c>
      <c r="K5818" t="s">
        <v>23</v>
      </c>
    </row>
    <row r="5819" spans="1:11">
      <c r="A5819" s="1">
        <v>45806</v>
      </c>
      <c r="B5819" t="s">
        <v>40</v>
      </c>
      <c r="C5819" t="s">
        <v>66</v>
      </c>
      <c r="D5819">
        <v>23044</v>
      </c>
      <c r="E5819">
        <v>7946</v>
      </c>
      <c r="F5819">
        <v>3971</v>
      </c>
      <c r="G5819">
        <v>4982</v>
      </c>
      <c r="H5819">
        <v>39943</v>
      </c>
      <c r="I5819" s="1">
        <v>45778</v>
      </c>
      <c r="J5819">
        <v>8953</v>
      </c>
      <c r="K5819" t="s">
        <v>23</v>
      </c>
    </row>
    <row r="5820" spans="1:11">
      <c r="A5820" s="1">
        <v>45806</v>
      </c>
      <c r="B5820" t="s">
        <v>40</v>
      </c>
      <c r="C5820" t="s">
        <v>57</v>
      </c>
      <c r="D5820">
        <v>9171</v>
      </c>
      <c r="E5820">
        <v>2635</v>
      </c>
      <c r="F5820">
        <v>748</v>
      </c>
      <c r="G5820">
        <v>338</v>
      </c>
      <c r="H5820">
        <v>12893</v>
      </c>
      <c r="I5820" s="1">
        <v>45778</v>
      </c>
      <c r="J5820">
        <v>1086</v>
      </c>
      <c r="K5820" t="s">
        <v>23</v>
      </c>
    </row>
    <row r="5821" spans="1:11">
      <c r="A5821" s="1">
        <v>45806</v>
      </c>
      <c r="B5821" t="s">
        <v>40</v>
      </c>
      <c r="C5821" t="s">
        <v>28</v>
      </c>
      <c r="D5821">
        <v>2253</v>
      </c>
      <c r="E5821">
        <v>1169</v>
      </c>
      <c r="F5821">
        <v>360</v>
      </c>
      <c r="G5821">
        <v>452</v>
      </c>
      <c r="H5821">
        <v>4234</v>
      </c>
      <c r="I5821" s="1">
        <v>45778</v>
      </c>
      <c r="J5821">
        <v>812</v>
      </c>
      <c r="K5821" t="s">
        <v>23</v>
      </c>
    </row>
    <row r="5822" spans="1:11">
      <c r="A5822" s="1">
        <v>45806</v>
      </c>
      <c r="B5822" t="s">
        <v>40</v>
      </c>
      <c r="C5822" t="s">
        <v>68</v>
      </c>
      <c r="D5822">
        <v>25030</v>
      </c>
      <c r="E5822">
        <v>8228</v>
      </c>
      <c r="F5822">
        <v>3131</v>
      </c>
      <c r="G5822">
        <v>3964</v>
      </c>
      <c r="H5822">
        <v>40353</v>
      </c>
      <c r="I5822" s="1">
        <v>45778</v>
      </c>
      <c r="J5822">
        <v>7095</v>
      </c>
      <c r="K5822" t="s">
        <v>23</v>
      </c>
    </row>
    <row r="5823" spans="1:11">
      <c r="A5823" s="1">
        <v>45806</v>
      </c>
      <c r="B5823" t="s">
        <v>40</v>
      </c>
      <c r="C5823" t="s">
        <v>47</v>
      </c>
      <c r="D5823">
        <v>3790</v>
      </c>
      <c r="E5823">
        <v>1454</v>
      </c>
      <c r="F5823">
        <v>347</v>
      </c>
      <c r="G5823">
        <v>261</v>
      </c>
      <c r="H5823">
        <v>5852</v>
      </c>
      <c r="I5823" s="1">
        <v>45778</v>
      </c>
      <c r="J5823">
        <v>608</v>
      </c>
      <c r="K5823" t="s">
        <v>23</v>
      </c>
    </row>
    <row r="5824" spans="1:11">
      <c r="A5824" s="1">
        <v>45806</v>
      </c>
      <c r="B5824" t="s">
        <v>40</v>
      </c>
      <c r="C5824" t="s">
        <v>25</v>
      </c>
      <c r="D5824">
        <v>3350</v>
      </c>
      <c r="E5824">
        <v>1268</v>
      </c>
      <c r="F5824">
        <v>522</v>
      </c>
      <c r="G5824">
        <v>251</v>
      </c>
      <c r="H5824">
        <v>5390</v>
      </c>
      <c r="I5824" s="1">
        <v>45778</v>
      </c>
      <c r="J5824">
        <v>773</v>
      </c>
      <c r="K5824" t="s">
        <v>23</v>
      </c>
    </row>
    <row r="5825" spans="1:11">
      <c r="A5825" s="1">
        <v>45806</v>
      </c>
      <c r="B5825" t="s">
        <v>40</v>
      </c>
      <c r="C5825" t="s">
        <v>51</v>
      </c>
      <c r="D5825">
        <v>4846</v>
      </c>
      <c r="E5825">
        <v>1479</v>
      </c>
      <c r="F5825">
        <v>703</v>
      </c>
      <c r="G5825">
        <v>864</v>
      </c>
      <c r="H5825">
        <v>7893</v>
      </c>
      <c r="I5825" s="1">
        <v>45778</v>
      </c>
      <c r="J5825">
        <v>1567</v>
      </c>
      <c r="K5825" t="s">
        <v>23</v>
      </c>
    </row>
    <row r="5826" spans="1:11">
      <c r="A5826" s="1">
        <v>45806</v>
      </c>
      <c r="B5826" t="s">
        <v>40</v>
      </c>
      <c r="C5826" t="s">
        <v>45</v>
      </c>
      <c r="D5826">
        <v>2635</v>
      </c>
      <c r="E5826">
        <v>817</v>
      </c>
      <c r="F5826">
        <v>235</v>
      </c>
      <c r="G5826">
        <v>187</v>
      </c>
      <c r="H5826">
        <v>3873</v>
      </c>
      <c r="I5826" s="1">
        <v>45778</v>
      </c>
      <c r="J5826">
        <v>422</v>
      </c>
      <c r="K5826" t="s">
        <v>23</v>
      </c>
    </row>
    <row r="5827" spans="1:11">
      <c r="A5827" s="1">
        <v>45806</v>
      </c>
      <c r="B5827" t="s">
        <v>40</v>
      </c>
      <c r="C5827" t="s">
        <v>39</v>
      </c>
      <c r="D5827">
        <v>6955</v>
      </c>
      <c r="E5827">
        <v>2599</v>
      </c>
      <c r="F5827">
        <v>750</v>
      </c>
      <c r="G5827">
        <v>162</v>
      </c>
      <c r="H5827">
        <v>10465</v>
      </c>
      <c r="I5827" s="1">
        <v>45778</v>
      </c>
      <c r="J5827">
        <v>912</v>
      </c>
      <c r="K5827" t="s">
        <v>23</v>
      </c>
    </row>
    <row r="5828" spans="1:11">
      <c r="A5828" s="1">
        <v>45806</v>
      </c>
      <c r="B5828" t="s">
        <v>40</v>
      </c>
      <c r="C5828" t="s">
        <v>38</v>
      </c>
      <c r="D5828">
        <v>2087</v>
      </c>
      <c r="E5828">
        <v>729</v>
      </c>
      <c r="F5828">
        <v>125</v>
      </c>
      <c r="G5828">
        <v>1</v>
      </c>
      <c r="H5828">
        <v>2942</v>
      </c>
      <c r="I5828" s="1">
        <v>45778</v>
      </c>
      <c r="J5828">
        <v>126</v>
      </c>
      <c r="K5828" t="s">
        <v>23</v>
      </c>
    </row>
    <row r="5829" spans="1:11">
      <c r="A5829" s="1">
        <v>45806</v>
      </c>
      <c r="B5829" t="s">
        <v>40</v>
      </c>
      <c r="C5829" t="s">
        <v>54</v>
      </c>
      <c r="D5829">
        <v>1741</v>
      </c>
      <c r="E5829">
        <v>982</v>
      </c>
      <c r="F5829">
        <v>520</v>
      </c>
      <c r="G5829">
        <v>231</v>
      </c>
      <c r="H5829">
        <v>3474</v>
      </c>
      <c r="I5829" s="1">
        <v>45778</v>
      </c>
      <c r="J5829">
        <v>751</v>
      </c>
      <c r="K5829" t="s">
        <v>23</v>
      </c>
    </row>
    <row r="5830" spans="1:11">
      <c r="A5830" s="1">
        <v>45806</v>
      </c>
      <c r="B5830" t="s">
        <v>40</v>
      </c>
      <c r="C5830" t="s">
        <v>35</v>
      </c>
      <c r="D5830">
        <v>388</v>
      </c>
      <c r="E5830">
        <v>268</v>
      </c>
      <c r="F5830">
        <v>212</v>
      </c>
      <c r="G5830">
        <v>151</v>
      </c>
      <c r="H5830">
        <v>1019</v>
      </c>
      <c r="I5830" s="1">
        <v>45778</v>
      </c>
      <c r="J5830">
        <v>363</v>
      </c>
      <c r="K5830" t="s">
        <v>23</v>
      </c>
    </row>
    <row r="5831" spans="1:11">
      <c r="A5831" s="1">
        <v>45806</v>
      </c>
      <c r="B5831" t="s">
        <v>40</v>
      </c>
      <c r="C5831" t="s">
        <v>52</v>
      </c>
      <c r="D5831">
        <v>9136</v>
      </c>
      <c r="E5831">
        <v>4813</v>
      </c>
      <c r="F5831">
        <v>1705</v>
      </c>
      <c r="G5831">
        <v>461</v>
      </c>
      <c r="H5831">
        <v>16116</v>
      </c>
      <c r="I5831" s="1">
        <v>45778</v>
      </c>
      <c r="J5831">
        <v>2166</v>
      </c>
      <c r="K5831" t="s">
        <v>23</v>
      </c>
    </row>
    <row r="5832" spans="1:11">
      <c r="A5832" s="1">
        <v>45806</v>
      </c>
      <c r="B5832" t="s">
        <v>40</v>
      </c>
      <c r="C5832" t="s">
        <v>22</v>
      </c>
      <c r="D5832">
        <v>3954</v>
      </c>
      <c r="E5832">
        <v>1603</v>
      </c>
      <c r="F5832">
        <v>424</v>
      </c>
      <c r="G5832">
        <v>36</v>
      </c>
      <c r="H5832">
        <v>6018</v>
      </c>
      <c r="I5832" s="1">
        <v>45778</v>
      </c>
      <c r="J5832">
        <v>460</v>
      </c>
      <c r="K5832" t="s">
        <v>23</v>
      </c>
    </row>
    <row r="5833" spans="1:11">
      <c r="A5833" s="1">
        <v>45806</v>
      </c>
      <c r="B5833" t="s">
        <v>40</v>
      </c>
      <c r="C5833" t="s">
        <v>31</v>
      </c>
      <c r="D5833">
        <v>2786</v>
      </c>
      <c r="E5833">
        <v>557</v>
      </c>
      <c r="F5833">
        <v>127</v>
      </c>
      <c r="G5833">
        <v>15</v>
      </c>
      <c r="H5833">
        <v>3485</v>
      </c>
      <c r="I5833" s="1">
        <v>45778</v>
      </c>
      <c r="J5833">
        <v>142</v>
      </c>
      <c r="K5833" t="s">
        <v>23</v>
      </c>
    </row>
    <row r="5834" spans="1:11">
      <c r="A5834" s="1">
        <v>45806</v>
      </c>
      <c r="B5834" t="s">
        <v>40</v>
      </c>
      <c r="C5834" t="s">
        <v>63</v>
      </c>
      <c r="D5834">
        <v>6621</v>
      </c>
      <c r="E5834">
        <v>3257</v>
      </c>
      <c r="F5834">
        <v>1335</v>
      </c>
      <c r="G5834">
        <v>1074</v>
      </c>
      <c r="H5834">
        <v>12287</v>
      </c>
      <c r="I5834" s="1">
        <v>45778</v>
      </c>
      <c r="J5834">
        <v>2409</v>
      </c>
      <c r="K5834" t="s">
        <v>23</v>
      </c>
    </row>
    <row r="5835" spans="1:11">
      <c r="A5835" s="1">
        <v>45806</v>
      </c>
      <c r="B5835" t="s">
        <v>40</v>
      </c>
      <c r="C5835" t="s">
        <v>60</v>
      </c>
      <c r="D5835">
        <v>7370</v>
      </c>
      <c r="E5835">
        <v>2058</v>
      </c>
      <c r="F5835">
        <v>900</v>
      </c>
      <c r="G5835">
        <v>1215</v>
      </c>
      <c r="H5835">
        <v>11543</v>
      </c>
      <c r="I5835" s="1">
        <v>45778</v>
      </c>
      <c r="J5835">
        <v>2115</v>
      </c>
      <c r="K5835" t="s">
        <v>23</v>
      </c>
    </row>
    <row r="5836" spans="1:11">
      <c r="A5836" s="1">
        <v>45806</v>
      </c>
      <c r="B5836" t="s">
        <v>40</v>
      </c>
      <c r="C5836" t="s">
        <v>61</v>
      </c>
      <c r="D5836">
        <v>14371</v>
      </c>
      <c r="E5836">
        <v>7529</v>
      </c>
      <c r="F5836">
        <v>4002</v>
      </c>
      <c r="G5836">
        <v>4459</v>
      </c>
      <c r="H5836">
        <v>30361</v>
      </c>
      <c r="I5836" s="1">
        <v>45778</v>
      </c>
      <c r="J5836">
        <v>8461</v>
      </c>
      <c r="K5836" t="s">
        <v>23</v>
      </c>
    </row>
    <row r="5837" spans="1:11">
      <c r="A5837" s="1">
        <v>45806</v>
      </c>
      <c r="B5837" t="s">
        <v>40</v>
      </c>
      <c r="C5837" t="s">
        <v>62</v>
      </c>
      <c r="D5837">
        <v>2160</v>
      </c>
      <c r="E5837">
        <v>1471</v>
      </c>
      <c r="F5837">
        <v>1020</v>
      </c>
      <c r="G5837">
        <v>4944</v>
      </c>
      <c r="H5837">
        <v>9595</v>
      </c>
      <c r="I5837" s="1">
        <v>45778</v>
      </c>
      <c r="J5837">
        <v>5964</v>
      </c>
      <c r="K5837" t="s">
        <v>23</v>
      </c>
    </row>
    <row r="5838" spans="1:11">
      <c r="A5838" s="1">
        <v>45806</v>
      </c>
      <c r="B5838" t="s">
        <v>40</v>
      </c>
      <c r="C5838" t="s">
        <v>69</v>
      </c>
      <c r="D5838">
        <v>17442</v>
      </c>
      <c r="E5838">
        <v>5294</v>
      </c>
      <c r="F5838">
        <v>1675</v>
      </c>
      <c r="G5838">
        <v>962</v>
      </c>
      <c r="H5838">
        <v>25374</v>
      </c>
      <c r="I5838" s="1">
        <v>45778</v>
      </c>
      <c r="J5838">
        <v>2637</v>
      </c>
      <c r="K5838" t="s">
        <v>23</v>
      </c>
    </row>
    <row r="5839" spans="1:11">
      <c r="A5839" s="1">
        <v>45806</v>
      </c>
      <c r="B5839" t="s">
        <v>40</v>
      </c>
      <c r="C5839" t="s">
        <v>29</v>
      </c>
      <c r="D5839">
        <v>3164</v>
      </c>
      <c r="E5839">
        <v>1093</v>
      </c>
      <c r="F5839">
        <v>401</v>
      </c>
      <c r="G5839">
        <v>657</v>
      </c>
      <c r="H5839">
        <v>5315</v>
      </c>
      <c r="I5839" s="1">
        <v>45778</v>
      </c>
      <c r="J5839">
        <v>1058</v>
      </c>
      <c r="K5839" t="s">
        <v>23</v>
      </c>
    </row>
    <row r="5840" spans="1:11">
      <c r="A5840" s="1">
        <v>45806</v>
      </c>
      <c r="B5840" t="s">
        <v>40</v>
      </c>
      <c r="C5840" t="s">
        <v>70</v>
      </c>
      <c r="D5840">
        <v>2906</v>
      </c>
      <c r="E5840">
        <v>1153</v>
      </c>
      <c r="F5840">
        <v>602</v>
      </c>
      <c r="G5840">
        <v>427</v>
      </c>
      <c r="H5840">
        <v>5087</v>
      </c>
      <c r="I5840" s="1">
        <v>45778</v>
      </c>
      <c r="J5840">
        <v>1029</v>
      </c>
      <c r="K5840" t="s">
        <v>23</v>
      </c>
    </row>
    <row r="5841" spans="1:11">
      <c r="A5841" s="1">
        <v>45806</v>
      </c>
      <c r="B5841" t="s">
        <v>40</v>
      </c>
      <c r="C5841" t="s">
        <v>71</v>
      </c>
      <c r="D5841">
        <v>18293</v>
      </c>
      <c r="E5841">
        <v>7802</v>
      </c>
      <c r="F5841">
        <v>4097</v>
      </c>
      <c r="G5841">
        <v>2486</v>
      </c>
      <c r="H5841">
        <v>32678</v>
      </c>
      <c r="I5841" s="1">
        <v>45778</v>
      </c>
      <c r="J5841">
        <v>6583</v>
      </c>
      <c r="K5841" t="s">
        <v>23</v>
      </c>
    </row>
    <row r="5842" spans="1:11">
      <c r="A5842" s="1">
        <v>45806</v>
      </c>
      <c r="B5842" t="s">
        <v>40</v>
      </c>
      <c r="C5842" t="s">
        <v>36</v>
      </c>
      <c r="D5842">
        <v>13686</v>
      </c>
      <c r="E5842">
        <v>8257</v>
      </c>
      <c r="F5842">
        <v>2616</v>
      </c>
      <c r="G5842">
        <v>1054</v>
      </c>
      <c r="H5842">
        <v>25612</v>
      </c>
      <c r="I5842" s="1">
        <v>45778</v>
      </c>
      <c r="J5842">
        <v>3670</v>
      </c>
      <c r="K5842" t="s">
        <v>23</v>
      </c>
    </row>
    <row r="5843" spans="1:11">
      <c r="A5843" s="1">
        <v>45806</v>
      </c>
      <c r="B5843" t="s">
        <v>40</v>
      </c>
      <c r="C5843" t="s">
        <v>32</v>
      </c>
      <c r="D5843">
        <v>2355</v>
      </c>
      <c r="E5843">
        <v>878</v>
      </c>
      <c r="F5843">
        <v>364</v>
      </c>
      <c r="G5843">
        <v>66</v>
      </c>
      <c r="H5843">
        <v>3664</v>
      </c>
      <c r="I5843" s="1">
        <v>45778</v>
      </c>
      <c r="J5843">
        <v>430</v>
      </c>
      <c r="K5843" t="s">
        <v>23</v>
      </c>
    </row>
    <row r="5844" spans="1:11">
      <c r="A5844" s="1">
        <v>45806</v>
      </c>
      <c r="B5844" t="s">
        <v>40</v>
      </c>
      <c r="C5844" t="s">
        <v>44</v>
      </c>
      <c r="D5844">
        <v>6847</v>
      </c>
      <c r="E5844">
        <v>2393</v>
      </c>
      <c r="F5844">
        <v>722</v>
      </c>
      <c r="G5844">
        <v>41</v>
      </c>
      <c r="H5844">
        <v>10002</v>
      </c>
      <c r="I5844" s="1">
        <v>45778</v>
      </c>
      <c r="J5844">
        <v>763</v>
      </c>
      <c r="K5844" t="s">
        <v>23</v>
      </c>
    </row>
    <row r="5845" spans="1:11">
      <c r="A5845" s="1">
        <v>45806</v>
      </c>
      <c r="B5845" t="s">
        <v>40</v>
      </c>
      <c r="C5845" t="s">
        <v>59</v>
      </c>
      <c r="D5845">
        <v>15153</v>
      </c>
      <c r="E5845">
        <v>4481</v>
      </c>
      <c r="F5845">
        <v>1942</v>
      </c>
      <c r="G5845">
        <v>989</v>
      </c>
      <c r="H5845">
        <v>22565</v>
      </c>
      <c r="I5845" s="1">
        <v>45778</v>
      </c>
      <c r="J5845">
        <v>2931</v>
      </c>
      <c r="K5845" t="s">
        <v>23</v>
      </c>
    </row>
    <row r="5846" spans="1:11">
      <c r="A5846" s="1">
        <v>45806</v>
      </c>
      <c r="B5846" t="s">
        <v>40</v>
      </c>
      <c r="C5846" t="s">
        <v>67</v>
      </c>
      <c r="D5846">
        <v>21295</v>
      </c>
      <c r="E5846">
        <v>11163</v>
      </c>
      <c r="F5846">
        <v>4734</v>
      </c>
      <c r="G5846">
        <v>5104</v>
      </c>
      <c r="H5846">
        <v>42296</v>
      </c>
      <c r="I5846" s="1">
        <v>45778</v>
      </c>
      <c r="J5846">
        <v>9838</v>
      </c>
      <c r="K5846" t="s">
        <v>23</v>
      </c>
    </row>
    <row r="5847" spans="1:11">
      <c r="A5847" s="1">
        <v>45806</v>
      </c>
      <c r="B5847" t="s">
        <v>40</v>
      </c>
      <c r="C5847" t="s">
        <v>49</v>
      </c>
      <c r="D5847">
        <v>3674</v>
      </c>
      <c r="E5847">
        <v>731</v>
      </c>
      <c r="F5847">
        <v>35</v>
      </c>
      <c r="G5847">
        <v>8</v>
      </c>
      <c r="H5847">
        <v>4447</v>
      </c>
      <c r="I5847" s="1">
        <v>45778</v>
      </c>
      <c r="J5847">
        <v>43</v>
      </c>
      <c r="K5847" t="s">
        <v>23</v>
      </c>
    </row>
    <row r="5848" spans="1:11">
      <c r="A5848" s="1">
        <v>45834</v>
      </c>
      <c r="B5848" t="s">
        <v>40</v>
      </c>
      <c r="C5848" t="s">
        <v>48</v>
      </c>
      <c r="D5848">
        <v>27392</v>
      </c>
      <c r="E5848">
        <v>11874</v>
      </c>
      <c r="F5848">
        <v>4949</v>
      </c>
      <c r="G5848">
        <v>890</v>
      </c>
      <c r="H5848">
        <v>45105</v>
      </c>
      <c r="I5848" s="1">
        <v>45809</v>
      </c>
      <c r="J5848">
        <v>5839</v>
      </c>
      <c r="K5848" t="s">
        <v>23</v>
      </c>
    </row>
    <row r="5849" spans="1:11">
      <c r="A5849" s="1">
        <v>45834</v>
      </c>
      <c r="B5849" t="s">
        <v>40</v>
      </c>
      <c r="C5849" t="s">
        <v>41</v>
      </c>
      <c r="D5849">
        <v>4205</v>
      </c>
      <c r="E5849">
        <v>1381</v>
      </c>
      <c r="F5849">
        <v>355</v>
      </c>
      <c r="G5849">
        <v>72</v>
      </c>
      <c r="H5849">
        <v>6013</v>
      </c>
      <c r="I5849" s="1">
        <v>45809</v>
      </c>
      <c r="J5849">
        <v>427</v>
      </c>
      <c r="K5849" t="s">
        <v>23</v>
      </c>
    </row>
    <row r="5850" spans="1:11">
      <c r="A5850" s="1">
        <v>45834</v>
      </c>
      <c r="B5850" t="s">
        <v>40</v>
      </c>
      <c r="C5850" t="s">
        <v>33</v>
      </c>
      <c r="D5850">
        <v>2220</v>
      </c>
      <c r="E5850">
        <v>815</v>
      </c>
      <c r="F5850">
        <v>174</v>
      </c>
      <c r="G5850">
        <v>5</v>
      </c>
      <c r="H5850">
        <v>3214</v>
      </c>
      <c r="I5850" s="1">
        <v>45809</v>
      </c>
      <c r="J5850">
        <v>179</v>
      </c>
      <c r="K5850" t="s">
        <v>23</v>
      </c>
    </row>
    <row r="5851" spans="1:11">
      <c r="A5851" s="1">
        <v>45834</v>
      </c>
      <c r="B5851" t="s">
        <v>40</v>
      </c>
      <c r="C5851" t="s">
        <v>65</v>
      </c>
      <c r="D5851">
        <v>12882</v>
      </c>
      <c r="E5851">
        <v>4210</v>
      </c>
      <c r="F5851">
        <v>1498</v>
      </c>
      <c r="G5851">
        <v>1120</v>
      </c>
      <c r="H5851">
        <v>19710</v>
      </c>
      <c r="I5851" s="1">
        <v>45809</v>
      </c>
      <c r="J5851">
        <v>2618</v>
      </c>
      <c r="K5851" t="s">
        <v>23</v>
      </c>
    </row>
    <row r="5852" spans="1:11">
      <c r="A5852" s="1">
        <v>45834</v>
      </c>
      <c r="B5852" t="s">
        <v>40</v>
      </c>
      <c r="C5852" t="s">
        <v>27</v>
      </c>
      <c r="D5852">
        <v>3322</v>
      </c>
      <c r="E5852">
        <v>1757</v>
      </c>
      <c r="F5852">
        <v>748</v>
      </c>
      <c r="G5852">
        <v>394</v>
      </c>
      <c r="H5852">
        <v>6221</v>
      </c>
      <c r="I5852" s="1">
        <v>45809</v>
      </c>
      <c r="J5852">
        <v>1142</v>
      </c>
      <c r="K5852" t="s">
        <v>23</v>
      </c>
    </row>
    <row r="5853" spans="1:11">
      <c r="A5853" s="1">
        <v>45834</v>
      </c>
      <c r="B5853" t="s">
        <v>40</v>
      </c>
      <c r="C5853" t="s">
        <v>37</v>
      </c>
      <c r="D5853">
        <v>431</v>
      </c>
      <c r="E5853">
        <v>339</v>
      </c>
      <c r="F5853">
        <v>260</v>
      </c>
      <c r="G5853">
        <v>126</v>
      </c>
      <c r="H5853">
        <v>1155</v>
      </c>
      <c r="I5853" s="1">
        <v>45809</v>
      </c>
      <c r="J5853">
        <v>386</v>
      </c>
      <c r="K5853" t="s">
        <v>23</v>
      </c>
    </row>
    <row r="5854" spans="1:11">
      <c r="A5854" s="1">
        <v>45834</v>
      </c>
      <c r="B5854" t="s">
        <v>40</v>
      </c>
      <c r="C5854" t="s">
        <v>66</v>
      </c>
      <c r="D5854">
        <v>23593</v>
      </c>
      <c r="E5854">
        <v>8222</v>
      </c>
      <c r="F5854">
        <v>4218</v>
      </c>
      <c r="G5854">
        <v>5057</v>
      </c>
      <c r="H5854">
        <v>41090</v>
      </c>
      <c r="I5854" s="1">
        <v>45809</v>
      </c>
      <c r="J5854">
        <v>9275</v>
      </c>
      <c r="K5854" t="s">
        <v>23</v>
      </c>
    </row>
    <row r="5855" spans="1:11">
      <c r="A5855" s="1">
        <v>45834</v>
      </c>
      <c r="B5855" t="s">
        <v>40</v>
      </c>
      <c r="C5855" t="s">
        <v>57</v>
      </c>
      <c r="D5855">
        <v>9543</v>
      </c>
      <c r="E5855">
        <v>2799</v>
      </c>
      <c r="F5855">
        <v>753</v>
      </c>
      <c r="G5855">
        <v>328</v>
      </c>
      <c r="H5855">
        <v>13423</v>
      </c>
      <c r="I5855" s="1">
        <v>45809</v>
      </c>
      <c r="J5855">
        <v>1081</v>
      </c>
      <c r="K5855" t="s">
        <v>23</v>
      </c>
    </row>
    <row r="5856" spans="1:11">
      <c r="A5856" s="1">
        <v>45834</v>
      </c>
      <c r="B5856" t="s">
        <v>40</v>
      </c>
      <c r="C5856" t="s">
        <v>28</v>
      </c>
      <c r="D5856">
        <v>2320</v>
      </c>
      <c r="E5856">
        <v>1103</v>
      </c>
      <c r="F5856">
        <v>346</v>
      </c>
      <c r="G5856">
        <v>354</v>
      </c>
      <c r="H5856">
        <v>4122</v>
      </c>
      <c r="I5856" s="1">
        <v>45809</v>
      </c>
      <c r="J5856">
        <v>700</v>
      </c>
      <c r="K5856" t="s">
        <v>23</v>
      </c>
    </row>
    <row r="5857" spans="1:11">
      <c r="A5857" s="1">
        <v>45834</v>
      </c>
      <c r="B5857" t="s">
        <v>40</v>
      </c>
      <c r="C5857" t="s">
        <v>68</v>
      </c>
      <c r="D5857">
        <v>25231</v>
      </c>
      <c r="E5857">
        <v>8229</v>
      </c>
      <c r="F5857">
        <v>3255</v>
      </c>
      <c r="G5857">
        <v>3806</v>
      </c>
      <c r="H5857">
        <v>40521</v>
      </c>
      <c r="I5857" s="1">
        <v>45809</v>
      </c>
      <c r="J5857">
        <v>7061</v>
      </c>
      <c r="K5857" t="s">
        <v>23</v>
      </c>
    </row>
    <row r="5858" spans="1:11">
      <c r="A5858" s="1">
        <v>45834</v>
      </c>
      <c r="B5858" t="s">
        <v>40</v>
      </c>
      <c r="C5858" t="s">
        <v>47</v>
      </c>
      <c r="D5858">
        <v>4031</v>
      </c>
      <c r="E5858">
        <v>1420</v>
      </c>
      <c r="F5858">
        <v>381</v>
      </c>
      <c r="G5858">
        <v>245</v>
      </c>
      <c r="H5858">
        <v>6077</v>
      </c>
      <c r="I5858" s="1">
        <v>45809</v>
      </c>
      <c r="J5858">
        <v>626</v>
      </c>
      <c r="K5858" t="s">
        <v>23</v>
      </c>
    </row>
    <row r="5859" spans="1:11">
      <c r="A5859" s="1">
        <v>45834</v>
      </c>
      <c r="B5859" t="s">
        <v>40</v>
      </c>
      <c r="C5859" t="s">
        <v>25</v>
      </c>
      <c r="D5859">
        <v>3405</v>
      </c>
      <c r="E5859">
        <v>1231</v>
      </c>
      <c r="F5859">
        <v>545</v>
      </c>
      <c r="G5859">
        <v>231</v>
      </c>
      <c r="H5859">
        <v>5413</v>
      </c>
      <c r="I5859" s="1">
        <v>45809</v>
      </c>
      <c r="J5859">
        <v>776</v>
      </c>
      <c r="K5859" t="s">
        <v>23</v>
      </c>
    </row>
    <row r="5860" spans="1:11">
      <c r="A5860" s="1">
        <v>45834</v>
      </c>
      <c r="B5860" t="s">
        <v>40</v>
      </c>
      <c r="C5860" t="s">
        <v>51</v>
      </c>
      <c r="D5860">
        <v>4870</v>
      </c>
      <c r="E5860">
        <v>1476</v>
      </c>
      <c r="F5860">
        <v>708</v>
      </c>
      <c r="G5860">
        <v>866</v>
      </c>
      <c r="H5860">
        <v>7920</v>
      </c>
      <c r="I5860" s="1">
        <v>45809</v>
      </c>
      <c r="J5860">
        <v>1574</v>
      </c>
      <c r="K5860" t="s">
        <v>23</v>
      </c>
    </row>
    <row r="5861" spans="1:11">
      <c r="A5861" s="1">
        <v>45834</v>
      </c>
      <c r="B5861" t="s">
        <v>40</v>
      </c>
      <c r="C5861" t="s">
        <v>45</v>
      </c>
      <c r="D5861">
        <v>2686</v>
      </c>
      <c r="E5861">
        <v>733</v>
      </c>
      <c r="F5861">
        <v>252</v>
      </c>
      <c r="G5861">
        <v>185</v>
      </c>
      <c r="H5861">
        <v>3856</v>
      </c>
      <c r="I5861" s="1">
        <v>45809</v>
      </c>
      <c r="J5861">
        <v>437</v>
      </c>
      <c r="K5861" t="s">
        <v>23</v>
      </c>
    </row>
    <row r="5862" spans="1:11">
      <c r="A5862" s="1">
        <v>45834</v>
      </c>
      <c r="B5862" t="s">
        <v>40</v>
      </c>
      <c r="C5862" t="s">
        <v>39</v>
      </c>
      <c r="D5862">
        <v>7083</v>
      </c>
      <c r="E5862">
        <v>2605</v>
      </c>
      <c r="F5862">
        <v>781</v>
      </c>
      <c r="G5862">
        <v>147</v>
      </c>
      <c r="H5862">
        <v>10616</v>
      </c>
      <c r="I5862" s="1">
        <v>45809</v>
      </c>
      <c r="J5862">
        <v>928</v>
      </c>
      <c r="K5862" t="s">
        <v>23</v>
      </c>
    </row>
    <row r="5863" spans="1:11">
      <c r="A5863" s="1">
        <v>45834</v>
      </c>
      <c r="B5863" t="s">
        <v>40</v>
      </c>
      <c r="C5863" t="s">
        <v>54</v>
      </c>
      <c r="D5863">
        <v>1635</v>
      </c>
      <c r="E5863">
        <v>901</v>
      </c>
      <c r="F5863">
        <v>529</v>
      </c>
      <c r="G5863">
        <v>245</v>
      </c>
      <c r="H5863">
        <v>3309</v>
      </c>
      <c r="I5863" s="1">
        <v>45809</v>
      </c>
      <c r="J5863">
        <v>774</v>
      </c>
      <c r="K5863" t="s">
        <v>23</v>
      </c>
    </row>
    <row r="5864" spans="1:11">
      <c r="A5864" s="1">
        <v>45834</v>
      </c>
      <c r="B5864" t="s">
        <v>40</v>
      </c>
      <c r="C5864" t="s">
        <v>35</v>
      </c>
      <c r="D5864">
        <v>383</v>
      </c>
      <c r="E5864">
        <v>285</v>
      </c>
      <c r="F5864">
        <v>214</v>
      </c>
      <c r="G5864">
        <v>167</v>
      </c>
      <c r="H5864">
        <v>1049</v>
      </c>
      <c r="I5864" s="1">
        <v>45809</v>
      </c>
      <c r="J5864">
        <v>381</v>
      </c>
      <c r="K5864" t="s">
        <v>23</v>
      </c>
    </row>
    <row r="5865" spans="1:11">
      <c r="A5865" s="1">
        <v>45834</v>
      </c>
      <c r="B5865" t="s">
        <v>40</v>
      </c>
      <c r="C5865" t="s">
        <v>52</v>
      </c>
      <c r="D5865">
        <v>9213</v>
      </c>
      <c r="E5865">
        <v>4886</v>
      </c>
      <c r="F5865">
        <v>1974</v>
      </c>
      <c r="G5865">
        <v>504</v>
      </c>
      <c r="H5865">
        <v>16577</v>
      </c>
      <c r="I5865" s="1">
        <v>45809</v>
      </c>
      <c r="J5865">
        <v>2478</v>
      </c>
      <c r="K5865" t="s">
        <v>23</v>
      </c>
    </row>
    <row r="5866" spans="1:11">
      <c r="A5866" s="1">
        <v>45834</v>
      </c>
      <c r="B5866" t="s">
        <v>40</v>
      </c>
      <c r="C5866" t="s">
        <v>22</v>
      </c>
      <c r="D5866">
        <v>4083</v>
      </c>
      <c r="E5866">
        <v>1506</v>
      </c>
      <c r="F5866">
        <v>496</v>
      </c>
      <c r="G5866">
        <v>34</v>
      </c>
      <c r="H5866">
        <v>6120</v>
      </c>
      <c r="I5866" s="1">
        <v>45809</v>
      </c>
      <c r="J5866">
        <v>530</v>
      </c>
      <c r="K5866" t="s">
        <v>23</v>
      </c>
    </row>
    <row r="5867" spans="1:11">
      <c r="A5867" s="1">
        <v>45834</v>
      </c>
      <c r="B5867" t="s">
        <v>40</v>
      </c>
      <c r="C5867" t="s">
        <v>46</v>
      </c>
      <c r="D5867">
        <v>2303</v>
      </c>
      <c r="E5867">
        <v>506</v>
      </c>
      <c r="F5867">
        <v>41</v>
      </c>
      <c r="G5867">
        <v>5</v>
      </c>
      <c r="H5867">
        <v>2854</v>
      </c>
      <c r="I5867" s="1">
        <v>45809</v>
      </c>
      <c r="J5867">
        <v>46</v>
      </c>
      <c r="K5867" t="s">
        <v>23</v>
      </c>
    </row>
    <row r="5868" spans="1:11">
      <c r="A5868" s="1">
        <v>45834</v>
      </c>
      <c r="B5868" t="s">
        <v>40</v>
      </c>
      <c r="C5868" t="s">
        <v>31</v>
      </c>
      <c r="D5868">
        <v>2925</v>
      </c>
      <c r="E5868">
        <v>599</v>
      </c>
      <c r="F5868">
        <v>137</v>
      </c>
      <c r="G5868">
        <v>12</v>
      </c>
      <c r="H5868">
        <v>3672</v>
      </c>
      <c r="I5868" s="1">
        <v>45809</v>
      </c>
      <c r="J5868">
        <v>149</v>
      </c>
      <c r="K5868" t="s">
        <v>23</v>
      </c>
    </row>
    <row r="5869" spans="1:11">
      <c r="A5869" s="1">
        <v>45834</v>
      </c>
      <c r="B5869" t="s">
        <v>40</v>
      </c>
      <c r="C5869" t="s">
        <v>63</v>
      </c>
      <c r="D5869">
        <v>6710</v>
      </c>
      <c r="E5869">
        <v>3231</v>
      </c>
      <c r="F5869">
        <v>1342</v>
      </c>
      <c r="G5869">
        <v>1054</v>
      </c>
      <c r="H5869">
        <v>12337</v>
      </c>
      <c r="I5869" s="1">
        <v>45809</v>
      </c>
      <c r="J5869">
        <v>2396</v>
      </c>
      <c r="K5869" t="s">
        <v>23</v>
      </c>
    </row>
    <row r="5870" spans="1:11">
      <c r="A5870" s="1">
        <v>45834</v>
      </c>
      <c r="B5870" t="s">
        <v>40</v>
      </c>
      <c r="C5870" t="s">
        <v>60</v>
      </c>
      <c r="D5870">
        <v>7437</v>
      </c>
      <c r="E5870">
        <v>1991</v>
      </c>
      <c r="F5870">
        <v>968</v>
      </c>
      <c r="G5870">
        <v>1261</v>
      </c>
      <c r="H5870">
        <v>11656</v>
      </c>
      <c r="I5870" s="1">
        <v>45809</v>
      </c>
      <c r="J5870">
        <v>2229</v>
      </c>
      <c r="K5870" t="s">
        <v>23</v>
      </c>
    </row>
    <row r="5871" spans="1:11">
      <c r="A5871" s="1">
        <v>45834</v>
      </c>
      <c r="B5871" t="s">
        <v>40</v>
      </c>
      <c r="C5871" t="s">
        <v>61</v>
      </c>
      <c r="D5871">
        <v>14598</v>
      </c>
      <c r="E5871">
        <v>7124</v>
      </c>
      <c r="F5871">
        <v>3990</v>
      </c>
      <c r="G5871">
        <v>4310</v>
      </c>
      <c r="H5871">
        <v>30022</v>
      </c>
      <c r="I5871" s="1">
        <v>45809</v>
      </c>
      <c r="J5871">
        <v>8300</v>
      </c>
      <c r="K5871" t="s">
        <v>23</v>
      </c>
    </row>
    <row r="5872" spans="1:11">
      <c r="A5872" s="1">
        <v>45834</v>
      </c>
      <c r="B5872" t="s">
        <v>40</v>
      </c>
      <c r="C5872" t="s">
        <v>62</v>
      </c>
      <c r="D5872">
        <v>2115</v>
      </c>
      <c r="E5872">
        <v>1389</v>
      </c>
      <c r="F5872">
        <v>1030</v>
      </c>
      <c r="G5872">
        <v>5104</v>
      </c>
      <c r="H5872">
        <v>9638</v>
      </c>
      <c r="I5872" s="1">
        <v>45809</v>
      </c>
      <c r="J5872">
        <v>6134</v>
      </c>
      <c r="K5872" t="s">
        <v>23</v>
      </c>
    </row>
    <row r="5873" spans="1:11">
      <c r="A5873" s="1">
        <v>45834</v>
      </c>
      <c r="B5873" t="s">
        <v>40</v>
      </c>
      <c r="C5873" t="s">
        <v>69</v>
      </c>
      <c r="D5873">
        <v>17821</v>
      </c>
      <c r="E5873">
        <v>5380</v>
      </c>
      <c r="F5873">
        <v>1777</v>
      </c>
      <c r="G5873">
        <v>945</v>
      </c>
      <c r="H5873">
        <v>25923</v>
      </c>
      <c r="I5873" s="1">
        <v>45809</v>
      </c>
      <c r="J5873">
        <v>2722</v>
      </c>
      <c r="K5873" t="s">
        <v>23</v>
      </c>
    </row>
    <row r="5874" spans="1:11">
      <c r="A5874" s="1">
        <v>45834</v>
      </c>
      <c r="B5874" t="s">
        <v>40</v>
      </c>
      <c r="C5874" t="s">
        <v>29</v>
      </c>
      <c r="D5874">
        <v>3139</v>
      </c>
      <c r="E5874">
        <v>1099</v>
      </c>
      <c r="F5874">
        <v>426</v>
      </c>
      <c r="G5874">
        <v>631</v>
      </c>
      <c r="H5874">
        <v>5295</v>
      </c>
      <c r="I5874" s="1">
        <v>45809</v>
      </c>
      <c r="J5874">
        <v>1057</v>
      </c>
      <c r="K5874" t="s">
        <v>23</v>
      </c>
    </row>
    <row r="5875" spans="1:11">
      <c r="A5875" s="1">
        <v>45834</v>
      </c>
      <c r="B5875" t="s">
        <v>40</v>
      </c>
      <c r="C5875" t="s">
        <v>70</v>
      </c>
      <c r="D5875">
        <v>2938</v>
      </c>
      <c r="E5875">
        <v>1095</v>
      </c>
      <c r="F5875">
        <v>607</v>
      </c>
      <c r="G5875">
        <v>460</v>
      </c>
      <c r="H5875">
        <v>5100</v>
      </c>
      <c r="I5875" s="1">
        <v>45809</v>
      </c>
      <c r="J5875">
        <v>1067</v>
      </c>
      <c r="K5875" t="s">
        <v>23</v>
      </c>
    </row>
    <row r="5876" spans="1:11">
      <c r="A5876" s="1">
        <v>45834</v>
      </c>
      <c r="B5876" t="s">
        <v>40</v>
      </c>
      <c r="C5876" t="s">
        <v>71</v>
      </c>
      <c r="D5876">
        <v>19197</v>
      </c>
      <c r="E5876">
        <v>7736</v>
      </c>
      <c r="F5876">
        <v>4135</v>
      </c>
      <c r="G5876">
        <v>2540</v>
      </c>
      <c r="H5876">
        <v>33608</v>
      </c>
      <c r="I5876" s="1">
        <v>45809</v>
      </c>
      <c r="J5876">
        <v>6675</v>
      </c>
      <c r="K5876" t="s">
        <v>23</v>
      </c>
    </row>
    <row r="5877" spans="1:11">
      <c r="A5877" s="1">
        <v>45834</v>
      </c>
      <c r="B5877" t="s">
        <v>40</v>
      </c>
      <c r="C5877" t="s">
        <v>36</v>
      </c>
      <c r="D5877">
        <v>13398</v>
      </c>
      <c r="E5877">
        <v>8182</v>
      </c>
      <c r="F5877">
        <v>2552</v>
      </c>
      <c r="G5877">
        <v>1020</v>
      </c>
      <c r="H5877">
        <v>25153</v>
      </c>
      <c r="I5877" s="1">
        <v>45809</v>
      </c>
      <c r="J5877">
        <v>3572</v>
      </c>
      <c r="K5877" t="s">
        <v>23</v>
      </c>
    </row>
    <row r="5878" spans="1:11">
      <c r="A5878" s="1">
        <v>45834</v>
      </c>
      <c r="B5878" t="s">
        <v>40</v>
      </c>
      <c r="C5878" t="s">
        <v>32</v>
      </c>
      <c r="D5878">
        <v>2327</v>
      </c>
      <c r="E5878">
        <v>888</v>
      </c>
      <c r="F5878">
        <v>374</v>
      </c>
      <c r="G5878">
        <v>63</v>
      </c>
      <c r="H5878">
        <v>3652</v>
      </c>
      <c r="I5878" s="1">
        <v>45809</v>
      </c>
      <c r="J5878">
        <v>437</v>
      </c>
      <c r="K5878" t="s">
        <v>23</v>
      </c>
    </row>
    <row r="5879" spans="1:11">
      <c r="A5879" s="1">
        <v>45834</v>
      </c>
      <c r="B5879" t="s">
        <v>40</v>
      </c>
      <c r="C5879" t="s">
        <v>44</v>
      </c>
      <c r="D5879">
        <v>7087</v>
      </c>
      <c r="E5879">
        <v>2326</v>
      </c>
      <c r="F5879">
        <v>784</v>
      </c>
      <c r="G5879">
        <v>33</v>
      </c>
      <c r="H5879">
        <v>10230</v>
      </c>
      <c r="I5879" s="1">
        <v>45809</v>
      </c>
      <c r="J5879">
        <v>817</v>
      </c>
      <c r="K5879" t="s">
        <v>23</v>
      </c>
    </row>
    <row r="5880" spans="1:11">
      <c r="A5880" s="1">
        <v>45834</v>
      </c>
      <c r="B5880" t="s">
        <v>40</v>
      </c>
      <c r="C5880" t="s">
        <v>59</v>
      </c>
      <c r="D5880">
        <v>15549</v>
      </c>
      <c r="E5880">
        <v>4606</v>
      </c>
      <c r="F5880">
        <v>2007</v>
      </c>
      <c r="G5880">
        <v>1063</v>
      </c>
      <c r="H5880">
        <v>23225</v>
      </c>
      <c r="I5880" s="1">
        <v>45809</v>
      </c>
      <c r="J5880">
        <v>3070</v>
      </c>
      <c r="K5880" t="s">
        <v>23</v>
      </c>
    </row>
    <row r="5881" spans="1:11">
      <c r="A5881" s="1">
        <v>45834</v>
      </c>
      <c r="B5881" t="s">
        <v>40</v>
      </c>
      <c r="C5881" t="s">
        <v>67</v>
      </c>
      <c r="D5881">
        <v>21974</v>
      </c>
      <c r="E5881">
        <v>11392</v>
      </c>
      <c r="F5881">
        <v>4793</v>
      </c>
      <c r="G5881">
        <v>5053</v>
      </c>
      <c r="H5881">
        <v>43211</v>
      </c>
      <c r="I5881" s="1">
        <v>45809</v>
      </c>
      <c r="J5881">
        <v>9846</v>
      </c>
      <c r="K5881" t="s">
        <v>23</v>
      </c>
    </row>
    <row r="5882" spans="1:11">
      <c r="A5882" s="1">
        <v>45834</v>
      </c>
      <c r="B5882" t="s">
        <v>40</v>
      </c>
      <c r="C5882" t="s">
        <v>49</v>
      </c>
      <c r="D5882">
        <v>3704</v>
      </c>
      <c r="E5882">
        <v>737</v>
      </c>
      <c r="F5882">
        <v>45</v>
      </c>
      <c r="G5882">
        <v>4</v>
      </c>
      <c r="H5882">
        <v>4490</v>
      </c>
      <c r="I5882" s="1">
        <v>45809</v>
      </c>
      <c r="J5882">
        <v>49</v>
      </c>
      <c r="K5882" t="s">
        <v>23</v>
      </c>
    </row>
    <row r="5883" spans="1:11">
      <c r="A5883" s="1">
        <v>45869</v>
      </c>
      <c r="B5883" t="s">
        <v>40</v>
      </c>
      <c r="C5883" t="s">
        <v>48</v>
      </c>
      <c r="D5883">
        <v>28406</v>
      </c>
      <c r="E5883">
        <v>12074</v>
      </c>
      <c r="F5883">
        <v>5371</v>
      </c>
      <c r="G5883">
        <v>1066</v>
      </c>
      <c r="H5883">
        <v>46917</v>
      </c>
      <c r="I5883" s="1">
        <v>45839</v>
      </c>
      <c r="J5883">
        <v>6437</v>
      </c>
      <c r="K5883" t="s">
        <v>23</v>
      </c>
    </row>
    <row r="5884" spans="1:11">
      <c r="A5884" s="1">
        <v>45869</v>
      </c>
      <c r="B5884" t="s">
        <v>40</v>
      </c>
      <c r="C5884" t="s">
        <v>41</v>
      </c>
      <c r="D5884">
        <v>4633</v>
      </c>
      <c r="E5884">
        <v>1270</v>
      </c>
      <c r="F5884">
        <v>229</v>
      </c>
      <c r="G5884">
        <v>51</v>
      </c>
      <c r="H5884">
        <v>6183</v>
      </c>
      <c r="I5884" s="1">
        <v>45839</v>
      </c>
      <c r="J5884">
        <v>280</v>
      </c>
      <c r="K5884" t="s">
        <v>23</v>
      </c>
    </row>
    <row r="5885" spans="1:11">
      <c r="A5885" s="1">
        <v>45869</v>
      </c>
      <c r="B5885" t="s">
        <v>40</v>
      </c>
      <c r="C5885" t="s">
        <v>55</v>
      </c>
      <c r="D5885">
        <v>6525</v>
      </c>
      <c r="E5885">
        <v>1367</v>
      </c>
      <c r="F5885">
        <v>486</v>
      </c>
      <c r="G5885">
        <v>7</v>
      </c>
      <c r="H5885">
        <v>8384</v>
      </c>
      <c r="I5885" s="1">
        <v>45839</v>
      </c>
      <c r="J5885">
        <v>493</v>
      </c>
      <c r="K5885" t="s">
        <v>23</v>
      </c>
    </row>
    <row r="5886" spans="1:11">
      <c r="A5886" s="1">
        <v>45869</v>
      </c>
      <c r="B5886" t="s">
        <v>40</v>
      </c>
      <c r="C5886" t="s">
        <v>33</v>
      </c>
      <c r="D5886">
        <v>2330</v>
      </c>
      <c r="E5886">
        <v>851</v>
      </c>
      <c r="F5886">
        <v>176</v>
      </c>
      <c r="G5886">
        <v>8</v>
      </c>
      <c r="H5886">
        <v>3365</v>
      </c>
      <c r="I5886" s="1">
        <v>45839</v>
      </c>
      <c r="J5886">
        <v>184</v>
      </c>
      <c r="K5886" t="s">
        <v>23</v>
      </c>
    </row>
    <row r="5887" spans="1:11">
      <c r="A5887" s="1">
        <v>45869</v>
      </c>
      <c r="B5887" t="s">
        <v>40</v>
      </c>
      <c r="C5887" t="s">
        <v>65</v>
      </c>
      <c r="D5887">
        <v>13558</v>
      </c>
      <c r="E5887">
        <v>3995</v>
      </c>
      <c r="F5887">
        <v>1602</v>
      </c>
      <c r="G5887">
        <v>928</v>
      </c>
      <c r="H5887">
        <v>20082</v>
      </c>
      <c r="I5887" s="1">
        <v>45839</v>
      </c>
      <c r="J5887">
        <v>2530</v>
      </c>
      <c r="K5887" t="s">
        <v>23</v>
      </c>
    </row>
    <row r="5888" spans="1:11">
      <c r="A5888" s="1">
        <v>45869</v>
      </c>
      <c r="B5888" t="s">
        <v>40</v>
      </c>
      <c r="C5888" t="s">
        <v>27</v>
      </c>
      <c r="D5888">
        <v>3512</v>
      </c>
      <c r="E5888">
        <v>1757</v>
      </c>
      <c r="F5888">
        <v>911</v>
      </c>
      <c r="G5888">
        <v>397</v>
      </c>
      <c r="H5888">
        <v>6577</v>
      </c>
      <c r="I5888" s="1">
        <v>45839</v>
      </c>
      <c r="J5888">
        <v>1308</v>
      </c>
      <c r="K5888" t="s">
        <v>23</v>
      </c>
    </row>
    <row r="5889" spans="1:11">
      <c r="A5889" s="1">
        <v>45869</v>
      </c>
      <c r="B5889" t="s">
        <v>40</v>
      </c>
      <c r="C5889" t="s">
        <v>37</v>
      </c>
      <c r="D5889">
        <v>470</v>
      </c>
      <c r="E5889">
        <v>332</v>
      </c>
      <c r="F5889">
        <v>274</v>
      </c>
      <c r="G5889">
        <v>145</v>
      </c>
      <c r="H5889">
        <v>1220</v>
      </c>
      <c r="I5889" s="1">
        <v>45839</v>
      </c>
      <c r="J5889">
        <v>419</v>
      </c>
      <c r="K5889" t="s">
        <v>23</v>
      </c>
    </row>
    <row r="5890" spans="1:11">
      <c r="A5890" s="1">
        <v>45869</v>
      </c>
      <c r="B5890" t="s">
        <v>40</v>
      </c>
      <c r="C5890" t="s">
        <v>66</v>
      </c>
      <c r="D5890">
        <v>27336</v>
      </c>
      <c r="E5890">
        <v>8001</v>
      </c>
      <c r="F5890">
        <v>4362</v>
      </c>
      <c r="G5890">
        <v>5252</v>
      </c>
      <c r="H5890">
        <v>44950</v>
      </c>
      <c r="I5890" s="1">
        <v>45839</v>
      </c>
      <c r="J5890">
        <v>9614</v>
      </c>
      <c r="K5890" t="s">
        <v>23</v>
      </c>
    </row>
    <row r="5891" spans="1:11">
      <c r="A5891" s="1">
        <v>45869</v>
      </c>
      <c r="B5891" t="s">
        <v>40</v>
      </c>
      <c r="C5891" t="s">
        <v>57</v>
      </c>
      <c r="D5891">
        <v>9964</v>
      </c>
      <c r="E5891">
        <v>2739</v>
      </c>
      <c r="F5891">
        <v>1037</v>
      </c>
      <c r="G5891">
        <v>384</v>
      </c>
      <c r="H5891">
        <v>14125</v>
      </c>
      <c r="I5891" s="1">
        <v>45839</v>
      </c>
      <c r="J5891">
        <v>1421</v>
      </c>
      <c r="K5891" t="s">
        <v>23</v>
      </c>
    </row>
    <row r="5892" spans="1:11">
      <c r="A5892" s="1">
        <v>45869</v>
      </c>
      <c r="B5892" t="s">
        <v>40</v>
      </c>
      <c r="C5892" t="s">
        <v>28</v>
      </c>
      <c r="D5892">
        <v>2379</v>
      </c>
      <c r="E5892">
        <v>1089</v>
      </c>
      <c r="F5892">
        <v>456</v>
      </c>
      <c r="G5892">
        <v>317</v>
      </c>
      <c r="H5892">
        <v>4241</v>
      </c>
      <c r="I5892" s="1">
        <v>45839</v>
      </c>
      <c r="J5892">
        <v>773</v>
      </c>
      <c r="K5892" t="s">
        <v>23</v>
      </c>
    </row>
    <row r="5893" spans="1:11">
      <c r="A5893" s="1">
        <v>45869</v>
      </c>
      <c r="B5893" t="s">
        <v>40</v>
      </c>
      <c r="C5893" t="s">
        <v>68</v>
      </c>
      <c r="D5893">
        <v>26567</v>
      </c>
      <c r="E5893">
        <v>7859</v>
      </c>
      <c r="F5893">
        <v>3456</v>
      </c>
      <c r="G5893">
        <v>3487</v>
      </c>
      <c r="H5893">
        <v>41368</v>
      </c>
      <c r="I5893" s="1">
        <v>45839</v>
      </c>
      <c r="J5893">
        <v>6943</v>
      </c>
      <c r="K5893" t="s">
        <v>23</v>
      </c>
    </row>
    <row r="5894" spans="1:11">
      <c r="A5894" s="1">
        <v>45869</v>
      </c>
      <c r="B5894" t="s">
        <v>40</v>
      </c>
      <c r="C5894" t="s">
        <v>47</v>
      </c>
      <c r="D5894">
        <v>4217</v>
      </c>
      <c r="E5894">
        <v>1308</v>
      </c>
      <c r="F5894">
        <v>430</v>
      </c>
      <c r="G5894">
        <v>235</v>
      </c>
      <c r="H5894">
        <v>6189</v>
      </c>
      <c r="I5894" s="1">
        <v>45839</v>
      </c>
      <c r="J5894">
        <v>665</v>
      </c>
      <c r="K5894" t="s">
        <v>23</v>
      </c>
    </row>
    <row r="5895" spans="1:11">
      <c r="A5895" s="1">
        <v>45869</v>
      </c>
      <c r="B5895" t="s">
        <v>40</v>
      </c>
      <c r="C5895" t="s">
        <v>25</v>
      </c>
      <c r="D5895">
        <v>3502</v>
      </c>
      <c r="E5895">
        <v>1254</v>
      </c>
      <c r="F5895">
        <v>586</v>
      </c>
      <c r="G5895">
        <v>251</v>
      </c>
      <c r="H5895">
        <v>5592</v>
      </c>
      <c r="I5895" s="1">
        <v>45839</v>
      </c>
      <c r="J5895">
        <v>837</v>
      </c>
      <c r="K5895" t="s">
        <v>23</v>
      </c>
    </row>
    <row r="5896" spans="1:11">
      <c r="A5896" s="1">
        <v>45869</v>
      </c>
      <c r="B5896" t="s">
        <v>40</v>
      </c>
      <c r="C5896" t="s">
        <v>51</v>
      </c>
      <c r="D5896">
        <v>4926</v>
      </c>
      <c r="E5896">
        <v>1471</v>
      </c>
      <c r="F5896">
        <v>749</v>
      </c>
      <c r="G5896">
        <v>894</v>
      </c>
      <c r="H5896">
        <v>8040</v>
      </c>
      <c r="I5896" s="1">
        <v>45839</v>
      </c>
      <c r="J5896">
        <v>1643</v>
      </c>
      <c r="K5896" t="s">
        <v>23</v>
      </c>
    </row>
    <row r="5897" spans="1:11">
      <c r="A5897" s="1">
        <v>45869</v>
      </c>
      <c r="B5897" t="s">
        <v>40</v>
      </c>
      <c r="C5897" t="s">
        <v>45</v>
      </c>
      <c r="D5897">
        <v>2801</v>
      </c>
      <c r="E5897">
        <v>645</v>
      </c>
      <c r="F5897">
        <v>257</v>
      </c>
      <c r="G5897">
        <v>156</v>
      </c>
      <c r="H5897">
        <v>3860</v>
      </c>
      <c r="I5897" s="1">
        <v>45839</v>
      </c>
      <c r="J5897">
        <v>413</v>
      </c>
      <c r="K5897" t="s">
        <v>23</v>
      </c>
    </row>
    <row r="5898" spans="1:11">
      <c r="A5898" s="1">
        <v>45869</v>
      </c>
      <c r="B5898" t="s">
        <v>40</v>
      </c>
      <c r="C5898" t="s">
        <v>39</v>
      </c>
      <c r="D5898">
        <v>7259</v>
      </c>
      <c r="E5898">
        <v>2568</v>
      </c>
      <c r="F5898">
        <v>915</v>
      </c>
      <c r="G5898">
        <v>207</v>
      </c>
      <c r="H5898">
        <v>10948</v>
      </c>
      <c r="I5898" s="1">
        <v>45839</v>
      </c>
      <c r="J5898">
        <v>1122</v>
      </c>
      <c r="K5898" t="s">
        <v>23</v>
      </c>
    </row>
    <row r="5899" spans="1:11">
      <c r="A5899" s="1">
        <v>45869</v>
      </c>
      <c r="B5899" t="s">
        <v>40</v>
      </c>
      <c r="C5899" t="s">
        <v>54</v>
      </c>
      <c r="D5899">
        <v>1523</v>
      </c>
      <c r="E5899">
        <v>785</v>
      </c>
      <c r="F5899">
        <v>551</v>
      </c>
      <c r="G5899">
        <v>266</v>
      </c>
      <c r="H5899">
        <v>3125</v>
      </c>
      <c r="I5899" s="1">
        <v>45839</v>
      </c>
      <c r="J5899">
        <v>817</v>
      </c>
      <c r="K5899" t="s">
        <v>23</v>
      </c>
    </row>
    <row r="5900" spans="1:11">
      <c r="A5900" s="1">
        <v>45869</v>
      </c>
      <c r="B5900" t="s">
        <v>40</v>
      </c>
      <c r="C5900" t="s">
        <v>35</v>
      </c>
      <c r="D5900">
        <v>422</v>
      </c>
      <c r="E5900">
        <v>293</v>
      </c>
      <c r="F5900">
        <v>220</v>
      </c>
      <c r="G5900">
        <v>178</v>
      </c>
      <c r="H5900">
        <v>1114</v>
      </c>
      <c r="I5900" s="1">
        <v>45839</v>
      </c>
      <c r="J5900">
        <v>398</v>
      </c>
      <c r="K5900" t="s">
        <v>23</v>
      </c>
    </row>
    <row r="5901" spans="1:11">
      <c r="A5901" s="1">
        <v>45869</v>
      </c>
      <c r="B5901" t="s">
        <v>40</v>
      </c>
      <c r="C5901" t="s">
        <v>52</v>
      </c>
      <c r="D5901">
        <v>9539</v>
      </c>
      <c r="E5901">
        <v>4557</v>
      </c>
      <c r="F5901">
        <v>2121</v>
      </c>
      <c r="G5901">
        <v>542</v>
      </c>
      <c r="H5901">
        <v>16760</v>
      </c>
      <c r="I5901" s="1">
        <v>45839</v>
      </c>
      <c r="J5901">
        <v>2663</v>
      </c>
      <c r="K5901" t="s">
        <v>23</v>
      </c>
    </row>
    <row r="5902" spans="1:11">
      <c r="A5902" s="1">
        <v>45869</v>
      </c>
      <c r="B5902" t="s">
        <v>40</v>
      </c>
      <c r="C5902" t="s">
        <v>22</v>
      </c>
      <c r="D5902">
        <v>4275</v>
      </c>
      <c r="E5902">
        <v>1616</v>
      </c>
      <c r="F5902">
        <v>515</v>
      </c>
      <c r="G5902">
        <v>41</v>
      </c>
      <c r="H5902">
        <v>6445</v>
      </c>
      <c r="I5902" s="1">
        <v>45839</v>
      </c>
      <c r="J5902">
        <v>556</v>
      </c>
      <c r="K5902" t="s">
        <v>23</v>
      </c>
    </row>
    <row r="5903" spans="1:11">
      <c r="A5903" s="1">
        <v>45869</v>
      </c>
      <c r="B5903" t="s">
        <v>40</v>
      </c>
      <c r="C5903" t="s">
        <v>31</v>
      </c>
      <c r="D5903">
        <v>3215</v>
      </c>
      <c r="E5903">
        <v>674</v>
      </c>
      <c r="F5903">
        <v>138</v>
      </c>
      <c r="G5903">
        <v>12</v>
      </c>
      <c r="H5903">
        <v>4038</v>
      </c>
      <c r="I5903" s="1">
        <v>45839</v>
      </c>
      <c r="J5903">
        <v>150</v>
      </c>
      <c r="K5903" t="s">
        <v>23</v>
      </c>
    </row>
    <row r="5904" spans="1:11">
      <c r="A5904" s="1">
        <v>45869</v>
      </c>
      <c r="B5904" t="s">
        <v>40</v>
      </c>
      <c r="C5904" t="s">
        <v>34</v>
      </c>
      <c r="D5904">
        <v>3793</v>
      </c>
      <c r="E5904">
        <v>1002</v>
      </c>
      <c r="F5904">
        <v>31</v>
      </c>
      <c r="G5904">
        <v>1</v>
      </c>
      <c r="H5904">
        <v>4827</v>
      </c>
      <c r="I5904" s="1">
        <v>45839</v>
      </c>
      <c r="J5904">
        <v>32</v>
      </c>
      <c r="K5904" t="s">
        <v>23</v>
      </c>
    </row>
    <row r="5905" spans="1:11">
      <c r="A5905" s="1">
        <v>45869</v>
      </c>
      <c r="B5905" t="s">
        <v>40</v>
      </c>
      <c r="C5905" t="s">
        <v>63</v>
      </c>
      <c r="D5905">
        <v>6743</v>
      </c>
      <c r="E5905">
        <v>2819</v>
      </c>
      <c r="F5905">
        <v>1303</v>
      </c>
      <c r="G5905">
        <v>950</v>
      </c>
      <c r="H5905">
        <v>11815</v>
      </c>
      <c r="I5905" s="1">
        <v>45839</v>
      </c>
      <c r="J5905">
        <v>2253</v>
      </c>
      <c r="K5905" t="s">
        <v>23</v>
      </c>
    </row>
    <row r="5906" spans="1:11">
      <c r="A5906" s="1">
        <v>45869</v>
      </c>
      <c r="B5906" t="s">
        <v>40</v>
      </c>
      <c r="C5906" t="s">
        <v>60</v>
      </c>
      <c r="D5906">
        <v>8031</v>
      </c>
      <c r="E5906">
        <v>1850</v>
      </c>
      <c r="F5906">
        <v>1155</v>
      </c>
      <c r="G5906">
        <v>1299</v>
      </c>
      <c r="H5906">
        <v>12335</v>
      </c>
      <c r="I5906" s="1">
        <v>45839</v>
      </c>
      <c r="J5906">
        <v>2454</v>
      </c>
      <c r="K5906" t="s">
        <v>23</v>
      </c>
    </row>
    <row r="5907" spans="1:11">
      <c r="A5907" s="1">
        <v>45869</v>
      </c>
      <c r="B5907" t="s">
        <v>40</v>
      </c>
      <c r="C5907" t="s">
        <v>61</v>
      </c>
      <c r="D5907">
        <v>14853</v>
      </c>
      <c r="E5907">
        <v>6777</v>
      </c>
      <c r="F5907">
        <v>3958</v>
      </c>
      <c r="G5907">
        <v>4192</v>
      </c>
      <c r="H5907">
        <v>29780</v>
      </c>
      <c r="I5907" s="1">
        <v>45839</v>
      </c>
      <c r="J5907">
        <v>8150</v>
      </c>
      <c r="K5907" t="s">
        <v>23</v>
      </c>
    </row>
    <row r="5908" spans="1:11">
      <c r="A5908" s="1">
        <v>45869</v>
      </c>
      <c r="B5908" t="s">
        <v>40</v>
      </c>
      <c r="C5908" t="s">
        <v>62</v>
      </c>
      <c r="D5908">
        <v>2206</v>
      </c>
      <c r="E5908">
        <v>1274</v>
      </c>
      <c r="F5908">
        <v>1121</v>
      </c>
      <c r="G5908">
        <v>5097</v>
      </c>
      <c r="H5908">
        <v>9697</v>
      </c>
      <c r="I5908" s="1">
        <v>45839</v>
      </c>
      <c r="J5908">
        <v>6218</v>
      </c>
      <c r="K5908" t="s">
        <v>23</v>
      </c>
    </row>
    <row r="5909" spans="1:11">
      <c r="A5909" s="1">
        <v>45869</v>
      </c>
      <c r="B5909" t="s">
        <v>40</v>
      </c>
      <c r="C5909" t="s">
        <v>69</v>
      </c>
      <c r="D5909">
        <v>18165</v>
      </c>
      <c r="E5909">
        <v>4972</v>
      </c>
      <c r="F5909">
        <v>1840</v>
      </c>
      <c r="G5909">
        <v>955</v>
      </c>
      <c r="H5909">
        <v>25933</v>
      </c>
      <c r="I5909" s="1">
        <v>45839</v>
      </c>
      <c r="J5909">
        <v>2795</v>
      </c>
      <c r="K5909" t="s">
        <v>23</v>
      </c>
    </row>
    <row r="5910" spans="1:11">
      <c r="A5910" s="1">
        <v>45869</v>
      </c>
      <c r="B5910" t="s">
        <v>40</v>
      </c>
      <c r="C5910" t="s">
        <v>24</v>
      </c>
      <c r="D5910">
        <v>336</v>
      </c>
      <c r="E5910">
        <v>152</v>
      </c>
      <c r="F5910">
        <v>1</v>
      </c>
      <c r="G5910">
        <v>1</v>
      </c>
      <c r="H5910">
        <v>491</v>
      </c>
      <c r="I5910" s="1">
        <v>45839</v>
      </c>
      <c r="J5910">
        <v>2</v>
      </c>
      <c r="K5910" t="s">
        <v>23</v>
      </c>
    </row>
    <row r="5911" spans="1:11">
      <c r="A5911" s="1">
        <v>45869</v>
      </c>
      <c r="B5911" t="s">
        <v>40</v>
      </c>
      <c r="C5911" t="s">
        <v>29</v>
      </c>
      <c r="D5911">
        <v>3261</v>
      </c>
      <c r="E5911">
        <v>1059</v>
      </c>
      <c r="F5911">
        <v>459</v>
      </c>
      <c r="G5911">
        <v>535</v>
      </c>
      <c r="H5911">
        <v>5314</v>
      </c>
      <c r="I5911" s="1">
        <v>45839</v>
      </c>
      <c r="J5911">
        <v>994</v>
      </c>
      <c r="K5911" t="s">
        <v>23</v>
      </c>
    </row>
    <row r="5912" spans="1:11">
      <c r="A5912" s="1">
        <v>45869</v>
      </c>
      <c r="B5912" t="s">
        <v>40</v>
      </c>
      <c r="C5912" t="s">
        <v>70</v>
      </c>
      <c r="D5912">
        <v>3106</v>
      </c>
      <c r="E5912">
        <v>1029</v>
      </c>
      <c r="F5912">
        <v>735</v>
      </c>
      <c r="G5912">
        <v>347</v>
      </c>
      <c r="H5912">
        <v>5217</v>
      </c>
      <c r="I5912" s="1">
        <v>45839</v>
      </c>
      <c r="J5912">
        <v>1082</v>
      </c>
      <c r="K5912" t="s">
        <v>23</v>
      </c>
    </row>
    <row r="5913" spans="1:11">
      <c r="A5913" s="1">
        <v>45869</v>
      </c>
      <c r="B5913" t="s">
        <v>40</v>
      </c>
      <c r="C5913" t="s">
        <v>71</v>
      </c>
      <c r="D5913">
        <v>19502</v>
      </c>
      <c r="E5913">
        <v>7213</v>
      </c>
      <c r="F5913">
        <v>4425</v>
      </c>
      <c r="G5913">
        <v>2472</v>
      </c>
      <c r="H5913">
        <v>33612</v>
      </c>
      <c r="I5913" s="1">
        <v>45839</v>
      </c>
      <c r="J5913">
        <v>6897</v>
      </c>
      <c r="K5913" t="s">
        <v>23</v>
      </c>
    </row>
    <row r="5914" spans="1:11">
      <c r="A5914" s="1">
        <v>45869</v>
      </c>
      <c r="B5914" t="s">
        <v>40</v>
      </c>
      <c r="C5914" t="s">
        <v>36</v>
      </c>
      <c r="D5914">
        <v>14009</v>
      </c>
      <c r="E5914">
        <v>7529</v>
      </c>
      <c r="F5914">
        <v>2636</v>
      </c>
      <c r="G5914">
        <v>952</v>
      </c>
      <c r="H5914">
        <v>25126</v>
      </c>
      <c r="I5914" s="1">
        <v>45839</v>
      </c>
      <c r="J5914">
        <v>3588</v>
      </c>
      <c r="K5914" t="s">
        <v>23</v>
      </c>
    </row>
    <row r="5915" spans="1:11">
      <c r="A5915" s="1">
        <v>45869</v>
      </c>
      <c r="B5915" t="s">
        <v>40</v>
      </c>
      <c r="C5915" t="s">
        <v>32</v>
      </c>
      <c r="D5915">
        <v>2507</v>
      </c>
      <c r="E5915">
        <v>785</v>
      </c>
      <c r="F5915">
        <v>409</v>
      </c>
      <c r="G5915">
        <v>59</v>
      </c>
      <c r="H5915">
        <v>3760</v>
      </c>
      <c r="I5915" s="1">
        <v>45839</v>
      </c>
      <c r="J5915">
        <v>468</v>
      </c>
      <c r="K5915" t="s">
        <v>23</v>
      </c>
    </row>
    <row r="5916" spans="1:11">
      <c r="A5916" s="1">
        <v>45869</v>
      </c>
      <c r="B5916" t="s">
        <v>40</v>
      </c>
      <c r="C5916" t="s">
        <v>44</v>
      </c>
      <c r="D5916">
        <v>7976</v>
      </c>
      <c r="E5916">
        <v>2172</v>
      </c>
      <c r="F5916">
        <v>828</v>
      </c>
      <c r="G5916">
        <v>39</v>
      </c>
      <c r="H5916">
        <v>11015</v>
      </c>
      <c r="I5916" s="1">
        <v>45839</v>
      </c>
      <c r="J5916">
        <v>867</v>
      </c>
      <c r="K5916" t="s">
        <v>23</v>
      </c>
    </row>
    <row r="5917" spans="1:11">
      <c r="A5917" s="1">
        <v>45869</v>
      </c>
      <c r="B5917" t="s">
        <v>40</v>
      </c>
      <c r="C5917" t="s">
        <v>59</v>
      </c>
      <c r="D5917">
        <v>16325</v>
      </c>
      <c r="E5917">
        <v>4532</v>
      </c>
      <c r="F5917">
        <v>2285</v>
      </c>
      <c r="G5917">
        <v>1057</v>
      </c>
      <c r="H5917">
        <v>24199</v>
      </c>
      <c r="I5917" s="1">
        <v>45839</v>
      </c>
      <c r="J5917">
        <v>3342</v>
      </c>
      <c r="K5917" t="s">
        <v>23</v>
      </c>
    </row>
    <row r="5918" spans="1:11">
      <c r="A5918" s="1">
        <v>45869</v>
      </c>
      <c r="B5918" t="s">
        <v>40</v>
      </c>
      <c r="C5918" t="s">
        <v>67</v>
      </c>
      <c r="D5918">
        <v>22951</v>
      </c>
      <c r="E5918">
        <v>10998</v>
      </c>
      <c r="F5918">
        <v>5170</v>
      </c>
      <c r="G5918">
        <v>4803</v>
      </c>
      <c r="H5918">
        <v>43922</v>
      </c>
      <c r="I5918" s="1">
        <v>45839</v>
      </c>
      <c r="J5918">
        <v>9973</v>
      </c>
      <c r="K5918" t="s">
        <v>23</v>
      </c>
    </row>
    <row r="5919" spans="1:11">
      <c r="A5919" s="1">
        <v>45869</v>
      </c>
      <c r="B5919" t="s">
        <v>40</v>
      </c>
      <c r="C5919" t="s">
        <v>49</v>
      </c>
      <c r="D5919">
        <v>3917</v>
      </c>
      <c r="E5919">
        <v>729</v>
      </c>
      <c r="F5919">
        <v>80</v>
      </c>
      <c r="G5919">
        <v>4</v>
      </c>
      <c r="H5919">
        <v>4730</v>
      </c>
      <c r="I5919" s="1">
        <v>45839</v>
      </c>
      <c r="J5919">
        <v>84</v>
      </c>
      <c r="K5919" t="s">
        <v>23</v>
      </c>
    </row>
    <row r="5920" spans="1:11">
      <c r="A5920" s="1">
        <v>45897</v>
      </c>
      <c r="B5920" t="s">
        <v>40</v>
      </c>
      <c r="C5920" t="s">
        <v>48</v>
      </c>
      <c r="D5920">
        <v>27820</v>
      </c>
      <c r="E5920">
        <v>12579</v>
      </c>
      <c r="F5920">
        <v>5480</v>
      </c>
      <c r="G5920">
        <v>1271</v>
      </c>
      <c r="H5920">
        <v>47150</v>
      </c>
      <c r="I5920" s="1">
        <v>45870</v>
      </c>
      <c r="J5920">
        <v>6751</v>
      </c>
      <c r="K5920" t="s">
        <v>23</v>
      </c>
    </row>
    <row r="5921" spans="1:11">
      <c r="A5921" s="1">
        <v>45897</v>
      </c>
      <c r="B5921" t="s">
        <v>40</v>
      </c>
      <c r="C5921" t="s">
        <v>41</v>
      </c>
      <c r="D5921">
        <v>4580</v>
      </c>
      <c r="E5921">
        <v>1259</v>
      </c>
      <c r="F5921">
        <v>179</v>
      </c>
      <c r="G5921">
        <v>39</v>
      </c>
      <c r="H5921">
        <v>6057</v>
      </c>
      <c r="I5921" s="1">
        <v>45870</v>
      </c>
      <c r="J5921">
        <v>218</v>
      </c>
      <c r="K5921" t="s">
        <v>23</v>
      </c>
    </row>
    <row r="5922" spans="1:11">
      <c r="A5922" s="1">
        <v>45897</v>
      </c>
      <c r="B5922" t="s">
        <v>40</v>
      </c>
      <c r="C5922" t="s">
        <v>55</v>
      </c>
      <c r="D5922">
        <v>6631</v>
      </c>
      <c r="E5922">
        <v>1536</v>
      </c>
      <c r="F5922">
        <v>462</v>
      </c>
      <c r="G5922">
        <v>121</v>
      </c>
      <c r="H5922">
        <v>8750</v>
      </c>
      <c r="I5922" s="1">
        <v>45870</v>
      </c>
      <c r="J5922">
        <v>583</v>
      </c>
      <c r="K5922" t="s">
        <v>23</v>
      </c>
    </row>
    <row r="5923" spans="1:11">
      <c r="A5923" s="1">
        <v>45897</v>
      </c>
      <c r="B5923" t="s">
        <v>40</v>
      </c>
      <c r="C5923" t="s">
        <v>33</v>
      </c>
      <c r="D5923">
        <v>2354</v>
      </c>
      <c r="E5923">
        <v>932</v>
      </c>
      <c r="F5923">
        <v>181</v>
      </c>
      <c r="G5923">
        <v>12</v>
      </c>
      <c r="H5923">
        <v>3480</v>
      </c>
      <c r="I5923" s="1">
        <v>45870</v>
      </c>
      <c r="J5923">
        <v>193</v>
      </c>
      <c r="K5923" t="s">
        <v>23</v>
      </c>
    </row>
    <row r="5924" spans="1:11">
      <c r="A5924" s="1">
        <v>45897</v>
      </c>
      <c r="B5924" t="s">
        <v>40</v>
      </c>
      <c r="C5924" t="s">
        <v>65</v>
      </c>
      <c r="D5924">
        <v>13678</v>
      </c>
      <c r="E5924">
        <v>4221</v>
      </c>
      <c r="F5924">
        <v>1677</v>
      </c>
      <c r="G5924">
        <v>560</v>
      </c>
      <c r="H5924">
        <v>20135</v>
      </c>
      <c r="I5924" s="1">
        <v>45870</v>
      </c>
      <c r="J5924">
        <v>2237</v>
      </c>
      <c r="K5924" t="s">
        <v>23</v>
      </c>
    </row>
    <row r="5925" spans="1:11">
      <c r="A5925" s="1">
        <v>45897</v>
      </c>
      <c r="B5925" t="s">
        <v>40</v>
      </c>
      <c r="C5925" t="s">
        <v>27</v>
      </c>
      <c r="D5925">
        <v>3434</v>
      </c>
      <c r="E5925">
        <v>1853</v>
      </c>
      <c r="F5925">
        <v>1019</v>
      </c>
      <c r="G5925">
        <v>431</v>
      </c>
      <c r="H5925">
        <v>6737</v>
      </c>
      <c r="I5925" s="1">
        <v>45870</v>
      </c>
      <c r="J5925">
        <v>1450</v>
      </c>
      <c r="K5925" t="s">
        <v>23</v>
      </c>
    </row>
    <row r="5926" spans="1:11">
      <c r="A5926" s="1">
        <v>45897</v>
      </c>
      <c r="B5926" t="s">
        <v>40</v>
      </c>
      <c r="C5926" t="s">
        <v>37</v>
      </c>
      <c r="D5926">
        <v>448</v>
      </c>
      <c r="E5926">
        <v>342</v>
      </c>
      <c r="F5926">
        <v>286</v>
      </c>
      <c r="G5926">
        <v>180</v>
      </c>
      <c r="H5926">
        <v>1256</v>
      </c>
      <c r="I5926" s="1">
        <v>45870</v>
      </c>
      <c r="J5926">
        <v>466</v>
      </c>
      <c r="K5926" t="s">
        <v>23</v>
      </c>
    </row>
    <row r="5927" spans="1:11">
      <c r="A5927" s="1">
        <v>45897</v>
      </c>
      <c r="B5927" t="s">
        <v>40</v>
      </c>
      <c r="C5927" t="s">
        <v>66</v>
      </c>
      <c r="D5927">
        <v>27145</v>
      </c>
      <c r="E5927">
        <v>8889</v>
      </c>
      <c r="F5927">
        <v>4400</v>
      </c>
      <c r="G5927">
        <v>5539</v>
      </c>
      <c r="H5927">
        <v>45973</v>
      </c>
      <c r="I5927" s="1">
        <v>45870</v>
      </c>
      <c r="J5927">
        <v>9939</v>
      </c>
      <c r="K5927" t="s">
        <v>23</v>
      </c>
    </row>
    <row r="5928" spans="1:11">
      <c r="A5928" s="1">
        <v>45897</v>
      </c>
      <c r="B5928" t="s">
        <v>40</v>
      </c>
      <c r="C5928" t="s">
        <v>57</v>
      </c>
      <c r="D5928">
        <v>9979</v>
      </c>
      <c r="E5928">
        <v>2971</v>
      </c>
      <c r="F5928">
        <v>1176</v>
      </c>
      <c r="G5928">
        <v>432</v>
      </c>
      <c r="H5928">
        <v>14558</v>
      </c>
      <c r="I5928" s="1">
        <v>45870</v>
      </c>
      <c r="J5928">
        <v>1608</v>
      </c>
      <c r="K5928" t="s">
        <v>23</v>
      </c>
    </row>
    <row r="5929" spans="1:11">
      <c r="A5929" s="1">
        <v>45897</v>
      </c>
      <c r="B5929" t="s">
        <v>40</v>
      </c>
      <c r="C5929" t="s">
        <v>28</v>
      </c>
      <c r="D5929">
        <v>2271</v>
      </c>
      <c r="E5929">
        <v>1186</v>
      </c>
      <c r="F5929">
        <v>503</v>
      </c>
      <c r="G5929">
        <v>305</v>
      </c>
      <c r="H5929">
        <v>4266</v>
      </c>
      <c r="I5929" s="1">
        <v>45870</v>
      </c>
      <c r="J5929">
        <v>808</v>
      </c>
      <c r="K5929" t="s">
        <v>23</v>
      </c>
    </row>
    <row r="5930" spans="1:11">
      <c r="A5930" s="1">
        <v>45897</v>
      </c>
      <c r="B5930" t="s">
        <v>40</v>
      </c>
      <c r="C5930" t="s">
        <v>68</v>
      </c>
      <c r="D5930">
        <v>26619</v>
      </c>
      <c r="E5930">
        <v>8079</v>
      </c>
      <c r="F5930">
        <v>3504</v>
      </c>
      <c r="G5930">
        <v>3386</v>
      </c>
      <c r="H5930">
        <v>41588</v>
      </c>
      <c r="I5930" s="1">
        <v>45870</v>
      </c>
      <c r="J5930">
        <v>6890</v>
      </c>
      <c r="K5930" t="s">
        <v>23</v>
      </c>
    </row>
    <row r="5931" spans="1:11">
      <c r="A5931" s="1">
        <v>45897</v>
      </c>
      <c r="B5931" t="s">
        <v>40</v>
      </c>
      <c r="C5931" t="s">
        <v>47</v>
      </c>
      <c r="D5931">
        <v>4394</v>
      </c>
      <c r="E5931">
        <v>1340</v>
      </c>
      <c r="F5931">
        <v>428</v>
      </c>
      <c r="G5931">
        <v>238</v>
      </c>
      <c r="H5931">
        <v>6401</v>
      </c>
      <c r="I5931" s="1">
        <v>45870</v>
      </c>
      <c r="J5931">
        <v>666</v>
      </c>
      <c r="K5931" t="s">
        <v>23</v>
      </c>
    </row>
    <row r="5932" spans="1:11">
      <c r="A5932" s="1">
        <v>45897</v>
      </c>
      <c r="B5932" t="s">
        <v>40</v>
      </c>
      <c r="C5932" t="s">
        <v>25</v>
      </c>
      <c r="D5932">
        <v>3622</v>
      </c>
      <c r="E5932">
        <v>1373</v>
      </c>
      <c r="F5932">
        <v>567</v>
      </c>
      <c r="G5932">
        <v>215</v>
      </c>
      <c r="H5932">
        <v>5778</v>
      </c>
      <c r="I5932" s="1">
        <v>45870</v>
      </c>
      <c r="J5932">
        <v>782</v>
      </c>
      <c r="K5932" t="s">
        <v>23</v>
      </c>
    </row>
    <row r="5933" spans="1:11">
      <c r="A5933" s="1">
        <v>45897</v>
      </c>
      <c r="B5933" t="s">
        <v>40</v>
      </c>
      <c r="C5933" t="s">
        <v>51</v>
      </c>
      <c r="D5933">
        <v>4830</v>
      </c>
      <c r="E5933">
        <v>1503</v>
      </c>
      <c r="F5933">
        <v>758</v>
      </c>
      <c r="G5933">
        <v>914</v>
      </c>
      <c r="H5933">
        <v>8004</v>
      </c>
      <c r="I5933" s="1">
        <v>45870</v>
      </c>
      <c r="J5933">
        <v>1672</v>
      </c>
      <c r="K5933" t="s">
        <v>23</v>
      </c>
    </row>
    <row r="5934" spans="1:11">
      <c r="A5934" s="1">
        <v>45897</v>
      </c>
      <c r="B5934" t="s">
        <v>40</v>
      </c>
      <c r="C5934" t="s">
        <v>45</v>
      </c>
      <c r="D5934">
        <v>2779</v>
      </c>
      <c r="E5934">
        <v>674</v>
      </c>
      <c r="F5934">
        <v>250</v>
      </c>
      <c r="G5934">
        <v>162</v>
      </c>
      <c r="H5934">
        <v>3866</v>
      </c>
      <c r="I5934" s="1">
        <v>45870</v>
      </c>
      <c r="J5934">
        <v>412</v>
      </c>
      <c r="K5934" t="s">
        <v>23</v>
      </c>
    </row>
    <row r="5935" spans="1:11">
      <c r="A5935" s="1">
        <v>45897</v>
      </c>
      <c r="B5935" t="s">
        <v>40</v>
      </c>
      <c r="C5935" t="s">
        <v>39</v>
      </c>
      <c r="D5935">
        <v>7183</v>
      </c>
      <c r="E5935">
        <v>2652</v>
      </c>
      <c r="F5935">
        <v>1039</v>
      </c>
      <c r="G5935">
        <v>327</v>
      </c>
      <c r="H5935">
        <v>11201</v>
      </c>
      <c r="I5935" s="1">
        <v>45870</v>
      </c>
      <c r="J5935">
        <v>1366</v>
      </c>
      <c r="K5935" t="s">
        <v>23</v>
      </c>
    </row>
    <row r="5936" spans="1:11">
      <c r="A5936" s="1">
        <v>45897</v>
      </c>
      <c r="B5936" t="s">
        <v>40</v>
      </c>
      <c r="C5936" t="s">
        <v>54</v>
      </c>
      <c r="D5936">
        <v>1453</v>
      </c>
      <c r="E5936">
        <v>752</v>
      </c>
      <c r="F5936">
        <v>562</v>
      </c>
      <c r="G5936">
        <v>313</v>
      </c>
      <c r="H5936">
        <v>3080</v>
      </c>
      <c r="I5936" s="1">
        <v>45870</v>
      </c>
      <c r="J5936">
        <v>875</v>
      </c>
      <c r="K5936" t="s">
        <v>23</v>
      </c>
    </row>
    <row r="5937" spans="1:11">
      <c r="A5937" s="1">
        <v>45897</v>
      </c>
      <c r="B5937" t="s">
        <v>40</v>
      </c>
      <c r="C5937" t="s">
        <v>35</v>
      </c>
      <c r="D5937">
        <v>389</v>
      </c>
      <c r="E5937">
        <v>306</v>
      </c>
      <c r="F5937">
        <v>222</v>
      </c>
      <c r="G5937">
        <v>211</v>
      </c>
      <c r="H5937">
        <v>1128</v>
      </c>
      <c r="I5937" s="1">
        <v>45870</v>
      </c>
      <c r="J5937">
        <v>433</v>
      </c>
      <c r="K5937" t="s">
        <v>23</v>
      </c>
    </row>
    <row r="5938" spans="1:11">
      <c r="A5938" s="1">
        <v>45897</v>
      </c>
      <c r="B5938" t="s">
        <v>40</v>
      </c>
      <c r="C5938" t="s">
        <v>52</v>
      </c>
      <c r="D5938">
        <v>9689</v>
      </c>
      <c r="E5938">
        <v>4670</v>
      </c>
      <c r="F5938">
        <v>2094</v>
      </c>
      <c r="G5938">
        <v>659</v>
      </c>
      <c r="H5938">
        <v>17112</v>
      </c>
      <c r="I5938" s="1">
        <v>45870</v>
      </c>
      <c r="J5938">
        <v>2753</v>
      </c>
      <c r="K5938" t="s">
        <v>23</v>
      </c>
    </row>
    <row r="5939" spans="1:11">
      <c r="A5939" s="1">
        <v>45897</v>
      </c>
      <c r="B5939" t="s">
        <v>40</v>
      </c>
      <c r="C5939" t="s">
        <v>22</v>
      </c>
      <c r="D5939">
        <v>4292</v>
      </c>
      <c r="E5939">
        <v>1774</v>
      </c>
      <c r="F5939">
        <v>557</v>
      </c>
      <c r="G5939">
        <v>58</v>
      </c>
      <c r="H5939">
        <v>6680</v>
      </c>
      <c r="I5939" s="1">
        <v>45870</v>
      </c>
      <c r="J5939">
        <v>615</v>
      </c>
      <c r="K5939" t="s">
        <v>23</v>
      </c>
    </row>
    <row r="5940" spans="1:11">
      <c r="A5940" s="1">
        <v>45897</v>
      </c>
      <c r="B5940" t="s">
        <v>40</v>
      </c>
      <c r="C5940" t="s">
        <v>46</v>
      </c>
      <c r="D5940">
        <v>2194</v>
      </c>
      <c r="E5940">
        <v>557</v>
      </c>
      <c r="F5940">
        <v>95</v>
      </c>
      <c r="G5940">
        <v>3</v>
      </c>
      <c r="H5940">
        <v>2849</v>
      </c>
      <c r="I5940" s="1">
        <v>45870</v>
      </c>
      <c r="J5940">
        <v>98</v>
      </c>
      <c r="K5940" t="s">
        <v>23</v>
      </c>
    </row>
    <row r="5941" spans="1:11">
      <c r="A5941" s="1">
        <v>45897</v>
      </c>
      <c r="B5941" t="s">
        <v>40</v>
      </c>
      <c r="C5941" t="s">
        <v>31</v>
      </c>
      <c r="D5941">
        <v>3232</v>
      </c>
      <c r="E5941">
        <v>817</v>
      </c>
      <c r="F5941">
        <v>154</v>
      </c>
      <c r="G5941">
        <v>5</v>
      </c>
      <c r="H5941">
        <v>4208</v>
      </c>
      <c r="I5941" s="1">
        <v>45870</v>
      </c>
      <c r="J5941">
        <v>159</v>
      </c>
      <c r="K5941" t="s">
        <v>23</v>
      </c>
    </row>
    <row r="5942" spans="1:11">
      <c r="A5942" s="1">
        <v>45897</v>
      </c>
      <c r="B5942" t="s">
        <v>40</v>
      </c>
      <c r="C5942" t="s">
        <v>63</v>
      </c>
      <c r="D5942">
        <v>6611</v>
      </c>
      <c r="E5942">
        <v>3061</v>
      </c>
      <c r="F5942">
        <v>1394</v>
      </c>
      <c r="G5942">
        <v>893</v>
      </c>
      <c r="H5942">
        <v>11959</v>
      </c>
      <c r="I5942" s="1">
        <v>45870</v>
      </c>
      <c r="J5942">
        <v>2287</v>
      </c>
      <c r="K5942" t="s">
        <v>23</v>
      </c>
    </row>
    <row r="5943" spans="1:11">
      <c r="A5943" s="1">
        <v>45897</v>
      </c>
      <c r="B5943" t="s">
        <v>40</v>
      </c>
      <c r="C5943" t="s">
        <v>60</v>
      </c>
      <c r="D5943">
        <v>8181</v>
      </c>
      <c r="E5943">
        <v>2032</v>
      </c>
      <c r="F5943">
        <v>1193</v>
      </c>
      <c r="G5943">
        <v>1330</v>
      </c>
      <c r="H5943">
        <v>12736</v>
      </c>
      <c r="I5943" s="1">
        <v>45870</v>
      </c>
      <c r="J5943">
        <v>2523</v>
      </c>
      <c r="K5943" t="s">
        <v>23</v>
      </c>
    </row>
    <row r="5944" spans="1:11">
      <c r="A5944" s="1">
        <v>45897</v>
      </c>
      <c r="B5944" t="s">
        <v>40</v>
      </c>
      <c r="C5944" t="s">
        <v>61</v>
      </c>
      <c r="D5944">
        <v>14838</v>
      </c>
      <c r="E5944">
        <v>6765</v>
      </c>
      <c r="F5944">
        <v>3817</v>
      </c>
      <c r="G5944">
        <v>4238</v>
      </c>
      <c r="H5944">
        <v>29658</v>
      </c>
      <c r="I5944" s="1">
        <v>45870</v>
      </c>
      <c r="J5944">
        <v>8055</v>
      </c>
      <c r="K5944" t="s">
        <v>23</v>
      </c>
    </row>
    <row r="5945" spans="1:11">
      <c r="A5945" s="1">
        <v>45897</v>
      </c>
      <c r="B5945" t="s">
        <v>40</v>
      </c>
      <c r="C5945" t="s">
        <v>62</v>
      </c>
      <c r="D5945">
        <v>2165</v>
      </c>
      <c r="E5945">
        <v>1322</v>
      </c>
      <c r="F5945">
        <v>1131</v>
      </c>
      <c r="G5945">
        <v>5176</v>
      </c>
      <c r="H5945">
        <v>9795</v>
      </c>
      <c r="I5945" s="1">
        <v>45870</v>
      </c>
      <c r="J5945">
        <v>6307</v>
      </c>
      <c r="K5945" t="s">
        <v>23</v>
      </c>
    </row>
    <row r="5946" spans="1:11">
      <c r="A5946" s="1">
        <v>45897</v>
      </c>
      <c r="B5946" t="s">
        <v>40</v>
      </c>
      <c r="C5946" t="s">
        <v>69</v>
      </c>
      <c r="D5946">
        <v>18027</v>
      </c>
      <c r="E5946">
        <v>5068</v>
      </c>
      <c r="F5946">
        <v>1917</v>
      </c>
      <c r="G5946">
        <v>1015</v>
      </c>
      <c r="H5946">
        <v>26027</v>
      </c>
      <c r="I5946" s="1">
        <v>45870</v>
      </c>
      <c r="J5946">
        <v>2932</v>
      </c>
      <c r="K5946" t="s">
        <v>23</v>
      </c>
    </row>
    <row r="5947" spans="1:11">
      <c r="A5947" s="1">
        <v>45897</v>
      </c>
      <c r="B5947" t="s">
        <v>40</v>
      </c>
      <c r="C5947" t="s">
        <v>29</v>
      </c>
      <c r="D5947">
        <v>3296</v>
      </c>
      <c r="E5947">
        <v>1103</v>
      </c>
      <c r="F5947">
        <v>495</v>
      </c>
      <c r="G5947">
        <v>502</v>
      </c>
      <c r="H5947">
        <v>5396</v>
      </c>
      <c r="I5947" s="1">
        <v>45870</v>
      </c>
      <c r="J5947">
        <v>997</v>
      </c>
      <c r="K5947" t="s">
        <v>23</v>
      </c>
    </row>
    <row r="5948" spans="1:11">
      <c r="A5948" s="1">
        <v>45897</v>
      </c>
      <c r="B5948" t="s">
        <v>40</v>
      </c>
      <c r="C5948" t="s">
        <v>70</v>
      </c>
      <c r="D5948">
        <v>3081</v>
      </c>
      <c r="E5948">
        <v>987</v>
      </c>
      <c r="F5948">
        <v>781</v>
      </c>
      <c r="G5948">
        <v>390</v>
      </c>
      <c r="H5948">
        <v>5239</v>
      </c>
      <c r="I5948" s="1">
        <v>45870</v>
      </c>
      <c r="J5948">
        <v>1171</v>
      </c>
      <c r="K5948" t="s">
        <v>23</v>
      </c>
    </row>
    <row r="5949" spans="1:11">
      <c r="A5949" s="1">
        <v>45897</v>
      </c>
      <c r="B5949" t="s">
        <v>40</v>
      </c>
      <c r="C5949" t="s">
        <v>71</v>
      </c>
      <c r="D5949">
        <v>20449</v>
      </c>
      <c r="E5949">
        <v>7328</v>
      </c>
      <c r="F5949">
        <v>4260</v>
      </c>
      <c r="G5949">
        <v>2540</v>
      </c>
      <c r="H5949">
        <v>34577</v>
      </c>
      <c r="I5949" s="1">
        <v>45870</v>
      </c>
      <c r="J5949">
        <v>6800</v>
      </c>
      <c r="K5949" t="s">
        <v>23</v>
      </c>
    </row>
    <row r="5950" spans="1:11">
      <c r="A5950" s="1">
        <v>45897</v>
      </c>
      <c r="B5950" t="s">
        <v>40</v>
      </c>
      <c r="C5950" t="s">
        <v>36</v>
      </c>
      <c r="D5950">
        <v>13873</v>
      </c>
      <c r="E5950">
        <v>7631</v>
      </c>
      <c r="F5950">
        <v>2636</v>
      </c>
      <c r="G5950">
        <v>1067</v>
      </c>
      <c r="H5950">
        <v>25207</v>
      </c>
      <c r="I5950" s="1">
        <v>45870</v>
      </c>
      <c r="J5950">
        <v>3703</v>
      </c>
      <c r="K5950" t="s">
        <v>23</v>
      </c>
    </row>
    <row r="5951" spans="1:11">
      <c r="A5951" s="1">
        <v>45897</v>
      </c>
      <c r="B5951" t="s">
        <v>40</v>
      </c>
      <c r="C5951" t="s">
        <v>32</v>
      </c>
      <c r="D5951">
        <v>2534</v>
      </c>
      <c r="E5951">
        <v>837</v>
      </c>
      <c r="F5951">
        <v>422</v>
      </c>
      <c r="G5951">
        <v>86</v>
      </c>
      <c r="H5951">
        <v>3878</v>
      </c>
      <c r="I5951" s="1">
        <v>45870</v>
      </c>
      <c r="J5951">
        <v>508</v>
      </c>
      <c r="K5951" t="s">
        <v>23</v>
      </c>
    </row>
    <row r="5952" spans="1:11">
      <c r="A5952" s="1">
        <v>45897</v>
      </c>
      <c r="B5952" t="s">
        <v>40</v>
      </c>
      <c r="C5952" t="s">
        <v>44</v>
      </c>
      <c r="D5952">
        <v>7556</v>
      </c>
      <c r="E5952">
        <v>2351</v>
      </c>
      <c r="F5952">
        <v>913</v>
      </c>
      <c r="G5952">
        <v>68</v>
      </c>
      <c r="H5952">
        <v>10888</v>
      </c>
      <c r="I5952" s="1">
        <v>45870</v>
      </c>
      <c r="J5952">
        <v>981</v>
      </c>
      <c r="K5952" t="s">
        <v>23</v>
      </c>
    </row>
    <row r="5953" spans="1:11">
      <c r="A5953" s="1">
        <v>45897</v>
      </c>
      <c r="B5953" t="s">
        <v>40</v>
      </c>
      <c r="C5953" t="s">
        <v>59</v>
      </c>
      <c r="D5953">
        <v>16438</v>
      </c>
      <c r="E5953">
        <v>4924</v>
      </c>
      <c r="F5953">
        <v>2303</v>
      </c>
      <c r="G5953">
        <v>1105</v>
      </c>
      <c r="H5953">
        <v>24770</v>
      </c>
      <c r="I5953" s="1">
        <v>45870</v>
      </c>
      <c r="J5953">
        <v>3408</v>
      </c>
      <c r="K5953" t="s">
        <v>23</v>
      </c>
    </row>
    <row r="5954" spans="1:11">
      <c r="A5954" s="1">
        <v>45897</v>
      </c>
      <c r="B5954" t="s">
        <v>40</v>
      </c>
      <c r="C5954" t="s">
        <v>67</v>
      </c>
      <c r="D5954">
        <v>23072</v>
      </c>
      <c r="E5954">
        <v>11153</v>
      </c>
      <c r="F5954">
        <v>5279</v>
      </c>
      <c r="G5954">
        <v>4938</v>
      </c>
      <c r="H5954">
        <v>44442</v>
      </c>
      <c r="I5954" s="1">
        <v>45870</v>
      </c>
      <c r="J5954">
        <v>10217</v>
      </c>
      <c r="K5954" t="s">
        <v>23</v>
      </c>
    </row>
    <row r="5955" spans="1:11">
      <c r="A5955" s="1">
        <v>45897</v>
      </c>
      <c r="B5955" t="s">
        <v>40</v>
      </c>
      <c r="C5955" t="s">
        <v>49</v>
      </c>
      <c r="D5955">
        <v>3979</v>
      </c>
      <c r="E5955">
        <v>720</v>
      </c>
      <c r="F5955">
        <v>54</v>
      </c>
      <c r="G5955">
        <v>7</v>
      </c>
      <c r="H5955">
        <v>4761</v>
      </c>
      <c r="I5955" s="1">
        <v>45870</v>
      </c>
      <c r="J5955">
        <v>61</v>
      </c>
      <c r="K5955" t="s">
        <v>23</v>
      </c>
    </row>
    <row r="5956" spans="1:11">
      <c r="A5956" s="1">
        <v>45925</v>
      </c>
      <c r="B5956" t="s">
        <v>40</v>
      </c>
      <c r="C5956" t="s">
        <v>48</v>
      </c>
      <c r="D5956">
        <v>27759</v>
      </c>
      <c r="E5956">
        <v>12519</v>
      </c>
      <c r="F5956">
        <v>5580</v>
      </c>
      <c r="G5956">
        <v>1360</v>
      </c>
      <c r="H5956">
        <v>47217</v>
      </c>
      <c r="I5956" s="1">
        <v>45901</v>
      </c>
      <c r="J5956">
        <v>6940</v>
      </c>
      <c r="K5956" t="s">
        <v>23</v>
      </c>
    </row>
    <row r="5957" spans="1:11">
      <c r="A5957" s="1">
        <v>45925</v>
      </c>
      <c r="B5957" t="s">
        <v>40</v>
      </c>
      <c r="C5957" t="s">
        <v>41</v>
      </c>
      <c r="D5957">
        <v>4571</v>
      </c>
      <c r="E5957">
        <v>1328</v>
      </c>
      <c r="F5957">
        <v>129</v>
      </c>
      <c r="G5957">
        <v>29</v>
      </c>
      <c r="H5957">
        <v>6057</v>
      </c>
      <c r="I5957" s="1">
        <v>45901</v>
      </c>
      <c r="J5957">
        <v>158</v>
      </c>
      <c r="K5957" t="s">
        <v>23</v>
      </c>
    </row>
    <row r="5958" spans="1:11">
      <c r="A5958" s="1">
        <v>45925</v>
      </c>
      <c r="B5958" t="s">
        <v>40</v>
      </c>
      <c r="C5958" t="s">
        <v>55</v>
      </c>
      <c r="D5958">
        <v>6884</v>
      </c>
      <c r="E5958">
        <v>1405</v>
      </c>
      <c r="F5958">
        <v>328</v>
      </c>
      <c r="G5958">
        <v>247</v>
      </c>
      <c r="H5958">
        <v>8863</v>
      </c>
      <c r="I5958" s="1">
        <v>45901</v>
      </c>
      <c r="J5958">
        <v>575</v>
      </c>
      <c r="K5958" t="s">
        <v>23</v>
      </c>
    </row>
    <row r="5959" spans="1:11">
      <c r="A5959" s="1">
        <v>45925</v>
      </c>
      <c r="B5959" t="s">
        <v>40</v>
      </c>
      <c r="C5959" t="s">
        <v>33</v>
      </c>
      <c r="D5959">
        <v>2380</v>
      </c>
      <c r="E5959">
        <v>995</v>
      </c>
      <c r="F5959">
        <v>167</v>
      </c>
      <c r="G5959">
        <v>3</v>
      </c>
      <c r="H5959">
        <v>3545</v>
      </c>
      <c r="I5959" s="1">
        <v>45901</v>
      </c>
      <c r="J5959">
        <v>170</v>
      </c>
      <c r="K5959" t="s">
        <v>23</v>
      </c>
    </row>
    <row r="5960" spans="1:11">
      <c r="A5960" s="1">
        <v>45925</v>
      </c>
      <c r="B5960" t="s">
        <v>40</v>
      </c>
      <c r="C5960" t="s">
        <v>65</v>
      </c>
      <c r="D5960">
        <v>13799</v>
      </c>
      <c r="E5960">
        <v>4344</v>
      </c>
      <c r="F5960">
        <v>1545</v>
      </c>
      <c r="G5960">
        <v>623</v>
      </c>
      <c r="H5960">
        <v>20310</v>
      </c>
      <c r="I5960" s="1">
        <v>45901</v>
      </c>
      <c r="J5960">
        <v>2168</v>
      </c>
      <c r="K5960" t="s">
        <v>23</v>
      </c>
    </row>
    <row r="5961" spans="1:11">
      <c r="A5961" s="1">
        <v>45925</v>
      </c>
      <c r="B5961" t="s">
        <v>40</v>
      </c>
      <c r="C5961" t="s">
        <v>27</v>
      </c>
      <c r="D5961">
        <v>3370</v>
      </c>
      <c r="E5961">
        <v>1975</v>
      </c>
      <c r="F5961">
        <v>1053</v>
      </c>
      <c r="G5961">
        <v>456</v>
      </c>
      <c r="H5961">
        <v>6854</v>
      </c>
      <c r="I5961" s="1">
        <v>45901</v>
      </c>
      <c r="J5961">
        <v>1509</v>
      </c>
      <c r="K5961" t="s">
        <v>23</v>
      </c>
    </row>
    <row r="5962" spans="1:11">
      <c r="A5962" s="1">
        <v>45925</v>
      </c>
      <c r="B5962" t="s">
        <v>40</v>
      </c>
      <c r="C5962" t="s">
        <v>37</v>
      </c>
      <c r="D5962">
        <v>455</v>
      </c>
      <c r="E5962">
        <v>327</v>
      </c>
      <c r="F5962">
        <v>296</v>
      </c>
      <c r="G5962">
        <v>193</v>
      </c>
      <c r="H5962">
        <v>1270</v>
      </c>
      <c r="I5962" s="1">
        <v>45901</v>
      </c>
      <c r="J5962">
        <v>489</v>
      </c>
      <c r="K5962" t="s">
        <v>23</v>
      </c>
    </row>
    <row r="5963" spans="1:11">
      <c r="A5963" s="1">
        <v>45925</v>
      </c>
      <c r="B5963" t="s">
        <v>40</v>
      </c>
      <c r="C5963" t="s">
        <v>66</v>
      </c>
      <c r="D5963">
        <v>26741</v>
      </c>
      <c r="E5963">
        <v>9647</v>
      </c>
      <c r="F5963">
        <v>4522</v>
      </c>
      <c r="G5963">
        <v>5665</v>
      </c>
      <c r="H5963">
        <v>46574</v>
      </c>
      <c r="I5963" s="1">
        <v>45901</v>
      </c>
      <c r="J5963">
        <v>10187</v>
      </c>
      <c r="K5963" t="s">
        <v>23</v>
      </c>
    </row>
    <row r="5964" spans="1:11">
      <c r="A5964" s="1">
        <v>45925</v>
      </c>
      <c r="B5964" t="s">
        <v>40</v>
      </c>
      <c r="C5964" t="s">
        <v>57</v>
      </c>
      <c r="D5964">
        <v>9739</v>
      </c>
      <c r="E5964">
        <v>3156</v>
      </c>
      <c r="F5964">
        <v>1394</v>
      </c>
      <c r="G5964">
        <v>442</v>
      </c>
      <c r="H5964">
        <v>14730</v>
      </c>
      <c r="I5964" s="1">
        <v>45901</v>
      </c>
      <c r="J5964">
        <v>1836</v>
      </c>
      <c r="K5964" t="s">
        <v>23</v>
      </c>
    </row>
    <row r="5965" spans="1:11">
      <c r="A5965" s="1">
        <v>45925</v>
      </c>
      <c r="B5965" t="s">
        <v>40</v>
      </c>
      <c r="C5965" t="s">
        <v>28</v>
      </c>
      <c r="D5965">
        <v>2300</v>
      </c>
      <c r="E5965">
        <v>1102</v>
      </c>
      <c r="F5965">
        <v>543</v>
      </c>
      <c r="G5965">
        <v>292</v>
      </c>
      <c r="H5965">
        <v>4237</v>
      </c>
      <c r="I5965" s="1">
        <v>45901</v>
      </c>
      <c r="J5965">
        <v>835</v>
      </c>
      <c r="K5965" t="s">
        <v>23</v>
      </c>
    </row>
    <row r="5966" spans="1:11">
      <c r="A5966" s="1">
        <v>45925</v>
      </c>
      <c r="B5966" t="s">
        <v>40</v>
      </c>
      <c r="C5966" t="s">
        <v>68</v>
      </c>
      <c r="D5966">
        <v>26727</v>
      </c>
      <c r="E5966">
        <v>8304</v>
      </c>
      <c r="F5966">
        <v>3456</v>
      </c>
      <c r="G5966">
        <v>3181</v>
      </c>
      <c r="H5966">
        <v>41669</v>
      </c>
      <c r="I5966" s="1">
        <v>45901</v>
      </c>
      <c r="J5966">
        <v>6637</v>
      </c>
      <c r="K5966" t="s">
        <v>23</v>
      </c>
    </row>
    <row r="5967" spans="1:11">
      <c r="A5967" s="1">
        <v>45925</v>
      </c>
      <c r="B5967" t="s">
        <v>40</v>
      </c>
      <c r="C5967" t="s">
        <v>47</v>
      </c>
      <c r="D5967">
        <v>4371</v>
      </c>
      <c r="E5967">
        <v>1419</v>
      </c>
      <c r="F5967">
        <v>432</v>
      </c>
      <c r="G5967">
        <v>235</v>
      </c>
      <c r="H5967">
        <v>6457</v>
      </c>
      <c r="I5967" s="1">
        <v>45901</v>
      </c>
      <c r="J5967">
        <v>667</v>
      </c>
      <c r="K5967" t="s">
        <v>23</v>
      </c>
    </row>
    <row r="5968" spans="1:11">
      <c r="A5968" s="1">
        <v>45925</v>
      </c>
      <c r="B5968" t="s">
        <v>40</v>
      </c>
      <c r="C5968" t="s">
        <v>25</v>
      </c>
      <c r="D5968">
        <v>3532</v>
      </c>
      <c r="E5968">
        <v>1374</v>
      </c>
      <c r="F5968">
        <v>548</v>
      </c>
      <c r="G5968">
        <v>164</v>
      </c>
      <c r="H5968">
        <v>5618</v>
      </c>
      <c r="I5968" s="1">
        <v>45901</v>
      </c>
      <c r="J5968">
        <v>712</v>
      </c>
      <c r="K5968" t="s">
        <v>23</v>
      </c>
    </row>
    <row r="5969" spans="1:11">
      <c r="A5969" s="1">
        <v>45925</v>
      </c>
      <c r="B5969" t="s">
        <v>40</v>
      </c>
      <c r="C5969" t="s">
        <v>51</v>
      </c>
      <c r="D5969">
        <v>4969</v>
      </c>
      <c r="E5969">
        <v>1602</v>
      </c>
      <c r="F5969">
        <v>738</v>
      </c>
      <c r="G5969">
        <v>949</v>
      </c>
      <c r="H5969">
        <v>8258</v>
      </c>
      <c r="I5969" s="1">
        <v>45901</v>
      </c>
      <c r="J5969">
        <v>1687</v>
      </c>
      <c r="K5969" t="s">
        <v>23</v>
      </c>
    </row>
    <row r="5970" spans="1:11">
      <c r="A5970" s="1">
        <v>45925</v>
      </c>
      <c r="B5970" t="s">
        <v>40</v>
      </c>
      <c r="C5970" t="s">
        <v>45</v>
      </c>
      <c r="D5970">
        <v>2804</v>
      </c>
      <c r="E5970">
        <v>686</v>
      </c>
      <c r="F5970">
        <v>247</v>
      </c>
      <c r="G5970">
        <v>168</v>
      </c>
      <c r="H5970">
        <v>3905</v>
      </c>
      <c r="I5970" s="1">
        <v>45901</v>
      </c>
      <c r="J5970">
        <v>415</v>
      </c>
      <c r="K5970" t="s">
        <v>23</v>
      </c>
    </row>
    <row r="5971" spans="1:11">
      <c r="A5971" s="1">
        <v>45925</v>
      </c>
      <c r="B5971" t="s">
        <v>40</v>
      </c>
      <c r="C5971" t="s">
        <v>39</v>
      </c>
      <c r="D5971">
        <v>7223</v>
      </c>
      <c r="E5971">
        <v>2754</v>
      </c>
      <c r="F5971">
        <v>1169</v>
      </c>
      <c r="G5971">
        <v>470</v>
      </c>
      <c r="H5971">
        <v>11617</v>
      </c>
      <c r="I5971" s="1">
        <v>45901</v>
      </c>
      <c r="J5971">
        <v>1639</v>
      </c>
      <c r="K5971" t="s">
        <v>23</v>
      </c>
    </row>
    <row r="5972" spans="1:11">
      <c r="A5972" s="1">
        <v>45925</v>
      </c>
      <c r="B5972" t="s">
        <v>40</v>
      </c>
      <c r="C5972" t="s">
        <v>54</v>
      </c>
      <c r="D5972">
        <v>1402</v>
      </c>
      <c r="E5972">
        <v>700</v>
      </c>
      <c r="F5972">
        <v>575</v>
      </c>
      <c r="G5972">
        <v>333</v>
      </c>
      <c r="H5972">
        <v>3010</v>
      </c>
      <c r="I5972" s="1">
        <v>45901</v>
      </c>
      <c r="J5972">
        <v>908</v>
      </c>
      <c r="K5972" t="s">
        <v>23</v>
      </c>
    </row>
    <row r="5973" spans="1:11">
      <c r="A5973" s="1">
        <v>45925</v>
      </c>
      <c r="B5973" t="s">
        <v>40</v>
      </c>
      <c r="C5973" t="s">
        <v>35</v>
      </c>
      <c r="D5973">
        <v>396</v>
      </c>
      <c r="E5973">
        <v>305</v>
      </c>
      <c r="F5973">
        <v>221</v>
      </c>
      <c r="G5973">
        <v>246</v>
      </c>
      <c r="H5973">
        <v>1168</v>
      </c>
      <c r="I5973" s="1">
        <v>45901</v>
      </c>
      <c r="J5973">
        <v>467</v>
      </c>
      <c r="K5973" t="s">
        <v>23</v>
      </c>
    </row>
    <row r="5974" spans="1:11">
      <c r="A5974" s="1">
        <v>45925</v>
      </c>
      <c r="B5974" t="s">
        <v>40</v>
      </c>
      <c r="C5974" t="s">
        <v>52</v>
      </c>
      <c r="D5974">
        <v>9820</v>
      </c>
      <c r="E5974">
        <v>4798</v>
      </c>
      <c r="F5974">
        <v>2181</v>
      </c>
      <c r="G5974">
        <v>696</v>
      </c>
      <c r="H5974">
        <v>17495</v>
      </c>
      <c r="I5974" s="1">
        <v>45901</v>
      </c>
      <c r="J5974">
        <v>2877</v>
      </c>
      <c r="K5974" t="s">
        <v>23</v>
      </c>
    </row>
    <row r="5975" spans="1:11">
      <c r="A5975" s="1">
        <v>45925</v>
      </c>
      <c r="B5975" t="s">
        <v>40</v>
      </c>
      <c r="C5975" t="s">
        <v>22</v>
      </c>
      <c r="D5975">
        <v>4333</v>
      </c>
      <c r="E5975">
        <v>1761</v>
      </c>
      <c r="F5975">
        <v>526</v>
      </c>
      <c r="G5975">
        <v>93</v>
      </c>
      <c r="H5975">
        <v>6712</v>
      </c>
      <c r="I5975" s="1">
        <v>45901</v>
      </c>
      <c r="J5975">
        <v>619</v>
      </c>
      <c r="K5975" t="s">
        <v>23</v>
      </c>
    </row>
    <row r="5976" spans="1:11">
      <c r="A5976" s="1">
        <v>45925</v>
      </c>
      <c r="B5976" t="s">
        <v>40</v>
      </c>
      <c r="C5976" t="s">
        <v>46</v>
      </c>
      <c r="D5976">
        <v>2172</v>
      </c>
      <c r="E5976">
        <v>598</v>
      </c>
      <c r="F5976">
        <v>148</v>
      </c>
      <c r="G5976">
        <v>8</v>
      </c>
      <c r="H5976">
        <v>2925</v>
      </c>
      <c r="I5976" s="1">
        <v>45901</v>
      </c>
      <c r="J5976">
        <v>156</v>
      </c>
      <c r="K5976" t="s">
        <v>23</v>
      </c>
    </row>
    <row r="5977" spans="1:11">
      <c r="A5977" s="1">
        <v>45925</v>
      </c>
      <c r="B5977" t="s">
        <v>40</v>
      </c>
      <c r="C5977" t="s">
        <v>31</v>
      </c>
      <c r="D5977">
        <v>3375</v>
      </c>
      <c r="E5977">
        <v>911</v>
      </c>
      <c r="F5977">
        <v>183</v>
      </c>
      <c r="G5977">
        <v>6</v>
      </c>
      <c r="H5977">
        <v>4474</v>
      </c>
      <c r="I5977" s="1">
        <v>45901</v>
      </c>
      <c r="J5977">
        <v>189</v>
      </c>
      <c r="K5977" t="s">
        <v>23</v>
      </c>
    </row>
    <row r="5978" spans="1:11">
      <c r="A5978" s="1">
        <v>45925</v>
      </c>
      <c r="B5978" t="s">
        <v>40</v>
      </c>
      <c r="C5978" t="s">
        <v>34</v>
      </c>
      <c r="D5978">
        <v>4124</v>
      </c>
      <c r="E5978">
        <v>1134</v>
      </c>
      <c r="F5978">
        <v>45</v>
      </c>
      <c r="G5978">
        <v>1</v>
      </c>
      <c r="H5978">
        <v>5304</v>
      </c>
      <c r="I5978" s="1">
        <v>45901</v>
      </c>
      <c r="J5978">
        <v>46</v>
      </c>
      <c r="K5978" t="s">
        <v>23</v>
      </c>
    </row>
    <row r="5979" spans="1:11">
      <c r="A5979" s="1">
        <v>45925</v>
      </c>
      <c r="B5979" t="s">
        <v>40</v>
      </c>
      <c r="C5979" t="s">
        <v>63</v>
      </c>
      <c r="D5979">
        <v>6800</v>
      </c>
      <c r="E5979">
        <v>3327</v>
      </c>
      <c r="F5979">
        <v>1619</v>
      </c>
      <c r="G5979">
        <v>913</v>
      </c>
      <c r="H5979">
        <v>12659</v>
      </c>
      <c r="I5979" s="1">
        <v>45901</v>
      </c>
      <c r="J5979">
        <v>2532</v>
      </c>
      <c r="K5979" t="s">
        <v>23</v>
      </c>
    </row>
    <row r="5980" spans="1:11">
      <c r="A5980" s="1">
        <v>45925</v>
      </c>
      <c r="B5980" t="s">
        <v>40</v>
      </c>
      <c r="C5980" t="s">
        <v>60</v>
      </c>
      <c r="D5980">
        <v>8400</v>
      </c>
      <c r="E5980">
        <v>2314</v>
      </c>
      <c r="F5980">
        <v>1152</v>
      </c>
      <c r="G5980">
        <v>1347</v>
      </c>
      <c r="H5980">
        <v>13212</v>
      </c>
      <c r="I5980" s="1">
        <v>45901</v>
      </c>
      <c r="J5980">
        <v>2499</v>
      </c>
      <c r="K5980" t="s">
        <v>23</v>
      </c>
    </row>
    <row r="5981" spans="1:11">
      <c r="A5981" s="1">
        <v>45925</v>
      </c>
      <c r="B5981" t="s">
        <v>40</v>
      </c>
      <c r="C5981" t="s">
        <v>61</v>
      </c>
      <c r="D5981">
        <v>14753</v>
      </c>
      <c r="E5981">
        <v>6542</v>
      </c>
      <c r="F5981">
        <v>3884</v>
      </c>
      <c r="G5981">
        <v>4330</v>
      </c>
      <c r="H5981">
        <v>29510</v>
      </c>
      <c r="I5981" s="1">
        <v>45901</v>
      </c>
      <c r="J5981">
        <v>8214</v>
      </c>
      <c r="K5981" t="s">
        <v>23</v>
      </c>
    </row>
    <row r="5982" spans="1:11">
      <c r="A5982" s="1">
        <v>45925</v>
      </c>
      <c r="B5982" t="s">
        <v>40</v>
      </c>
      <c r="C5982" t="s">
        <v>62</v>
      </c>
      <c r="D5982">
        <v>2218</v>
      </c>
      <c r="E5982">
        <v>1286</v>
      </c>
      <c r="F5982">
        <v>1126</v>
      </c>
      <c r="G5982">
        <v>5220</v>
      </c>
      <c r="H5982">
        <v>9850</v>
      </c>
      <c r="I5982" s="1">
        <v>45901</v>
      </c>
      <c r="J5982">
        <v>6346</v>
      </c>
      <c r="K5982" t="s">
        <v>23</v>
      </c>
    </row>
    <row r="5983" spans="1:11">
      <c r="A5983" s="1">
        <v>45925</v>
      </c>
      <c r="B5983" t="s">
        <v>40</v>
      </c>
      <c r="C5983" t="s">
        <v>69</v>
      </c>
      <c r="D5983">
        <v>17887</v>
      </c>
      <c r="E5983">
        <v>4954</v>
      </c>
      <c r="F5983">
        <v>1889</v>
      </c>
      <c r="G5983">
        <v>1054</v>
      </c>
      <c r="H5983">
        <v>25784</v>
      </c>
      <c r="I5983" s="1">
        <v>45901</v>
      </c>
      <c r="J5983">
        <v>2943</v>
      </c>
      <c r="K5983" t="s">
        <v>23</v>
      </c>
    </row>
    <row r="5984" spans="1:11">
      <c r="A5984" s="1">
        <v>45925</v>
      </c>
      <c r="B5984" t="s">
        <v>40</v>
      </c>
      <c r="C5984" t="s">
        <v>29</v>
      </c>
      <c r="D5984">
        <v>3344</v>
      </c>
      <c r="E5984">
        <v>1102</v>
      </c>
      <c r="F5984">
        <v>636</v>
      </c>
      <c r="G5984">
        <v>487</v>
      </c>
      <c r="H5984">
        <v>5570</v>
      </c>
      <c r="I5984" s="1">
        <v>45901</v>
      </c>
      <c r="J5984">
        <v>1123</v>
      </c>
      <c r="K5984" t="s">
        <v>23</v>
      </c>
    </row>
    <row r="5985" spans="1:11">
      <c r="A5985" s="1">
        <v>45925</v>
      </c>
      <c r="B5985" t="s">
        <v>40</v>
      </c>
      <c r="C5985" t="s">
        <v>70</v>
      </c>
      <c r="D5985">
        <v>3271</v>
      </c>
      <c r="E5985">
        <v>1034</v>
      </c>
      <c r="F5985">
        <v>825</v>
      </c>
      <c r="G5985">
        <v>361</v>
      </c>
      <c r="H5985">
        <v>5491</v>
      </c>
      <c r="I5985" s="1">
        <v>45901</v>
      </c>
      <c r="J5985">
        <v>1186</v>
      </c>
      <c r="K5985" t="s">
        <v>23</v>
      </c>
    </row>
    <row r="5986" spans="1:11">
      <c r="A5986" s="1">
        <v>45925</v>
      </c>
      <c r="B5986" t="s">
        <v>40</v>
      </c>
      <c r="C5986" t="s">
        <v>71</v>
      </c>
      <c r="D5986">
        <v>20140</v>
      </c>
      <c r="E5986">
        <v>7367</v>
      </c>
      <c r="F5986">
        <v>4335</v>
      </c>
      <c r="G5986">
        <v>2520</v>
      </c>
      <c r="H5986">
        <v>34361</v>
      </c>
      <c r="I5986" s="1">
        <v>45901</v>
      </c>
      <c r="J5986">
        <v>6855</v>
      </c>
      <c r="K5986" t="s">
        <v>23</v>
      </c>
    </row>
    <row r="5987" spans="1:11">
      <c r="A5987" s="1">
        <v>45925</v>
      </c>
      <c r="B5987" t="s">
        <v>40</v>
      </c>
      <c r="C5987" t="s">
        <v>36</v>
      </c>
      <c r="D5987">
        <v>13854</v>
      </c>
      <c r="E5987">
        <v>7647</v>
      </c>
      <c r="F5987">
        <v>2650</v>
      </c>
      <c r="G5987">
        <v>1062</v>
      </c>
      <c r="H5987">
        <v>25214</v>
      </c>
      <c r="I5987" s="1">
        <v>45901</v>
      </c>
      <c r="J5987">
        <v>3712</v>
      </c>
      <c r="K5987" t="s">
        <v>23</v>
      </c>
    </row>
    <row r="5988" spans="1:11">
      <c r="A5988" s="1">
        <v>45925</v>
      </c>
      <c r="B5988" t="s">
        <v>40</v>
      </c>
      <c r="C5988" t="s">
        <v>32</v>
      </c>
      <c r="D5988">
        <v>2426</v>
      </c>
      <c r="E5988">
        <v>860</v>
      </c>
      <c r="F5988">
        <v>434</v>
      </c>
      <c r="G5988">
        <v>110</v>
      </c>
      <c r="H5988">
        <v>3830</v>
      </c>
      <c r="I5988" s="1">
        <v>45901</v>
      </c>
      <c r="J5988">
        <v>544</v>
      </c>
      <c r="K5988" t="s">
        <v>23</v>
      </c>
    </row>
    <row r="5989" spans="1:11">
      <c r="A5989" s="1">
        <v>45925</v>
      </c>
      <c r="B5989" t="s">
        <v>40</v>
      </c>
      <c r="C5989" t="s">
        <v>44</v>
      </c>
      <c r="D5989">
        <v>7666</v>
      </c>
      <c r="E5989">
        <v>2508</v>
      </c>
      <c r="F5989">
        <v>990</v>
      </c>
      <c r="G5989">
        <v>117</v>
      </c>
      <c r="H5989">
        <v>11282</v>
      </c>
      <c r="I5989" s="1">
        <v>45901</v>
      </c>
      <c r="J5989">
        <v>1107</v>
      </c>
      <c r="K5989" t="s">
        <v>23</v>
      </c>
    </row>
    <row r="5990" spans="1:11">
      <c r="A5990" s="1">
        <v>45925</v>
      </c>
      <c r="B5990" t="s">
        <v>40</v>
      </c>
      <c r="C5990" t="s">
        <v>59</v>
      </c>
      <c r="D5990">
        <v>16660</v>
      </c>
      <c r="E5990">
        <v>5057</v>
      </c>
      <c r="F5990">
        <v>2246</v>
      </c>
      <c r="G5990">
        <v>1042</v>
      </c>
      <c r="H5990">
        <v>25005</v>
      </c>
      <c r="I5990" s="1">
        <v>45901</v>
      </c>
      <c r="J5990">
        <v>3288</v>
      </c>
      <c r="K5990" t="s">
        <v>23</v>
      </c>
    </row>
    <row r="5991" spans="1:11">
      <c r="A5991" s="1">
        <v>45925</v>
      </c>
      <c r="B5991" t="s">
        <v>40</v>
      </c>
      <c r="C5991" t="s">
        <v>67</v>
      </c>
      <c r="D5991">
        <v>22761</v>
      </c>
      <c r="E5991">
        <v>11247</v>
      </c>
      <c r="F5991">
        <v>5446</v>
      </c>
      <c r="G5991">
        <v>4846</v>
      </c>
      <c r="H5991">
        <v>44299</v>
      </c>
      <c r="I5991" s="1">
        <v>45901</v>
      </c>
      <c r="J5991">
        <v>10292</v>
      </c>
      <c r="K5991" t="s">
        <v>23</v>
      </c>
    </row>
    <row r="5992" spans="1:11">
      <c r="A5992" s="1">
        <v>45925</v>
      </c>
      <c r="B5992" t="s">
        <v>40</v>
      </c>
      <c r="C5992" t="s">
        <v>49</v>
      </c>
      <c r="D5992">
        <v>3782</v>
      </c>
      <c r="E5992">
        <v>906</v>
      </c>
      <c r="F5992">
        <v>46</v>
      </c>
      <c r="G5992">
        <v>6</v>
      </c>
      <c r="H5992">
        <v>4740</v>
      </c>
      <c r="I5992" s="1">
        <v>45901</v>
      </c>
      <c r="J5992">
        <v>52</v>
      </c>
      <c r="K5992" t="s">
        <v>23</v>
      </c>
    </row>
    <row r="5993" spans="1:11">
      <c r="A5993" s="1">
        <v>45960</v>
      </c>
      <c r="B5993" t="s">
        <v>40</v>
      </c>
      <c r="C5993" t="s">
        <v>48</v>
      </c>
      <c r="D5993">
        <v>27717</v>
      </c>
      <c r="E5993">
        <v>13893</v>
      </c>
      <c r="F5993">
        <v>5537</v>
      </c>
      <c r="G5993">
        <v>1646</v>
      </c>
      <c r="H5993">
        <v>48792</v>
      </c>
      <c r="I5993" s="1">
        <v>45931</v>
      </c>
      <c r="J5993">
        <v>7183</v>
      </c>
      <c r="K5993" t="s">
        <v>23</v>
      </c>
    </row>
    <row r="5994" spans="1:11">
      <c r="A5994" s="1">
        <v>45960</v>
      </c>
      <c r="B5994" t="s">
        <v>40</v>
      </c>
      <c r="C5994" t="s">
        <v>55</v>
      </c>
      <c r="D5994">
        <v>6430</v>
      </c>
      <c r="E5994">
        <v>1389</v>
      </c>
      <c r="F5994">
        <v>839</v>
      </c>
      <c r="G5994">
        <v>412</v>
      </c>
      <c r="H5994">
        <v>9070</v>
      </c>
      <c r="I5994" s="1">
        <v>45931</v>
      </c>
      <c r="J5994">
        <v>1251</v>
      </c>
      <c r="K5994" t="s">
        <v>23</v>
      </c>
    </row>
    <row r="5995" spans="1:11">
      <c r="A5995" s="1">
        <v>45960</v>
      </c>
      <c r="B5995" t="s">
        <v>40</v>
      </c>
      <c r="C5995" t="s">
        <v>33</v>
      </c>
      <c r="D5995">
        <v>2448</v>
      </c>
      <c r="E5995">
        <v>1144</v>
      </c>
      <c r="F5995">
        <v>218</v>
      </c>
      <c r="G5995">
        <v>3</v>
      </c>
      <c r="H5995">
        <v>3813</v>
      </c>
      <c r="I5995" s="1">
        <v>45931</v>
      </c>
      <c r="J5995">
        <v>221</v>
      </c>
      <c r="K5995" t="s">
        <v>23</v>
      </c>
    </row>
    <row r="5996" spans="1:11">
      <c r="A5996" s="1">
        <v>45960</v>
      </c>
      <c r="B5996" t="s">
        <v>40</v>
      </c>
      <c r="C5996" t="s">
        <v>65</v>
      </c>
      <c r="D5996">
        <v>14212</v>
      </c>
      <c r="E5996">
        <v>4374</v>
      </c>
      <c r="F5996">
        <v>1578</v>
      </c>
      <c r="G5996">
        <v>390</v>
      </c>
      <c r="H5996">
        <v>20554</v>
      </c>
      <c r="I5996" s="1">
        <v>45931</v>
      </c>
      <c r="J5996">
        <v>1968</v>
      </c>
      <c r="K5996" t="s">
        <v>23</v>
      </c>
    </row>
    <row r="5997" spans="1:11">
      <c r="A5997" s="1">
        <v>45960</v>
      </c>
      <c r="B5997" t="s">
        <v>40</v>
      </c>
      <c r="C5997" t="s">
        <v>27</v>
      </c>
      <c r="D5997">
        <v>3475</v>
      </c>
      <c r="E5997">
        <v>2047</v>
      </c>
      <c r="F5997">
        <v>980</v>
      </c>
      <c r="G5997">
        <v>456</v>
      </c>
      <c r="H5997">
        <v>6958</v>
      </c>
      <c r="I5997" s="1">
        <v>45931</v>
      </c>
      <c r="J5997">
        <v>1436</v>
      </c>
      <c r="K5997" t="s">
        <v>23</v>
      </c>
    </row>
    <row r="5998" spans="1:11">
      <c r="A5998" s="1">
        <v>45960</v>
      </c>
      <c r="B5998" t="s">
        <v>40</v>
      </c>
      <c r="C5998" t="s">
        <v>37</v>
      </c>
      <c r="D5998">
        <v>474</v>
      </c>
      <c r="E5998">
        <v>321</v>
      </c>
      <c r="F5998">
        <v>273</v>
      </c>
      <c r="G5998">
        <v>239</v>
      </c>
      <c r="H5998">
        <v>1307</v>
      </c>
      <c r="I5998" s="1">
        <v>45931</v>
      </c>
      <c r="J5998">
        <v>512</v>
      </c>
      <c r="K5998" t="s">
        <v>23</v>
      </c>
    </row>
    <row r="5999" spans="1:11">
      <c r="A5999" s="1">
        <v>45960</v>
      </c>
      <c r="B5999" t="s">
        <v>40</v>
      </c>
      <c r="C5999" t="s">
        <v>66</v>
      </c>
      <c r="D5999">
        <v>26464</v>
      </c>
      <c r="E5999">
        <v>9623</v>
      </c>
      <c r="F5999">
        <v>4393</v>
      </c>
      <c r="G5999">
        <v>5929</v>
      </c>
      <c r="H5999">
        <v>46409</v>
      </c>
      <c r="I5999" s="1">
        <v>45931</v>
      </c>
      <c r="J5999">
        <v>10322</v>
      </c>
      <c r="K5999" t="s">
        <v>23</v>
      </c>
    </row>
    <row r="6000" spans="1:11">
      <c r="A6000" s="1">
        <v>45960</v>
      </c>
      <c r="B6000" t="s">
        <v>40</v>
      </c>
      <c r="C6000" t="s">
        <v>57</v>
      </c>
      <c r="D6000">
        <v>9653</v>
      </c>
      <c r="E6000">
        <v>3069</v>
      </c>
      <c r="F6000">
        <v>1255</v>
      </c>
      <c r="G6000">
        <v>479</v>
      </c>
      <c r="H6000">
        <v>14457</v>
      </c>
      <c r="I6000" s="1">
        <v>45931</v>
      </c>
      <c r="J6000">
        <v>1734</v>
      </c>
      <c r="K6000" t="s">
        <v>23</v>
      </c>
    </row>
    <row r="6001" spans="1:11">
      <c r="A6001" s="1">
        <v>45960</v>
      </c>
      <c r="B6001" t="s">
        <v>40</v>
      </c>
      <c r="C6001" t="s">
        <v>28</v>
      </c>
      <c r="D6001">
        <v>2169</v>
      </c>
      <c r="E6001">
        <v>1115</v>
      </c>
      <c r="F6001">
        <v>492</v>
      </c>
      <c r="G6001">
        <v>367</v>
      </c>
      <c r="H6001">
        <v>4142</v>
      </c>
      <c r="I6001" s="1">
        <v>45931</v>
      </c>
      <c r="J6001">
        <v>859</v>
      </c>
      <c r="K6001" t="s">
        <v>23</v>
      </c>
    </row>
    <row r="6002" spans="1:11">
      <c r="A6002" s="1">
        <v>45960</v>
      </c>
      <c r="B6002" t="s">
        <v>40</v>
      </c>
      <c r="C6002" t="s">
        <v>68</v>
      </c>
      <c r="D6002">
        <v>26028</v>
      </c>
      <c r="E6002">
        <v>8845</v>
      </c>
      <c r="F6002">
        <v>3367</v>
      </c>
      <c r="G6002">
        <v>3252</v>
      </c>
      <c r="H6002">
        <v>41491</v>
      </c>
      <c r="I6002" s="1">
        <v>45931</v>
      </c>
      <c r="J6002">
        <v>6619</v>
      </c>
      <c r="K6002" t="s">
        <v>23</v>
      </c>
    </row>
    <row r="6003" spans="1:11">
      <c r="A6003" s="1">
        <v>45960</v>
      </c>
      <c r="B6003" t="s">
        <v>40</v>
      </c>
      <c r="C6003" t="s">
        <v>47</v>
      </c>
      <c r="D6003">
        <v>4475</v>
      </c>
      <c r="E6003">
        <v>1489</v>
      </c>
      <c r="F6003">
        <v>443</v>
      </c>
      <c r="G6003">
        <v>243</v>
      </c>
      <c r="H6003">
        <v>6650</v>
      </c>
      <c r="I6003" s="1">
        <v>45931</v>
      </c>
      <c r="J6003">
        <v>686</v>
      </c>
      <c r="K6003" t="s">
        <v>23</v>
      </c>
    </row>
    <row r="6004" spans="1:11">
      <c r="A6004" s="1">
        <v>45960</v>
      </c>
      <c r="B6004" t="s">
        <v>40</v>
      </c>
      <c r="C6004" t="s">
        <v>25</v>
      </c>
      <c r="D6004">
        <v>3570</v>
      </c>
      <c r="E6004">
        <v>1340</v>
      </c>
      <c r="F6004">
        <v>433</v>
      </c>
      <c r="G6004">
        <v>141</v>
      </c>
      <c r="H6004">
        <v>5483</v>
      </c>
      <c r="I6004" s="1">
        <v>45931</v>
      </c>
      <c r="J6004">
        <v>574</v>
      </c>
      <c r="K6004" t="s">
        <v>23</v>
      </c>
    </row>
    <row r="6005" spans="1:11">
      <c r="A6005" s="1">
        <v>45960</v>
      </c>
      <c r="B6005" t="s">
        <v>40</v>
      </c>
      <c r="C6005" t="s">
        <v>51</v>
      </c>
      <c r="D6005">
        <v>4878</v>
      </c>
      <c r="E6005">
        <v>1569</v>
      </c>
      <c r="F6005">
        <v>749</v>
      </c>
      <c r="G6005">
        <v>963</v>
      </c>
      <c r="H6005">
        <v>8159</v>
      </c>
      <c r="I6005" s="1">
        <v>45931</v>
      </c>
      <c r="J6005">
        <v>1712</v>
      </c>
      <c r="K6005" t="s">
        <v>23</v>
      </c>
    </row>
    <row r="6006" spans="1:11">
      <c r="A6006" s="1">
        <v>45960</v>
      </c>
      <c r="B6006" t="s">
        <v>40</v>
      </c>
      <c r="C6006" t="s">
        <v>45</v>
      </c>
      <c r="D6006">
        <v>2837</v>
      </c>
      <c r="E6006">
        <v>658</v>
      </c>
      <c r="F6006">
        <v>270</v>
      </c>
      <c r="G6006">
        <v>170</v>
      </c>
      <c r="H6006">
        <v>3935</v>
      </c>
      <c r="I6006" s="1">
        <v>45931</v>
      </c>
      <c r="J6006">
        <v>440</v>
      </c>
      <c r="K6006" t="s">
        <v>23</v>
      </c>
    </row>
    <row r="6007" spans="1:11">
      <c r="A6007" s="1">
        <v>45960</v>
      </c>
      <c r="B6007" t="s">
        <v>40</v>
      </c>
      <c r="C6007" t="s">
        <v>39</v>
      </c>
      <c r="D6007">
        <v>7016</v>
      </c>
      <c r="E6007">
        <v>2923</v>
      </c>
      <c r="F6007">
        <v>1348</v>
      </c>
      <c r="G6007">
        <v>533</v>
      </c>
      <c r="H6007">
        <v>11820</v>
      </c>
      <c r="I6007" s="1">
        <v>45931</v>
      </c>
      <c r="J6007">
        <v>1881</v>
      </c>
      <c r="K6007" t="s">
        <v>23</v>
      </c>
    </row>
    <row r="6008" spans="1:11">
      <c r="A6008" s="1">
        <v>45960</v>
      </c>
      <c r="B6008" t="s">
        <v>40</v>
      </c>
      <c r="C6008" t="s">
        <v>38</v>
      </c>
      <c r="D6008">
        <v>2324</v>
      </c>
      <c r="E6008">
        <v>832</v>
      </c>
      <c r="F6008">
        <v>160</v>
      </c>
      <c r="G6008">
        <v>1</v>
      </c>
      <c r="H6008">
        <v>3317</v>
      </c>
      <c r="I6008" s="1">
        <v>45931</v>
      </c>
      <c r="J6008">
        <v>161</v>
      </c>
      <c r="K6008" t="s">
        <v>23</v>
      </c>
    </row>
    <row r="6009" spans="1:11">
      <c r="A6009" s="1">
        <v>45960</v>
      </c>
      <c r="B6009" t="s">
        <v>40</v>
      </c>
      <c r="C6009" t="s">
        <v>54</v>
      </c>
      <c r="D6009">
        <v>1422</v>
      </c>
      <c r="E6009">
        <v>619</v>
      </c>
      <c r="F6009">
        <v>578</v>
      </c>
      <c r="G6009">
        <v>344</v>
      </c>
      <c r="H6009">
        <v>2962</v>
      </c>
      <c r="I6009" s="1">
        <v>45931</v>
      </c>
      <c r="J6009">
        <v>922</v>
      </c>
      <c r="K6009" t="s">
        <v>23</v>
      </c>
    </row>
    <row r="6010" spans="1:11">
      <c r="A6010" s="1">
        <v>45960</v>
      </c>
      <c r="B6010" t="s">
        <v>40</v>
      </c>
      <c r="C6010" t="s">
        <v>35</v>
      </c>
      <c r="D6010">
        <v>384</v>
      </c>
      <c r="E6010">
        <v>321</v>
      </c>
      <c r="F6010">
        <v>225</v>
      </c>
      <c r="G6010">
        <v>269</v>
      </c>
      <c r="H6010">
        <v>1199</v>
      </c>
      <c r="I6010" s="1">
        <v>45931</v>
      </c>
      <c r="J6010">
        <v>494</v>
      </c>
      <c r="K6010" t="s">
        <v>23</v>
      </c>
    </row>
    <row r="6011" spans="1:11">
      <c r="A6011" s="1">
        <v>45960</v>
      </c>
      <c r="B6011" t="s">
        <v>40</v>
      </c>
      <c r="C6011" t="s">
        <v>52</v>
      </c>
      <c r="D6011">
        <v>9866</v>
      </c>
      <c r="E6011">
        <v>4547</v>
      </c>
      <c r="F6011">
        <v>2284</v>
      </c>
      <c r="G6011">
        <v>680</v>
      </c>
      <c r="H6011">
        <v>17377</v>
      </c>
      <c r="I6011" s="1">
        <v>45931</v>
      </c>
      <c r="J6011">
        <v>2964</v>
      </c>
      <c r="K6011" t="s">
        <v>23</v>
      </c>
    </row>
    <row r="6012" spans="1:11">
      <c r="A6012" s="1">
        <v>45960</v>
      </c>
      <c r="B6012" t="s">
        <v>40</v>
      </c>
      <c r="C6012" t="s">
        <v>22</v>
      </c>
      <c r="D6012">
        <v>4481</v>
      </c>
      <c r="E6012">
        <v>1831</v>
      </c>
      <c r="F6012">
        <v>566</v>
      </c>
      <c r="G6012">
        <v>126</v>
      </c>
      <c r="H6012">
        <v>7003</v>
      </c>
      <c r="I6012" s="1">
        <v>45931</v>
      </c>
      <c r="J6012">
        <v>692</v>
      </c>
      <c r="K6012" t="s">
        <v>23</v>
      </c>
    </row>
    <row r="6013" spans="1:11">
      <c r="A6013" s="1">
        <v>45960</v>
      </c>
      <c r="B6013" t="s">
        <v>40</v>
      </c>
      <c r="C6013" t="s">
        <v>31</v>
      </c>
      <c r="D6013">
        <v>3185</v>
      </c>
      <c r="E6013">
        <v>991</v>
      </c>
      <c r="F6013">
        <v>78</v>
      </c>
      <c r="G6013">
        <v>5</v>
      </c>
      <c r="H6013">
        <v>4259</v>
      </c>
      <c r="I6013" s="1">
        <v>45931</v>
      </c>
      <c r="J6013">
        <v>83</v>
      </c>
      <c r="K6013" t="s">
        <v>23</v>
      </c>
    </row>
    <row r="6014" spans="1:11">
      <c r="A6014" s="1">
        <v>45960</v>
      </c>
      <c r="B6014" t="s">
        <v>40</v>
      </c>
      <c r="C6014" t="s">
        <v>34</v>
      </c>
      <c r="D6014">
        <v>4182</v>
      </c>
      <c r="E6014">
        <v>1150</v>
      </c>
      <c r="F6014">
        <v>55</v>
      </c>
      <c r="G6014">
        <v>1</v>
      </c>
      <c r="H6014">
        <v>5388</v>
      </c>
      <c r="I6014" s="1">
        <v>45931</v>
      </c>
      <c r="J6014">
        <v>56</v>
      </c>
      <c r="K6014" t="s">
        <v>23</v>
      </c>
    </row>
    <row r="6015" spans="1:11">
      <c r="A6015" s="1">
        <v>45960</v>
      </c>
      <c r="B6015" t="s">
        <v>40</v>
      </c>
      <c r="C6015" t="s">
        <v>63</v>
      </c>
      <c r="D6015">
        <v>6948</v>
      </c>
      <c r="E6015">
        <v>3578</v>
      </c>
      <c r="F6015">
        <v>1828</v>
      </c>
      <c r="G6015">
        <v>955</v>
      </c>
      <c r="H6015">
        <v>13309</v>
      </c>
      <c r="I6015" s="1">
        <v>45931</v>
      </c>
      <c r="J6015">
        <v>2783</v>
      </c>
      <c r="K6015" t="s">
        <v>23</v>
      </c>
    </row>
    <row r="6016" spans="1:11">
      <c r="A6016" s="1">
        <v>45960</v>
      </c>
      <c r="B6016" t="s">
        <v>40</v>
      </c>
      <c r="C6016" t="s">
        <v>60</v>
      </c>
      <c r="D6016">
        <v>8116</v>
      </c>
      <c r="E6016">
        <v>2503</v>
      </c>
      <c r="F6016">
        <v>1067</v>
      </c>
      <c r="G6016">
        <v>1313</v>
      </c>
      <c r="H6016">
        <v>12999</v>
      </c>
      <c r="I6016" s="1">
        <v>45931</v>
      </c>
      <c r="J6016">
        <v>2380</v>
      </c>
      <c r="K6016" t="s">
        <v>23</v>
      </c>
    </row>
    <row r="6017" spans="1:11">
      <c r="A6017" s="1">
        <v>45960</v>
      </c>
      <c r="B6017" t="s">
        <v>40</v>
      </c>
      <c r="C6017" t="s">
        <v>61</v>
      </c>
      <c r="D6017">
        <v>14808</v>
      </c>
      <c r="E6017">
        <v>6618</v>
      </c>
      <c r="F6017">
        <v>3945</v>
      </c>
      <c r="G6017">
        <v>4528</v>
      </c>
      <c r="H6017">
        <v>29899</v>
      </c>
      <c r="I6017" s="1">
        <v>45931</v>
      </c>
      <c r="J6017">
        <v>8473</v>
      </c>
      <c r="K6017" t="s">
        <v>23</v>
      </c>
    </row>
    <row r="6018" spans="1:11">
      <c r="A6018" s="1">
        <v>45960</v>
      </c>
      <c r="B6018" t="s">
        <v>40</v>
      </c>
      <c r="C6018" t="s">
        <v>62</v>
      </c>
      <c r="D6018">
        <v>2230</v>
      </c>
      <c r="E6018">
        <v>1243</v>
      </c>
      <c r="F6018">
        <v>1148</v>
      </c>
      <c r="G6018">
        <v>5303</v>
      </c>
      <c r="H6018">
        <v>9923</v>
      </c>
      <c r="I6018" s="1">
        <v>45931</v>
      </c>
      <c r="J6018">
        <v>6451</v>
      </c>
      <c r="K6018" t="s">
        <v>23</v>
      </c>
    </row>
    <row r="6019" spans="1:11">
      <c r="A6019" s="1">
        <v>45960</v>
      </c>
      <c r="B6019" t="s">
        <v>40</v>
      </c>
      <c r="C6019" t="s">
        <v>69</v>
      </c>
      <c r="D6019">
        <v>17543</v>
      </c>
      <c r="E6019">
        <v>4836</v>
      </c>
      <c r="F6019">
        <v>1922</v>
      </c>
      <c r="G6019">
        <v>1037</v>
      </c>
      <c r="H6019">
        <v>25338</v>
      </c>
      <c r="I6019" s="1">
        <v>45931</v>
      </c>
      <c r="J6019">
        <v>2959</v>
      </c>
      <c r="K6019" t="s">
        <v>23</v>
      </c>
    </row>
    <row r="6020" spans="1:11">
      <c r="A6020" s="1">
        <v>45960</v>
      </c>
      <c r="B6020" t="s">
        <v>40</v>
      </c>
      <c r="C6020" t="s">
        <v>29</v>
      </c>
      <c r="D6020">
        <v>3340</v>
      </c>
      <c r="E6020">
        <v>1094</v>
      </c>
      <c r="F6020">
        <v>634</v>
      </c>
      <c r="G6020">
        <v>522</v>
      </c>
      <c r="H6020">
        <v>5590</v>
      </c>
      <c r="I6020" s="1">
        <v>45931</v>
      </c>
      <c r="J6020">
        <v>1156</v>
      </c>
      <c r="K6020" t="s">
        <v>23</v>
      </c>
    </row>
    <row r="6021" spans="1:11">
      <c r="A6021" s="1">
        <v>45960</v>
      </c>
      <c r="B6021" t="s">
        <v>40</v>
      </c>
      <c r="C6021" t="s">
        <v>70</v>
      </c>
      <c r="D6021">
        <v>3299</v>
      </c>
      <c r="E6021">
        <v>1085</v>
      </c>
      <c r="F6021">
        <v>777</v>
      </c>
      <c r="G6021">
        <v>443</v>
      </c>
      <c r="H6021">
        <v>5605</v>
      </c>
      <c r="I6021" s="1">
        <v>45931</v>
      </c>
      <c r="J6021">
        <v>1220</v>
      </c>
      <c r="K6021" t="s">
        <v>23</v>
      </c>
    </row>
    <row r="6022" spans="1:11">
      <c r="A6022" s="1">
        <v>45960</v>
      </c>
      <c r="B6022" t="s">
        <v>40</v>
      </c>
      <c r="C6022" t="s">
        <v>71</v>
      </c>
      <c r="D6022">
        <v>19943</v>
      </c>
      <c r="E6022">
        <v>7156</v>
      </c>
      <c r="F6022">
        <v>4114</v>
      </c>
      <c r="G6022">
        <v>2743</v>
      </c>
      <c r="H6022">
        <v>33956</v>
      </c>
      <c r="I6022" s="1">
        <v>45931</v>
      </c>
      <c r="J6022">
        <v>6857</v>
      </c>
      <c r="K6022" t="s">
        <v>23</v>
      </c>
    </row>
    <row r="6023" spans="1:11">
      <c r="A6023" s="1">
        <v>45960</v>
      </c>
      <c r="B6023" t="s">
        <v>40</v>
      </c>
      <c r="C6023" t="s">
        <v>36</v>
      </c>
      <c r="D6023">
        <v>13670</v>
      </c>
      <c r="E6023">
        <v>7531</v>
      </c>
      <c r="F6023">
        <v>2692</v>
      </c>
      <c r="G6023">
        <v>1063</v>
      </c>
      <c r="H6023">
        <v>24956</v>
      </c>
      <c r="I6023" s="1">
        <v>45931</v>
      </c>
      <c r="J6023">
        <v>3755</v>
      </c>
      <c r="K6023" t="s">
        <v>23</v>
      </c>
    </row>
    <row r="6024" spans="1:11">
      <c r="A6024" s="1">
        <v>45960</v>
      </c>
      <c r="B6024" t="s">
        <v>40</v>
      </c>
      <c r="C6024" t="s">
        <v>32</v>
      </c>
      <c r="D6024">
        <v>2518</v>
      </c>
      <c r="E6024">
        <v>919</v>
      </c>
      <c r="F6024">
        <v>455</v>
      </c>
      <c r="G6024">
        <v>142</v>
      </c>
      <c r="H6024">
        <v>4034</v>
      </c>
      <c r="I6024" s="1">
        <v>45931</v>
      </c>
      <c r="J6024">
        <v>597</v>
      </c>
      <c r="K6024" t="s">
        <v>23</v>
      </c>
    </row>
    <row r="6025" spans="1:11">
      <c r="A6025" s="1">
        <v>45960</v>
      </c>
      <c r="B6025" t="s">
        <v>40</v>
      </c>
      <c r="C6025" t="s">
        <v>44</v>
      </c>
      <c r="D6025">
        <v>7322</v>
      </c>
      <c r="E6025">
        <v>2576</v>
      </c>
      <c r="F6025">
        <v>987</v>
      </c>
      <c r="G6025">
        <v>259</v>
      </c>
      <c r="H6025">
        <v>11145</v>
      </c>
      <c r="I6025" s="1">
        <v>45931</v>
      </c>
      <c r="J6025">
        <v>1246</v>
      </c>
      <c r="K6025" t="s">
        <v>23</v>
      </c>
    </row>
    <row r="6026" spans="1:11">
      <c r="A6026" s="1">
        <v>45960</v>
      </c>
      <c r="B6026" t="s">
        <v>40</v>
      </c>
      <c r="C6026" t="s">
        <v>59</v>
      </c>
      <c r="D6026">
        <v>16748</v>
      </c>
      <c r="E6026">
        <v>4917</v>
      </c>
      <c r="F6026">
        <v>2067</v>
      </c>
      <c r="G6026">
        <v>825</v>
      </c>
      <c r="H6026">
        <v>24557</v>
      </c>
      <c r="I6026" s="1">
        <v>45931</v>
      </c>
      <c r="J6026">
        <v>2892</v>
      </c>
      <c r="K6026" t="s">
        <v>23</v>
      </c>
    </row>
    <row r="6027" spans="1:11">
      <c r="A6027" s="1">
        <v>45960</v>
      </c>
      <c r="B6027" t="s">
        <v>40</v>
      </c>
      <c r="C6027" t="s">
        <v>67</v>
      </c>
      <c r="D6027">
        <v>22333</v>
      </c>
      <c r="E6027">
        <v>11178</v>
      </c>
      <c r="F6027">
        <v>5457</v>
      </c>
      <c r="G6027">
        <v>4771</v>
      </c>
      <c r="H6027">
        <v>43738</v>
      </c>
      <c r="I6027" s="1">
        <v>45931</v>
      </c>
      <c r="J6027">
        <v>10228</v>
      </c>
      <c r="K6027" t="s">
        <v>23</v>
      </c>
    </row>
    <row r="6028" spans="1:11">
      <c r="A6028" s="1">
        <v>45988</v>
      </c>
      <c r="B6028" t="s">
        <v>40</v>
      </c>
      <c r="C6028" t="s">
        <v>48</v>
      </c>
      <c r="D6028">
        <v>28561</v>
      </c>
      <c r="E6028">
        <v>14487</v>
      </c>
      <c r="F6028">
        <v>5028</v>
      </c>
      <c r="G6028">
        <v>1691</v>
      </c>
      <c r="H6028">
        <v>49767</v>
      </c>
      <c r="I6028" s="1">
        <v>45962</v>
      </c>
      <c r="J6028">
        <v>6719</v>
      </c>
      <c r="K6028" t="s">
        <v>23</v>
      </c>
    </row>
    <row r="6029" spans="1:11">
      <c r="A6029" s="1">
        <v>45988</v>
      </c>
      <c r="B6029" t="s">
        <v>40</v>
      </c>
      <c r="C6029" t="s">
        <v>55</v>
      </c>
      <c r="D6029">
        <v>6202</v>
      </c>
      <c r="E6029">
        <v>1305</v>
      </c>
      <c r="F6029">
        <v>642</v>
      </c>
      <c r="G6029">
        <v>469</v>
      </c>
      <c r="H6029">
        <v>8618</v>
      </c>
      <c r="I6029" s="1">
        <v>45962</v>
      </c>
      <c r="J6029">
        <v>1111</v>
      </c>
      <c r="K6029" t="s">
        <v>23</v>
      </c>
    </row>
    <row r="6030" spans="1:11">
      <c r="A6030" s="1">
        <v>45988</v>
      </c>
      <c r="B6030" t="s">
        <v>40</v>
      </c>
      <c r="C6030" t="s">
        <v>33</v>
      </c>
      <c r="D6030">
        <v>2584</v>
      </c>
      <c r="E6030">
        <v>1180</v>
      </c>
      <c r="F6030">
        <v>275</v>
      </c>
      <c r="G6030">
        <v>3</v>
      </c>
      <c r="H6030">
        <v>4041</v>
      </c>
      <c r="I6030" s="1">
        <v>45962</v>
      </c>
      <c r="J6030">
        <v>278</v>
      </c>
      <c r="K6030" t="s">
        <v>23</v>
      </c>
    </row>
    <row r="6031" spans="1:11">
      <c r="A6031" s="1">
        <v>45988</v>
      </c>
      <c r="B6031" t="s">
        <v>40</v>
      </c>
      <c r="C6031" t="s">
        <v>65</v>
      </c>
      <c r="D6031">
        <v>14117</v>
      </c>
      <c r="E6031">
        <v>4465</v>
      </c>
      <c r="F6031">
        <v>1499</v>
      </c>
      <c r="G6031">
        <v>251</v>
      </c>
      <c r="H6031">
        <v>20331</v>
      </c>
      <c r="I6031" s="1">
        <v>45962</v>
      </c>
      <c r="J6031">
        <v>1750</v>
      </c>
      <c r="K6031" t="s">
        <v>23</v>
      </c>
    </row>
    <row r="6032" spans="1:11">
      <c r="A6032" s="1">
        <v>45988</v>
      </c>
      <c r="B6032" t="s">
        <v>40</v>
      </c>
      <c r="C6032" t="s">
        <v>27</v>
      </c>
      <c r="D6032">
        <v>3512</v>
      </c>
      <c r="E6032">
        <v>1983</v>
      </c>
      <c r="F6032">
        <v>936</v>
      </c>
      <c r="G6032">
        <v>440</v>
      </c>
      <c r="H6032">
        <v>6871</v>
      </c>
      <c r="I6032" s="1">
        <v>45962</v>
      </c>
      <c r="J6032">
        <v>1376</v>
      </c>
      <c r="K6032" t="s">
        <v>23</v>
      </c>
    </row>
    <row r="6033" spans="1:11">
      <c r="A6033" s="1">
        <v>45988</v>
      </c>
      <c r="B6033" t="s">
        <v>40</v>
      </c>
      <c r="C6033" t="s">
        <v>37</v>
      </c>
      <c r="D6033">
        <v>462</v>
      </c>
      <c r="E6033">
        <v>302</v>
      </c>
      <c r="F6033">
        <v>251</v>
      </c>
      <c r="G6033">
        <v>250</v>
      </c>
      <c r="H6033">
        <v>1265</v>
      </c>
      <c r="I6033" s="1">
        <v>45962</v>
      </c>
      <c r="J6033">
        <v>501</v>
      </c>
      <c r="K6033" t="s">
        <v>23</v>
      </c>
    </row>
    <row r="6034" spans="1:11">
      <c r="A6034" s="1">
        <v>45988</v>
      </c>
      <c r="B6034" t="s">
        <v>40</v>
      </c>
      <c r="C6034" t="s">
        <v>66</v>
      </c>
      <c r="D6034">
        <v>26017</v>
      </c>
      <c r="E6034">
        <v>9275</v>
      </c>
      <c r="F6034">
        <v>4019</v>
      </c>
      <c r="G6034">
        <v>5722</v>
      </c>
      <c r="H6034">
        <v>45033</v>
      </c>
      <c r="I6034" s="1">
        <v>45962</v>
      </c>
      <c r="J6034">
        <v>9741</v>
      </c>
      <c r="K6034" t="s">
        <v>23</v>
      </c>
    </row>
    <row r="6035" spans="1:11">
      <c r="A6035" s="1">
        <v>45988</v>
      </c>
      <c r="B6035" t="s">
        <v>40</v>
      </c>
      <c r="C6035" t="s">
        <v>57</v>
      </c>
      <c r="D6035">
        <v>9442</v>
      </c>
      <c r="E6035">
        <v>2906</v>
      </c>
      <c r="F6035">
        <v>1139</v>
      </c>
      <c r="G6035">
        <v>496</v>
      </c>
      <c r="H6035">
        <v>13982</v>
      </c>
      <c r="I6035" s="1">
        <v>45962</v>
      </c>
      <c r="J6035">
        <v>1635</v>
      </c>
      <c r="K6035" t="s">
        <v>23</v>
      </c>
    </row>
    <row r="6036" spans="1:11">
      <c r="A6036" s="1">
        <v>45988</v>
      </c>
      <c r="B6036" t="s">
        <v>40</v>
      </c>
      <c r="C6036" t="s">
        <v>28</v>
      </c>
      <c r="D6036">
        <v>2175</v>
      </c>
      <c r="E6036">
        <v>1117</v>
      </c>
      <c r="F6036">
        <v>560</v>
      </c>
      <c r="G6036">
        <v>319</v>
      </c>
      <c r="H6036">
        <v>4172</v>
      </c>
      <c r="I6036" s="1">
        <v>45962</v>
      </c>
      <c r="J6036">
        <v>879</v>
      </c>
      <c r="K6036" t="s">
        <v>23</v>
      </c>
    </row>
    <row r="6037" spans="1:11">
      <c r="A6037" s="1">
        <v>45988</v>
      </c>
      <c r="B6037" t="s">
        <v>40</v>
      </c>
      <c r="C6037" t="s">
        <v>68</v>
      </c>
      <c r="D6037">
        <v>25781</v>
      </c>
      <c r="E6037">
        <v>9163</v>
      </c>
      <c r="F6037">
        <v>3413</v>
      </c>
      <c r="G6037">
        <v>3111</v>
      </c>
      <c r="H6037">
        <v>41468</v>
      </c>
      <c r="I6037" s="1">
        <v>45962</v>
      </c>
      <c r="J6037">
        <v>6524</v>
      </c>
      <c r="K6037" t="s">
        <v>23</v>
      </c>
    </row>
    <row r="6038" spans="1:11">
      <c r="A6038" s="1">
        <v>45988</v>
      </c>
      <c r="B6038" t="s">
        <v>40</v>
      </c>
      <c r="C6038" t="s">
        <v>47</v>
      </c>
      <c r="D6038">
        <v>4506</v>
      </c>
      <c r="E6038">
        <v>1473</v>
      </c>
      <c r="F6038">
        <v>341</v>
      </c>
      <c r="G6038">
        <v>250</v>
      </c>
      <c r="H6038">
        <v>6569</v>
      </c>
      <c r="I6038" s="1">
        <v>45962</v>
      </c>
      <c r="J6038">
        <v>591</v>
      </c>
      <c r="K6038" t="s">
        <v>23</v>
      </c>
    </row>
    <row r="6039" spans="1:11">
      <c r="A6039" s="1">
        <v>45988</v>
      </c>
      <c r="B6039" t="s">
        <v>40</v>
      </c>
      <c r="C6039" t="s">
        <v>25</v>
      </c>
      <c r="D6039">
        <v>3541</v>
      </c>
      <c r="E6039">
        <v>1388</v>
      </c>
      <c r="F6039">
        <v>377</v>
      </c>
      <c r="G6039">
        <v>102</v>
      </c>
      <c r="H6039">
        <v>5407</v>
      </c>
      <c r="I6039" s="1">
        <v>45962</v>
      </c>
      <c r="J6039">
        <v>479</v>
      </c>
      <c r="K6039" t="s">
        <v>23</v>
      </c>
    </row>
    <row r="6040" spans="1:11">
      <c r="A6040" s="1">
        <v>45988</v>
      </c>
      <c r="B6040" t="s">
        <v>40</v>
      </c>
      <c r="C6040" t="s">
        <v>51</v>
      </c>
      <c r="D6040">
        <v>4969</v>
      </c>
      <c r="E6040">
        <v>1585</v>
      </c>
      <c r="F6040">
        <v>741</v>
      </c>
      <c r="G6040">
        <v>977</v>
      </c>
      <c r="H6040">
        <v>8272</v>
      </c>
      <c r="I6040" s="1">
        <v>45962</v>
      </c>
      <c r="J6040">
        <v>1718</v>
      </c>
      <c r="K6040" t="s">
        <v>23</v>
      </c>
    </row>
    <row r="6041" spans="1:11">
      <c r="A6041" s="1">
        <v>45988</v>
      </c>
      <c r="B6041" t="s">
        <v>40</v>
      </c>
      <c r="C6041" t="s">
        <v>45</v>
      </c>
      <c r="D6041">
        <v>2965</v>
      </c>
      <c r="E6041">
        <v>636</v>
      </c>
      <c r="F6041">
        <v>247</v>
      </c>
      <c r="G6041">
        <v>136</v>
      </c>
      <c r="H6041">
        <v>3984</v>
      </c>
      <c r="I6041" s="1">
        <v>45962</v>
      </c>
      <c r="J6041">
        <v>383</v>
      </c>
      <c r="K6041" t="s">
        <v>23</v>
      </c>
    </row>
    <row r="6042" spans="1:11">
      <c r="A6042" s="1">
        <v>45988</v>
      </c>
      <c r="B6042" t="s">
        <v>40</v>
      </c>
      <c r="C6042" t="s">
        <v>43</v>
      </c>
      <c r="D6042">
        <v>11684</v>
      </c>
      <c r="E6042">
        <v>4180</v>
      </c>
      <c r="F6042">
        <v>632</v>
      </c>
      <c r="G6042">
        <v>4</v>
      </c>
      <c r="H6042">
        <v>16499</v>
      </c>
      <c r="I6042" s="1">
        <v>45962</v>
      </c>
      <c r="J6042">
        <v>636</v>
      </c>
      <c r="K6042" t="s">
        <v>23</v>
      </c>
    </row>
    <row r="6043" spans="1:11">
      <c r="A6043" s="1">
        <v>45988</v>
      </c>
      <c r="B6043" t="s">
        <v>40</v>
      </c>
      <c r="C6043" t="s">
        <v>39</v>
      </c>
      <c r="D6043">
        <v>6891</v>
      </c>
      <c r="E6043">
        <v>2977</v>
      </c>
      <c r="F6043">
        <v>1524</v>
      </c>
      <c r="G6043">
        <v>564</v>
      </c>
      <c r="H6043">
        <v>11956</v>
      </c>
      <c r="I6043" s="1">
        <v>45962</v>
      </c>
      <c r="J6043">
        <v>2088</v>
      </c>
      <c r="K6043" t="s">
        <v>23</v>
      </c>
    </row>
    <row r="6044" spans="1:11">
      <c r="A6044" s="1">
        <v>45988</v>
      </c>
      <c r="B6044" t="s">
        <v>40</v>
      </c>
      <c r="C6044" t="s">
        <v>54</v>
      </c>
      <c r="D6044">
        <v>1376</v>
      </c>
      <c r="E6044">
        <v>609</v>
      </c>
      <c r="F6044">
        <v>587</v>
      </c>
      <c r="G6044">
        <v>373</v>
      </c>
      <c r="H6044">
        <v>2945</v>
      </c>
      <c r="I6044" s="1">
        <v>45962</v>
      </c>
      <c r="J6044">
        <v>960</v>
      </c>
      <c r="K6044" t="s">
        <v>23</v>
      </c>
    </row>
    <row r="6045" spans="1:11">
      <c r="A6045" s="1">
        <v>45988</v>
      </c>
      <c r="B6045" t="s">
        <v>40</v>
      </c>
      <c r="C6045" t="s">
        <v>35</v>
      </c>
      <c r="D6045">
        <v>362</v>
      </c>
      <c r="E6045">
        <v>295</v>
      </c>
      <c r="F6045">
        <v>202</v>
      </c>
      <c r="G6045">
        <v>270</v>
      </c>
      <c r="H6045">
        <v>1129</v>
      </c>
      <c r="I6045" s="1">
        <v>45962</v>
      </c>
      <c r="J6045">
        <v>472</v>
      </c>
      <c r="K6045" t="s">
        <v>23</v>
      </c>
    </row>
    <row r="6046" spans="1:11">
      <c r="A6046" s="1">
        <v>45988</v>
      </c>
      <c r="B6046" t="s">
        <v>40</v>
      </c>
      <c r="C6046" t="s">
        <v>52</v>
      </c>
      <c r="D6046">
        <v>10025</v>
      </c>
      <c r="E6046">
        <v>4575</v>
      </c>
      <c r="F6046">
        <v>2134</v>
      </c>
      <c r="G6046">
        <v>679</v>
      </c>
      <c r="H6046">
        <v>17413</v>
      </c>
      <c r="I6046" s="1">
        <v>45962</v>
      </c>
      <c r="J6046">
        <v>2813</v>
      </c>
      <c r="K6046" t="s">
        <v>23</v>
      </c>
    </row>
    <row r="6047" spans="1:11">
      <c r="A6047" s="1">
        <v>45988</v>
      </c>
      <c r="B6047" t="s">
        <v>40</v>
      </c>
      <c r="C6047" t="s">
        <v>22</v>
      </c>
      <c r="D6047">
        <v>4343</v>
      </c>
      <c r="E6047">
        <v>1782</v>
      </c>
      <c r="F6047">
        <v>454</v>
      </c>
      <c r="G6047">
        <v>128</v>
      </c>
      <c r="H6047">
        <v>6706</v>
      </c>
      <c r="I6047" s="1">
        <v>45962</v>
      </c>
      <c r="J6047">
        <v>582</v>
      </c>
      <c r="K6047" t="s">
        <v>23</v>
      </c>
    </row>
    <row r="6048" spans="1:11">
      <c r="A6048" s="1">
        <v>45988</v>
      </c>
      <c r="B6048" t="s">
        <v>40</v>
      </c>
      <c r="C6048" t="s">
        <v>31</v>
      </c>
      <c r="D6048">
        <v>3227</v>
      </c>
      <c r="E6048">
        <v>868</v>
      </c>
      <c r="F6048">
        <v>60</v>
      </c>
      <c r="G6048">
        <v>8</v>
      </c>
      <c r="H6048">
        <v>4162</v>
      </c>
      <c r="I6048" s="1">
        <v>45962</v>
      </c>
      <c r="J6048">
        <v>68</v>
      </c>
      <c r="K6048" t="s">
        <v>23</v>
      </c>
    </row>
    <row r="6049" spans="1:11">
      <c r="A6049" s="1">
        <v>45988</v>
      </c>
      <c r="B6049" t="s">
        <v>40</v>
      </c>
      <c r="C6049" t="s">
        <v>63</v>
      </c>
      <c r="D6049">
        <v>7104</v>
      </c>
      <c r="E6049">
        <v>3534</v>
      </c>
      <c r="F6049">
        <v>1967</v>
      </c>
      <c r="G6049">
        <v>945</v>
      </c>
      <c r="H6049">
        <v>13550</v>
      </c>
      <c r="I6049" s="1">
        <v>45962</v>
      </c>
      <c r="J6049">
        <v>2912</v>
      </c>
      <c r="K6049" t="s">
        <v>23</v>
      </c>
    </row>
    <row r="6050" spans="1:11">
      <c r="A6050" s="1">
        <v>45988</v>
      </c>
      <c r="B6050" t="s">
        <v>40</v>
      </c>
      <c r="C6050" t="s">
        <v>60</v>
      </c>
      <c r="D6050">
        <v>8414</v>
      </c>
      <c r="E6050">
        <v>2460</v>
      </c>
      <c r="F6050">
        <v>1034</v>
      </c>
      <c r="G6050">
        <v>1304</v>
      </c>
      <c r="H6050">
        <v>13212</v>
      </c>
      <c r="I6050" s="1">
        <v>45962</v>
      </c>
      <c r="J6050">
        <v>2338</v>
      </c>
      <c r="K6050" t="s">
        <v>23</v>
      </c>
    </row>
    <row r="6051" spans="1:11">
      <c r="A6051" s="1">
        <v>45988</v>
      </c>
      <c r="B6051" t="s">
        <v>40</v>
      </c>
      <c r="C6051" t="s">
        <v>61</v>
      </c>
      <c r="D6051">
        <v>14770</v>
      </c>
      <c r="E6051">
        <v>6597</v>
      </c>
      <c r="F6051">
        <v>3979</v>
      </c>
      <c r="G6051">
        <v>4546</v>
      </c>
      <c r="H6051">
        <v>29892</v>
      </c>
      <c r="I6051" s="1">
        <v>45962</v>
      </c>
      <c r="J6051">
        <v>8525</v>
      </c>
      <c r="K6051" t="s">
        <v>23</v>
      </c>
    </row>
    <row r="6052" spans="1:11">
      <c r="A6052" s="1">
        <v>45988</v>
      </c>
      <c r="B6052" t="s">
        <v>40</v>
      </c>
      <c r="C6052" t="s">
        <v>62</v>
      </c>
      <c r="D6052">
        <v>2233</v>
      </c>
      <c r="E6052">
        <v>1259</v>
      </c>
      <c r="F6052">
        <v>1157</v>
      </c>
      <c r="G6052">
        <v>5399</v>
      </c>
      <c r="H6052">
        <v>10048</v>
      </c>
      <c r="I6052" s="1">
        <v>45962</v>
      </c>
      <c r="J6052">
        <v>6556</v>
      </c>
      <c r="K6052" t="s">
        <v>23</v>
      </c>
    </row>
    <row r="6053" spans="1:11">
      <c r="A6053" s="1">
        <v>45988</v>
      </c>
      <c r="B6053" t="s">
        <v>40</v>
      </c>
      <c r="C6053" t="s">
        <v>69</v>
      </c>
      <c r="D6053">
        <v>17097</v>
      </c>
      <c r="E6053">
        <v>4922</v>
      </c>
      <c r="F6053">
        <v>1879</v>
      </c>
      <c r="G6053">
        <v>1031</v>
      </c>
      <c r="H6053">
        <v>24929</v>
      </c>
      <c r="I6053" s="1">
        <v>45962</v>
      </c>
      <c r="J6053">
        <v>2910</v>
      </c>
      <c r="K6053" t="s">
        <v>23</v>
      </c>
    </row>
    <row r="6054" spans="1:11">
      <c r="A6054" s="1">
        <v>45988</v>
      </c>
      <c r="B6054" t="s">
        <v>40</v>
      </c>
      <c r="C6054" t="s">
        <v>29</v>
      </c>
      <c r="D6054">
        <v>3510</v>
      </c>
      <c r="E6054">
        <v>1071</v>
      </c>
      <c r="F6054">
        <v>707</v>
      </c>
      <c r="G6054">
        <v>537</v>
      </c>
      <c r="H6054">
        <v>5824</v>
      </c>
      <c r="I6054" s="1">
        <v>45962</v>
      </c>
      <c r="J6054">
        <v>1244</v>
      </c>
      <c r="K6054" t="s">
        <v>23</v>
      </c>
    </row>
    <row r="6055" spans="1:11">
      <c r="A6055" s="1">
        <v>45988</v>
      </c>
      <c r="B6055" t="s">
        <v>40</v>
      </c>
      <c r="C6055" t="s">
        <v>70</v>
      </c>
      <c r="D6055">
        <v>3295</v>
      </c>
      <c r="E6055">
        <v>1153</v>
      </c>
      <c r="F6055">
        <v>683</v>
      </c>
      <c r="G6055">
        <v>327</v>
      </c>
      <c r="H6055">
        <v>5458</v>
      </c>
      <c r="I6055" s="1">
        <v>45962</v>
      </c>
      <c r="J6055">
        <v>1010</v>
      </c>
      <c r="K6055" t="s">
        <v>23</v>
      </c>
    </row>
    <row r="6056" spans="1:11">
      <c r="A6056" s="1">
        <v>45988</v>
      </c>
      <c r="B6056" t="s">
        <v>40</v>
      </c>
      <c r="C6056" t="s">
        <v>71</v>
      </c>
      <c r="D6056">
        <v>19884</v>
      </c>
      <c r="E6056">
        <v>7212</v>
      </c>
      <c r="F6056">
        <v>3963</v>
      </c>
      <c r="G6056">
        <v>2816</v>
      </c>
      <c r="H6056">
        <v>33874</v>
      </c>
      <c r="I6056" s="1">
        <v>45962</v>
      </c>
      <c r="J6056">
        <v>6779</v>
      </c>
      <c r="K6056" t="s">
        <v>23</v>
      </c>
    </row>
    <row r="6057" spans="1:11">
      <c r="A6057" s="1">
        <v>45988</v>
      </c>
      <c r="B6057" t="s">
        <v>40</v>
      </c>
      <c r="C6057" t="s">
        <v>36</v>
      </c>
      <c r="D6057">
        <v>13639</v>
      </c>
      <c r="E6057">
        <v>7376</v>
      </c>
      <c r="F6057">
        <v>2607</v>
      </c>
      <c r="G6057">
        <v>885</v>
      </c>
      <c r="H6057">
        <v>24507</v>
      </c>
      <c r="I6057" s="1">
        <v>45962</v>
      </c>
      <c r="J6057">
        <v>3492</v>
      </c>
      <c r="K6057" t="s">
        <v>23</v>
      </c>
    </row>
    <row r="6058" spans="1:11">
      <c r="A6058" s="1">
        <v>45988</v>
      </c>
      <c r="B6058" t="s">
        <v>40</v>
      </c>
      <c r="C6058" t="s">
        <v>32</v>
      </c>
      <c r="D6058">
        <v>2569</v>
      </c>
      <c r="E6058">
        <v>924</v>
      </c>
      <c r="F6058">
        <v>328</v>
      </c>
      <c r="G6058">
        <v>161</v>
      </c>
      <c r="H6058">
        <v>3982</v>
      </c>
      <c r="I6058" s="1">
        <v>45962</v>
      </c>
      <c r="J6058">
        <v>489</v>
      </c>
      <c r="K6058" t="s">
        <v>23</v>
      </c>
    </row>
    <row r="6059" spans="1:11">
      <c r="A6059" s="1">
        <v>45988</v>
      </c>
      <c r="B6059" t="s">
        <v>40</v>
      </c>
      <c r="C6059" t="s">
        <v>44</v>
      </c>
      <c r="D6059">
        <v>7274</v>
      </c>
      <c r="E6059">
        <v>2630</v>
      </c>
      <c r="F6059">
        <v>918</v>
      </c>
      <c r="G6059">
        <v>316</v>
      </c>
      <c r="H6059">
        <v>11138</v>
      </c>
      <c r="I6059" s="1">
        <v>45962</v>
      </c>
      <c r="J6059">
        <v>1234</v>
      </c>
      <c r="K6059" t="s">
        <v>23</v>
      </c>
    </row>
    <row r="6060" spans="1:11">
      <c r="A6060" s="1">
        <v>45988</v>
      </c>
      <c r="B6060" t="s">
        <v>40</v>
      </c>
      <c r="C6060" t="s">
        <v>59</v>
      </c>
      <c r="D6060">
        <v>17296</v>
      </c>
      <c r="E6060">
        <v>5220</v>
      </c>
      <c r="F6060">
        <v>2020</v>
      </c>
      <c r="G6060">
        <v>786</v>
      </c>
      <c r="H6060">
        <v>25322</v>
      </c>
      <c r="I6060" s="1">
        <v>45962</v>
      </c>
      <c r="J6060">
        <v>2806</v>
      </c>
      <c r="K6060" t="s">
        <v>23</v>
      </c>
    </row>
    <row r="6061" spans="1:11">
      <c r="A6061" s="1">
        <v>45988</v>
      </c>
      <c r="B6061" t="s">
        <v>40</v>
      </c>
      <c r="C6061" t="s">
        <v>67</v>
      </c>
      <c r="D6061">
        <v>22180</v>
      </c>
      <c r="E6061">
        <v>10853</v>
      </c>
      <c r="F6061">
        <v>5405</v>
      </c>
      <c r="G6061">
        <v>4572</v>
      </c>
      <c r="H6061">
        <v>43010</v>
      </c>
      <c r="I6061" s="1">
        <v>45962</v>
      </c>
      <c r="J6061">
        <v>9977</v>
      </c>
      <c r="K6061" t="s">
        <v>23</v>
      </c>
    </row>
    <row r="6062" spans="1:11">
      <c r="A6062" s="1">
        <v>46009</v>
      </c>
      <c r="B6062" t="s">
        <v>40</v>
      </c>
      <c r="C6062" t="s">
        <v>48</v>
      </c>
      <c r="D6062">
        <v>28102</v>
      </c>
      <c r="E6062">
        <v>12728</v>
      </c>
      <c r="F6062">
        <v>4011</v>
      </c>
      <c r="G6062">
        <v>1574</v>
      </c>
      <c r="H6062">
        <v>46414</v>
      </c>
      <c r="I6062" s="1">
        <v>45992</v>
      </c>
      <c r="J6062">
        <v>5585</v>
      </c>
      <c r="K6062" t="s">
        <v>23</v>
      </c>
    </row>
    <row r="6063" spans="1:11">
      <c r="A6063" s="1">
        <v>46009</v>
      </c>
      <c r="B6063" t="s">
        <v>40</v>
      </c>
      <c r="C6063" t="s">
        <v>55</v>
      </c>
      <c r="D6063">
        <v>6251</v>
      </c>
      <c r="E6063">
        <v>1480</v>
      </c>
      <c r="F6063">
        <v>423</v>
      </c>
      <c r="G6063">
        <v>107</v>
      </c>
      <c r="H6063">
        <v>8260</v>
      </c>
      <c r="I6063" s="1">
        <v>45992</v>
      </c>
      <c r="J6063">
        <v>530</v>
      </c>
      <c r="K6063" t="s">
        <v>23</v>
      </c>
    </row>
    <row r="6064" spans="1:11">
      <c r="A6064" s="1">
        <v>46009</v>
      </c>
      <c r="B6064" t="s">
        <v>40</v>
      </c>
      <c r="C6064" t="s">
        <v>33</v>
      </c>
      <c r="D6064">
        <v>2415</v>
      </c>
      <c r="E6064">
        <v>987</v>
      </c>
      <c r="F6064">
        <v>227</v>
      </c>
      <c r="G6064">
        <v>3</v>
      </c>
      <c r="H6064">
        <v>3631</v>
      </c>
      <c r="I6064" s="1">
        <v>45992</v>
      </c>
      <c r="J6064">
        <v>230</v>
      </c>
      <c r="K6064" t="s">
        <v>23</v>
      </c>
    </row>
    <row r="6065" spans="1:11">
      <c r="A6065" s="1">
        <v>46009</v>
      </c>
      <c r="B6065" t="s">
        <v>40</v>
      </c>
      <c r="C6065" t="s">
        <v>65</v>
      </c>
      <c r="D6065">
        <v>14004</v>
      </c>
      <c r="E6065">
        <v>4498</v>
      </c>
      <c r="F6065">
        <v>1089</v>
      </c>
      <c r="G6065">
        <v>116</v>
      </c>
      <c r="H6065">
        <v>19707</v>
      </c>
      <c r="I6065" s="1">
        <v>45992</v>
      </c>
      <c r="J6065">
        <v>1205</v>
      </c>
      <c r="K6065" t="s">
        <v>23</v>
      </c>
    </row>
    <row r="6066" spans="1:11">
      <c r="A6066" s="1">
        <v>46009</v>
      </c>
      <c r="B6066" t="s">
        <v>40</v>
      </c>
      <c r="C6066" t="s">
        <v>27</v>
      </c>
      <c r="D6066">
        <v>3403</v>
      </c>
      <c r="E6066">
        <v>1849</v>
      </c>
      <c r="F6066">
        <v>782</v>
      </c>
      <c r="G6066">
        <v>376</v>
      </c>
      <c r="H6066">
        <v>6410</v>
      </c>
      <c r="I6066" s="1">
        <v>45992</v>
      </c>
      <c r="J6066">
        <v>1158</v>
      </c>
      <c r="K6066" t="s">
        <v>23</v>
      </c>
    </row>
    <row r="6067" spans="1:11">
      <c r="A6067" s="1">
        <v>46009</v>
      </c>
      <c r="B6067" t="s">
        <v>40</v>
      </c>
      <c r="C6067" t="s">
        <v>37</v>
      </c>
      <c r="D6067">
        <v>435</v>
      </c>
      <c r="E6067">
        <v>330</v>
      </c>
      <c r="F6067">
        <v>255</v>
      </c>
      <c r="G6067">
        <v>256</v>
      </c>
      <c r="H6067">
        <v>1276</v>
      </c>
      <c r="I6067" s="1">
        <v>45992</v>
      </c>
      <c r="J6067">
        <v>511</v>
      </c>
      <c r="K6067" t="s">
        <v>23</v>
      </c>
    </row>
    <row r="6068" spans="1:11">
      <c r="A6068" s="1">
        <v>46009</v>
      </c>
      <c r="B6068" t="s">
        <v>40</v>
      </c>
      <c r="C6068" t="s">
        <v>66</v>
      </c>
      <c r="D6068">
        <v>25341</v>
      </c>
      <c r="E6068">
        <v>8880</v>
      </c>
      <c r="F6068">
        <v>3830</v>
      </c>
      <c r="G6068">
        <v>5659</v>
      </c>
      <c r="H6068">
        <v>43711</v>
      </c>
      <c r="I6068" s="1">
        <v>45992</v>
      </c>
      <c r="J6068">
        <v>9489</v>
      </c>
      <c r="K6068" t="s">
        <v>23</v>
      </c>
    </row>
    <row r="6069" spans="1:11">
      <c r="A6069" s="1">
        <v>46009</v>
      </c>
      <c r="B6069" t="s">
        <v>40</v>
      </c>
      <c r="C6069" t="s">
        <v>57</v>
      </c>
      <c r="D6069">
        <v>8869</v>
      </c>
      <c r="E6069">
        <v>2788</v>
      </c>
      <c r="F6069">
        <v>1017</v>
      </c>
      <c r="G6069">
        <v>503</v>
      </c>
      <c r="H6069">
        <v>13177</v>
      </c>
      <c r="I6069" s="1">
        <v>45992</v>
      </c>
      <c r="J6069">
        <v>1520</v>
      </c>
      <c r="K6069" t="s">
        <v>23</v>
      </c>
    </row>
    <row r="6070" spans="1:11">
      <c r="A6070" s="1">
        <v>46009</v>
      </c>
      <c r="B6070" t="s">
        <v>40</v>
      </c>
      <c r="C6070" t="s">
        <v>28</v>
      </c>
      <c r="D6070">
        <v>2098</v>
      </c>
      <c r="E6070">
        <v>990</v>
      </c>
      <c r="F6070">
        <v>522</v>
      </c>
      <c r="G6070">
        <v>198</v>
      </c>
      <c r="H6070">
        <v>3808</v>
      </c>
      <c r="I6070" s="1">
        <v>45992</v>
      </c>
      <c r="J6070">
        <v>720</v>
      </c>
      <c r="K6070" t="s">
        <v>23</v>
      </c>
    </row>
    <row r="6071" spans="1:11">
      <c r="A6071" s="1">
        <v>46009</v>
      </c>
      <c r="B6071" t="s">
        <v>40</v>
      </c>
      <c r="C6071" t="s">
        <v>68</v>
      </c>
      <c r="D6071">
        <v>25550</v>
      </c>
      <c r="E6071">
        <v>9331</v>
      </c>
      <c r="F6071">
        <v>3418</v>
      </c>
      <c r="G6071">
        <v>3004</v>
      </c>
      <c r="H6071">
        <v>41303</v>
      </c>
      <c r="I6071" s="1">
        <v>45992</v>
      </c>
      <c r="J6071">
        <v>6422</v>
      </c>
      <c r="K6071" t="s">
        <v>23</v>
      </c>
    </row>
    <row r="6072" spans="1:11">
      <c r="A6072" s="1">
        <v>46009</v>
      </c>
      <c r="B6072" t="s">
        <v>40</v>
      </c>
      <c r="C6072" t="s">
        <v>47</v>
      </c>
      <c r="D6072">
        <v>4575</v>
      </c>
      <c r="E6072">
        <v>1422</v>
      </c>
      <c r="F6072">
        <v>294</v>
      </c>
      <c r="G6072">
        <v>238</v>
      </c>
      <c r="H6072">
        <v>6529</v>
      </c>
      <c r="I6072" s="1">
        <v>45992</v>
      </c>
      <c r="J6072">
        <v>532</v>
      </c>
      <c r="K6072" t="s">
        <v>23</v>
      </c>
    </row>
    <row r="6073" spans="1:11">
      <c r="A6073" s="1">
        <v>46009</v>
      </c>
      <c r="B6073" t="s">
        <v>40</v>
      </c>
      <c r="C6073" t="s">
        <v>25</v>
      </c>
      <c r="D6073">
        <v>3600</v>
      </c>
      <c r="E6073">
        <v>1357</v>
      </c>
      <c r="F6073">
        <v>392</v>
      </c>
      <c r="G6073">
        <v>108</v>
      </c>
      <c r="H6073">
        <v>5456</v>
      </c>
      <c r="I6073" s="1">
        <v>45992</v>
      </c>
      <c r="J6073">
        <v>500</v>
      </c>
      <c r="K6073" t="s">
        <v>23</v>
      </c>
    </row>
    <row r="6074" spans="1:11">
      <c r="A6074" s="1">
        <v>46009</v>
      </c>
      <c r="B6074" t="s">
        <v>40</v>
      </c>
      <c r="C6074" t="s">
        <v>51</v>
      </c>
      <c r="D6074">
        <v>4838</v>
      </c>
      <c r="E6074">
        <v>1602</v>
      </c>
      <c r="F6074">
        <v>725</v>
      </c>
      <c r="G6074">
        <v>1039</v>
      </c>
      <c r="H6074">
        <v>8204</v>
      </c>
      <c r="I6074" s="1">
        <v>45992</v>
      </c>
      <c r="J6074">
        <v>1764</v>
      </c>
      <c r="K6074" t="s">
        <v>23</v>
      </c>
    </row>
    <row r="6075" spans="1:11">
      <c r="A6075" s="1">
        <v>46009</v>
      </c>
      <c r="B6075" t="s">
        <v>40</v>
      </c>
      <c r="C6075" t="s">
        <v>45</v>
      </c>
      <c r="D6075">
        <v>2844</v>
      </c>
      <c r="E6075">
        <v>643</v>
      </c>
      <c r="F6075">
        <v>243</v>
      </c>
      <c r="G6075">
        <v>135</v>
      </c>
      <c r="H6075">
        <v>3865</v>
      </c>
      <c r="I6075" s="1">
        <v>45992</v>
      </c>
      <c r="J6075">
        <v>378</v>
      </c>
      <c r="K6075" t="s">
        <v>23</v>
      </c>
    </row>
    <row r="6076" spans="1:11">
      <c r="A6076" s="1">
        <v>46009</v>
      </c>
      <c r="B6076" t="s">
        <v>40</v>
      </c>
      <c r="C6076" t="s">
        <v>39</v>
      </c>
      <c r="D6076">
        <v>6576</v>
      </c>
      <c r="E6076">
        <v>3045</v>
      </c>
      <c r="F6076">
        <v>1569</v>
      </c>
      <c r="G6076">
        <v>636</v>
      </c>
      <c r="H6076">
        <v>11824</v>
      </c>
      <c r="I6076" s="1">
        <v>45992</v>
      </c>
      <c r="J6076">
        <v>2205</v>
      </c>
      <c r="K6076" t="s">
        <v>23</v>
      </c>
    </row>
    <row r="6077" spans="1:11">
      <c r="A6077" s="1">
        <v>46009</v>
      </c>
      <c r="B6077" t="s">
        <v>40</v>
      </c>
      <c r="C6077" t="s">
        <v>54</v>
      </c>
      <c r="D6077">
        <v>1338</v>
      </c>
      <c r="E6077">
        <v>565</v>
      </c>
      <c r="F6077">
        <v>532</v>
      </c>
      <c r="G6077">
        <v>348</v>
      </c>
      <c r="H6077">
        <v>2782</v>
      </c>
      <c r="I6077" s="1">
        <v>45992</v>
      </c>
      <c r="J6077">
        <v>880</v>
      </c>
      <c r="K6077" t="s">
        <v>23</v>
      </c>
    </row>
    <row r="6078" spans="1:11">
      <c r="A6078" s="1">
        <v>46009</v>
      </c>
      <c r="B6078" t="s">
        <v>40</v>
      </c>
      <c r="C6078" t="s">
        <v>35</v>
      </c>
      <c r="D6078">
        <v>357</v>
      </c>
      <c r="E6078">
        <v>295</v>
      </c>
      <c r="F6078">
        <v>211</v>
      </c>
      <c r="G6078">
        <v>290</v>
      </c>
      <c r="H6078">
        <v>1153</v>
      </c>
      <c r="I6078" s="1">
        <v>45992</v>
      </c>
      <c r="J6078">
        <v>501</v>
      </c>
      <c r="K6078" t="s">
        <v>23</v>
      </c>
    </row>
    <row r="6079" spans="1:11">
      <c r="A6079" s="1">
        <v>46009</v>
      </c>
      <c r="B6079" t="s">
        <v>40</v>
      </c>
      <c r="C6079" t="s">
        <v>52</v>
      </c>
      <c r="D6079">
        <v>9940</v>
      </c>
      <c r="E6079">
        <v>4544</v>
      </c>
      <c r="F6079">
        <v>2004</v>
      </c>
      <c r="G6079">
        <v>690</v>
      </c>
      <c r="H6079">
        <v>17178</v>
      </c>
      <c r="I6079" s="1">
        <v>45992</v>
      </c>
      <c r="J6079">
        <v>2694</v>
      </c>
      <c r="K6079" t="s">
        <v>23</v>
      </c>
    </row>
    <row r="6080" spans="1:11">
      <c r="A6080" s="1">
        <v>46009</v>
      </c>
      <c r="B6080" t="s">
        <v>40</v>
      </c>
      <c r="C6080" t="s">
        <v>22</v>
      </c>
      <c r="D6080">
        <v>4397</v>
      </c>
      <c r="E6080">
        <v>1736</v>
      </c>
      <c r="F6080">
        <v>315</v>
      </c>
      <c r="G6080">
        <v>101</v>
      </c>
      <c r="H6080">
        <v>6548</v>
      </c>
      <c r="I6080" s="1">
        <v>45992</v>
      </c>
      <c r="J6080">
        <v>416</v>
      </c>
      <c r="K6080" t="s">
        <v>23</v>
      </c>
    </row>
    <row r="6081" spans="1:11">
      <c r="A6081" s="1">
        <v>46009</v>
      </c>
      <c r="B6081" t="s">
        <v>40</v>
      </c>
      <c r="C6081" t="s">
        <v>46</v>
      </c>
      <c r="D6081">
        <v>2071</v>
      </c>
      <c r="E6081">
        <v>574</v>
      </c>
      <c r="F6081">
        <v>161</v>
      </c>
      <c r="G6081">
        <v>4</v>
      </c>
      <c r="H6081">
        <v>2811</v>
      </c>
      <c r="I6081" s="1">
        <v>45992</v>
      </c>
      <c r="J6081">
        <v>165</v>
      </c>
      <c r="K6081" t="s">
        <v>23</v>
      </c>
    </row>
    <row r="6082" spans="1:11">
      <c r="A6082" s="1">
        <v>46009</v>
      </c>
      <c r="B6082" t="s">
        <v>40</v>
      </c>
      <c r="C6082" t="s">
        <v>31</v>
      </c>
      <c r="D6082">
        <v>3182</v>
      </c>
      <c r="E6082">
        <v>810</v>
      </c>
      <c r="F6082">
        <v>41</v>
      </c>
      <c r="G6082">
        <v>4</v>
      </c>
      <c r="H6082">
        <v>4037</v>
      </c>
      <c r="I6082" s="1">
        <v>45992</v>
      </c>
      <c r="J6082">
        <v>45</v>
      </c>
      <c r="K6082" t="s">
        <v>23</v>
      </c>
    </row>
    <row r="6083" spans="1:11">
      <c r="A6083" s="1">
        <v>46009</v>
      </c>
      <c r="B6083" t="s">
        <v>40</v>
      </c>
      <c r="C6083" t="s">
        <v>63</v>
      </c>
      <c r="D6083">
        <v>7274</v>
      </c>
      <c r="E6083">
        <v>3613</v>
      </c>
      <c r="F6083">
        <v>2075</v>
      </c>
      <c r="G6083">
        <v>1027</v>
      </c>
      <c r="H6083">
        <v>13989</v>
      </c>
      <c r="I6083" s="1">
        <v>45992</v>
      </c>
      <c r="J6083">
        <v>3102</v>
      </c>
      <c r="K6083" t="s">
        <v>23</v>
      </c>
    </row>
    <row r="6084" spans="1:11">
      <c r="A6084" s="1">
        <v>46009</v>
      </c>
      <c r="B6084" t="s">
        <v>40</v>
      </c>
      <c r="C6084" t="s">
        <v>60</v>
      </c>
      <c r="D6084">
        <v>8320</v>
      </c>
      <c r="E6084">
        <v>2497</v>
      </c>
      <c r="F6084">
        <v>982</v>
      </c>
      <c r="G6084">
        <v>1315</v>
      </c>
      <c r="H6084">
        <v>13113</v>
      </c>
      <c r="I6084" s="1">
        <v>45992</v>
      </c>
      <c r="J6084">
        <v>2297</v>
      </c>
      <c r="K6084" t="s">
        <v>23</v>
      </c>
    </row>
    <row r="6085" spans="1:11">
      <c r="A6085" s="1">
        <v>46009</v>
      </c>
      <c r="B6085" t="s">
        <v>40</v>
      </c>
      <c r="C6085" t="s">
        <v>61</v>
      </c>
      <c r="D6085">
        <v>14810</v>
      </c>
      <c r="E6085">
        <v>6580</v>
      </c>
      <c r="F6085">
        <v>3831</v>
      </c>
      <c r="G6085">
        <v>4537</v>
      </c>
      <c r="H6085">
        <v>29757</v>
      </c>
      <c r="I6085" s="1">
        <v>45992</v>
      </c>
      <c r="J6085">
        <v>8368</v>
      </c>
      <c r="K6085" t="s">
        <v>23</v>
      </c>
    </row>
    <row r="6086" spans="1:11">
      <c r="A6086" s="1">
        <v>46009</v>
      </c>
      <c r="B6086" t="s">
        <v>40</v>
      </c>
      <c r="C6086" t="s">
        <v>62</v>
      </c>
      <c r="D6086">
        <v>2236</v>
      </c>
      <c r="E6086">
        <v>1223</v>
      </c>
      <c r="F6086">
        <v>1128</v>
      </c>
      <c r="G6086">
        <v>5408</v>
      </c>
      <c r="H6086">
        <v>9994</v>
      </c>
      <c r="I6086" s="1">
        <v>45992</v>
      </c>
      <c r="J6086">
        <v>6536</v>
      </c>
      <c r="K6086" t="s">
        <v>23</v>
      </c>
    </row>
    <row r="6087" spans="1:11">
      <c r="A6087" s="1">
        <v>46009</v>
      </c>
      <c r="B6087" t="s">
        <v>40</v>
      </c>
      <c r="C6087" t="s">
        <v>69</v>
      </c>
      <c r="D6087">
        <v>16788</v>
      </c>
      <c r="E6087">
        <v>5006</v>
      </c>
      <c r="F6087">
        <v>1868</v>
      </c>
      <c r="G6087">
        <v>1009</v>
      </c>
      <c r="H6087">
        <v>24671</v>
      </c>
      <c r="I6087" s="1">
        <v>45992</v>
      </c>
      <c r="J6087">
        <v>2877</v>
      </c>
      <c r="K6087" t="s">
        <v>23</v>
      </c>
    </row>
    <row r="6088" spans="1:11">
      <c r="A6088" s="1">
        <v>46009</v>
      </c>
      <c r="B6088" t="s">
        <v>40</v>
      </c>
      <c r="C6088" t="s">
        <v>29</v>
      </c>
      <c r="D6088">
        <v>3612</v>
      </c>
      <c r="E6088">
        <v>1074</v>
      </c>
      <c r="F6088">
        <v>733</v>
      </c>
      <c r="G6088">
        <v>557</v>
      </c>
      <c r="H6088">
        <v>5976</v>
      </c>
      <c r="I6088" s="1">
        <v>45992</v>
      </c>
      <c r="J6088">
        <v>1290</v>
      </c>
      <c r="K6088" t="s">
        <v>23</v>
      </c>
    </row>
    <row r="6089" spans="1:11">
      <c r="A6089" s="1">
        <v>46009</v>
      </c>
      <c r="B6089" t="s">
        <v>40</v>
      </c>
      <c r="C6089" t="s">
        <v>70</v>
      </c>
      <c r="D6089">
        <v>3094</v>
      </c>
      <c r="E6089">
        <v>1140</v>
      </c>
      <c r="F6089">
        <v>662</v>
      </c>
      <c r="G6089">
        <v>362</v>
      </c>
      <c r="H6089">
        <v>5258</v>
      </c>
      <c r="I6089" s="1">
        <v>45992</v>
      </c>
      <c r="J6089">
        <v>1024</v>
      </c>
      <c r="K6089" t="s">
        <v>23</v>
      </c>
    </row>
    <row r="6090" spans="1:11">
      <c r="A6090" s="1">
        <v>46009</v>
      </c>
      <c r="B6090" t="s">
        <v>40</v>
      </c>
      <c r="C6090" t="s">
        <v>71</v>
      </c>
      <c r="D6090">
        <v>19580</v>
      </c>
      <c r="E6090">
        <v>7373</v>
      </c>
      <c r="F6090">
        <v>3852</v>
      </c>
      <c r="G6090">
        <v>2860</v>
      </c>
      <c r="H6090">
        <v>33666</v>
      </c>
      <c r="I6090" s="1">
        <v>45992</v>
      </c>
      <c r="J6090">
        <v>6712</v>
      </c>
      <c r="K6090" t="s">
        <v>23</v>
      </c>
    </row>
    <row r="6091" spans="1:11">
      <c r="A6091" s="1">
        <v>46009</v>
      </c>
      <c r="B6091" t="s">
        <v>40</v>
      </c>
      <c r="C6091" t="s">
        <v>36</v>
      </c>
      <c r="D6091">
        <v>13554</v>
      </c>
      <c r="E6091">
        <v>7275</v>
      </c>
      <c r="F6091">
        <v>2446</v>
      </c>
      <c r="G6091">
        <v>819</v>
      </c>
      <c r="H6091">
        <v>24094</v>
      </c>
      <c r="I6091" s="1">
        <v>45992</v>
      </c>
      <c r="J6091">
        <v>3265</v>
      </c>
      <c r="K6091" t="s">
        <v>23</v>
      </c>
    </row>
    <row r="6092" spans="1:11">
      <c r="A6092" s="1">
        <v>46009</v>
      </c>
      <c r="B6092" t="s">
        <v>40</v>
      </c>
      <c r="C6092" t="s">
        <v>32</v>
      </c>
      <c r="D6092">
        <v>2602</v>
      </c>
      <c r="E6092">
        <v>935</v>
      </c>
      <c r="F6092">
        <v>303</v>
      </c>
      <c r="G6092">
        <v>162</v>
      </c>
      <c r="H6092">
        <v>4001</v>
      </c>
      <c r="I6092" s="1">
        <v>45992</v>
      </c>
      <c r="J6092">
        <v>465</v>
      </c>
      <c r="K6092" t="s">
        <v>23</v>
      </c>
    </row>
    <row r="6093" spans="1:11">
      <c r="A6093" s="1">
        <v>46009</v>
      </c>
      <c r="B6093" t="s">
        <v>40</v>
      </c>
      <c r="C6093" t="s">
        <v>44</v>
      </c>
      <c r="D6093">
        <v>6990</v>
      </c>
      <c r="E6093">
        <v>2601</v>
      </c>
      <c r="F6093">
        <v>836</v>
      </c>
      <c r="G6093">
        <v>328</v>
      </c>
      <c r="H6093">
        <v>10754</v>
      </c>
      <c r="I6093" s="1">
        <v>45992</v>
      </c>
      <c r="J6093">
        <v>1164</v>
      </c>
      <c r="K6093" t="s">
        <v>23</v>
      </c>
    </row>
    <row r="6094" spans="1:11">
      <c r="A6094" s="1">
        <v>46009</v>
      </c>
      <c r="B6094" t="s">
        <v>40</v>
      </c>
      <c r="C6094" t="s">
        <v>59</v>
      </c>
      <c r="D6094">
        <v>17273</v>
      </c>
      <c r="E6094">
        <v>5386</v>
      </c>
      <c r="F6094">
        <v>2020</v>
      </c>
      <c r="G6094">
        <v>756</v>
      </c>
      <c r="H6094">
        <v>25435</v>
      </c>
      <c r="I6094" s="1">
        <v>45992</v>
      </c>
      <c r="J6094">
        <v>2776</v>
      </c>
      <c r="K6094" t="s">
        <v>23</v>
      </c>
    </row>
    <row r="6095" spans="1:11">
      <c r="A6095" s="1">
        <v>46009</v>
      </c>
      <c r="B6095" t="s">
        <v>40</v>
      </c>
      <c r="C6095" t="s">
        <v>67</v>
      </c>
      <c r="D6095">
        <v>22163</v>
      </c>
      <c r="E6095">
        <v>10811</v>
      </c>
      <c r="F6095">
        <v>5280</v>
      </c>
      <c r="G6095">
        <v>4257</v>
      </c>
      <c r="H6095">
        <v>42511</v>
      </c>
      <c r="I6095" s="1">
        <v>45992</v>
      </c>
      <c r="J6095">
        <v>9537</v>
      </c>
      <c r="K6095" t="s">
        <v>23</v>
      </c>
    </row>
    <row r="6096" spans="1:11">
      <c r="A6096" s="1">
        <v>46009</v>
      </c>
      <c r="B6096" t="s">
        <v>40</v>
      </c>
      <c r="C6096" t="s">
        <v>49</v>
      </c>
      <c r="D6096">
        <v>4053</v>
      </c>
      <c r="E6096">
        <v>824</v>
      </c>
      <c r="F6096">
        <v>161</v>
      </c>
      <c r="G6096">
        <v>7</v>
      </c>
      <c r="H6096">
        <v>5045</v>
      </c>
      <c r="I6096" s="1">
        <v>45992</v>
      </c>
      <c r="J6096">
        <v>168</v>
      </c>
      <c r="K6096" t="s">
        <v>23</v>
      </c>
    </row>
    <row r="6097" spans="1:11">
      <c r="A6097" s="1">
        <v>46051</v>
      </c>
      <c r="B6097" t="s">
        <v>40</v>
      </c>
      <c r="C6097" t="s">
        <v>48</v>
      </c>
      <c r="D6097">
        <v>28044</v>
      </c>
      <c r="E6097">
        <v>13966</v>
      </c>
      <c r="F6097">
        <v>4898</v>
      </c>
      <c r="G6097">
        <v>3709</v>
      </c>
      <c r="H6097">
        <v>50617</v>
      </c>
      <c r="I6097" s="1">
        <v>46023</v>
      </c>
      <c r="J6097">
        <v>8607</v>
      </c>
      <c r="K6097" t="s">
        <v>23</v>
      </c>
    </row>
    <row r="6098" spans="1:11">
      <c r="A6098" s="1">
        <v>46051</v>
      </c>
      <c r="B6098" t="s">
        <v>40</v>
      </c>
      <c r="C6098" t="s">
        <v>55</v>
      </c>
      <c r="D6098">
        <v>5898</v>
      </c>
      <c r="E6098">
        <v>1808</v>
      </c>
      <c r="F6098">
        <v>344</v>
      </c>
      <c r="G6098">
        <v>196</v>
      </c>
      <c r="H6098">
        <v>8247</v>
      </c>
      <c r="I6098" s="1">
        <v>46023</v>
      </c>
      <c r="J6098">
        <v>540</v>
      </c>
      <c r="K6098" t="s">
        <v>23</v>
      </c>
    </row>
    <row r="6099" spans="1:11">
      <c r="A6099" s="1">
        <v>46051</v>
      </c>
      <c r="B6099" t="s">
        <v>40</v>
      </c>
      <c r="C6099" t="s">
        <v>33</v>
      </c>
      <c r="D6099">
        <v>2511</v>
      </c>
      <c r="E6099">
        <v>992</v>
      </c>
      <c r="F6099">
        <v>196</v>
      </c>
      <c r="G6099">
        <v>3</v>
      </c>
      <c r="H6099">
        <v>3701</v>
      </c>
      <c r="I6099" s="1">
        <v>46023</v>
      </c>
      <c r="J6099">
        <v>199</v>
      </c>
      <c r="K6099" t="s">
        <v>23</v>
      </c>
    </row>
    <row r="6100" spans="1:11">
      <c r="A6100" s="1">
        <v>46051</v>
      </c>
      <c r="B6100" t="s">
        <v>40</v>
      </c>
      <c r="C6100" t="s">
        <v>65</v>
      </c>
      <c r="D6100">
        <v>14058</v>
      </c>
      <c r="E6100">
        <v>5006</v>
      </c>
      <c r="F6100">
        <v>1152</v>
      </c>
      <c r="G6100">
        <v>236</v>
      </c>
      <c r="H6100">
        <v>20452</v>
      </c>
      <c r="I6100" s="1">
        <v>46023</v>
      </c>
      <c r="J6100">
        <v>1388</v>
      </c>
      <c r="K6100" t="s">
        <v>23</v>
      </c>
    </row>
    <row r="6101" spans="1:11">
      <c r="A6101" s="1">
        <v>46051</v>
      </c>
      <c r="B6101" t="s">
        <v>40</v>
      </c>
      <c r="C6101" t="s">
        <v>27</v>
      </c>
      <c r="D6101">
        <v>3243</v>
      </c>
      <c r="E6101">
        <v>2091</v>
      </c>
      <c r="F6101">
        <v>606</v>
      </c>
      <c r="G6101">
        <v>365</v>
      </c>
      <c r="H6101">
        <v>6305</v>
      </c>
      <c r="I6101" s="1">
        <v>46023</v>
      </c>
      <c r="J6101">
        <v>971</v>
      </c>
      <c r="K6101" t="s">
        <v>23</v>
      </c>
    </row>
    <row r="6102" spans="1:11">
      <c r="A6102" s="1">
        <v>46051</v>
      </c>
      <c r="B6102" t="s">
        <v>40</v>
      </c>
      <c r="C6102" t="s">
        <v>37</v>
      </c>
      <c r="D6102">
        <v>402</v>
      </c>
      <c r="E6102">
        <v>363</v>
      </c>
      <c r="F6102">
        <v>249</v>
      </c>
      <c r="G6102">
        <v>316</v>
      </c>
      <c r="H6102">
        <v>1330</v>
      </c>
      <c r="I6102" s="1">
        <v>46023</v>
      </c>
      <c r="J6102">
        <v>565</v>
      </c>
      <c r="K6102" t="s">
        <v>23</v>
      </c>
    </row>
    <row r="6103" spans="1:11">
      <c r="A6103" s="1">
        <v>46051</v>
      </c>
      <c r="B6103" t="s">
        <v>40</v>
      </c>
      <c r="C6103" t="s">
        <v>66</v>
      </c>
      <c r="D6103">
        <v>25693</v>
      </c>
      <c r="E6103">
        <v>9654</v>
      </c>
      <c r="F6103">
        <v>3722</v>
      </c>
      <c r="G6103">
        <v>5982</v>
      </c>
      <c r="H6103">
        <v>45051</v>
      </c>
      <c r="I6103" s="1">
        <v>46023</v>
      </c>
      <c r="J6103">
        <v>9704</v>
      </c>
      <c r="K6103" t="s">
        <v>23</v>
      </c>
    </row>
    <row r="6104" spans="1:11">
      <c r="A6104" s="1">
        <v>46051</v>
      </c>
      <c r="B6104" t="s">
        <v>40</v>
      </c>
      <c r="C6104" t="s">
        <v>57</v>
      </c>
      <c r="D6104">
        <v>9358</v>
      </c>
      <c r="E6104">
        <v>2888</v>
      </c>
      <c r="F6104">
        <v>926</v>
      </c>
      <c r="G6104">
        <v>602</v>
      </c>
      <c r="H6104">
        <v>13775</v>
      </c>
      <c r="I6104" s="1">
        <v>46023</v>
      </c>
      <c r="J6104">
        <v>1528</v>
      </c>
      <c r="K6104" t="s">
        <v>23</v>
      </c>
    </row>
    <row r="6105" spans="1:11">
      <c r="A6105" s="1">
        <v>46051</v>
      </c>
      <c r="B6105" t="s">
        <v>40</v>
      </c>
      <c r="C6105" t="s">
        <v>42</v>
      </c>
      <c r="D6105">
        <v>1662</v>
      </c>
      <c r="E6105">
        <v>881</v>
      </c>
      <c r="F6105">
        <v>291</v>
      </c>
      <c r="G6105">
        <v>3</v>
      </c>
      <c r="H6105">
        <v>2837</v>
      </c>
      <c r="I6105" s="1">
        <v>46023</v>
      </c>
      <c r="J6105">
        <v>294</v>
      </c>
      <c r="K6105" t="s">
        <v>23</v>
      </c>
    </row>
    <row r="6106" spans="1:11">
      <c r="A6106" s="1">
        <v>46051</v>
      </c>
      <c r="B6106" t="s">
        <v>40</v>
      </c>
      <c r="C6106" t="s">
        <v>28</v>
      </c>
      <c r="D6106">
        <v>2206</v>
      </c>
      <c r="E6106">
        <v>1006</v>
      </c>
      <c r="F6106">
        <v>525</v>
      </c>
      <c r="G6106">
        <v>187</v>
      </c>
      <c r="H6106">
        <v>3924</v>
      </c>
      <c r="I6106" s="1">
        <v>46023</v>
      </c>
      <c r="J6106">
        <v>712</v>
      </c>
      <c r="K6106" t="s">
        <v>23</v>
      </c>
    </row>
    <row r="6107" spans="1:11">
      <c r="A6107" s="1">
        <v>46051</v>
      </c>
      <c r="B6107" t="s">
        <v>40</v>
      </c>
      <c r="C6107" t="s">
        <v>68</v>
      </c>
      <c r="D6107">
        <v>25062</v>
      </c>
      <c r="E6107">
        <v>10870</v>
      </c>
      <c r="F6107">
        <v>3402</v>
      </c>
      <c r="G6107">
        <v>3122</v>
      </c>
      <c r="H6107">
        <v>42457</v>
      </c>
      <c r="I6107" s="1">
        <v>46023</v>
      </c>
      <c r="J6107">
        <v>6524</v>
      </c>
      <c r="K6107" t="s">
        <v>23</v>
      </c>
    </row>
    <row r="6108" spans="1:11">
      <c r="A6108" s="1">
        <v>46051</v>
      </c>
      <c r="B6108" t="s">
        <v>40</v>
      </c>
      <c r="C6108" t="s">
        <v>47</v>
      </c>
      <c r="D6108">
        <v>4561</v>
      </c>
      <c r="E6108">
        <v>1655</v>
      </c>
      <c r="F6108">
        <v>308</v>
      </c>
      <c r="G6108">
        <v>245</v>
      </c>
      <c r="H6108">
        <v>6768</v>
      </c>
      <c r="I6108" s="1">
        <v>46023</v>
      </c>
      <c r="J6108">
        <v>553</v>
      </c>
      <c r="K6108" t="s">
        <v>23</v>
      </c>
    </row>
    <row r="6109" spans="1:11">
      <c r="A6109" s="1">
        <v>46051</v>
      </c>
      <c r="B6109" t="s">
        <v>40</v>
      </c>
      <c r="C6109" t="s">
        <v>25</v>
      </c>
      <c r="D6109">
        <v>3487</v>
      </c>
      <c r="E6109">
        <v>1551</v>
      </c>
      <c r="F6109">
        <v>460</v>
      </c>
      <c r="G6109">
        <v>190</v>
      </c>
      <c r="H6109">
        <v>5689</v>
      </c>
      <c r="I6109" s="1">
        <v>46023</v>
      </c>
      <c r="J6109">
        <v>650</v>
      </c>
      <c r="K6109" t="s">
        <v>23</v>
      </c>
    </row>
    <row r="6110" spans="1:11">
      <c r="A6110" s="1">
        <v>46051</v>
      </c>
      <c r="B6110" t="s">
        <v>40</v>
      </c>
      <c r="C6110" t="s">
        <v>51</v>
      </c>
      <c r="D6110">
        <v>5050</v>
      </c>
      <c r="E6110">
        <v>1791</v>
      </c>
      <c r="F6110">
        <v>678</v>
      </c>
      <c r="G6110">
        <v>1125</v>
      </c>
      <c r="H6110">
        <v>8644</v>
      </c>
      <c r="I6110" s="1">
        <v>46023</v>
      </c>
      <c r="J6110">
        <v>1803</v>
      </c>
      <c r="K6110" t="s">
        <v>23</v>
      </c>
    </row>
    <row r="6111" spans="1:11">
      <c r="A6111" s="1">
        <v>46051</v>
      </c>
      <c r="B6111" t="s">
        <v>40</v>
      </c>
      <c r="C6111" t="s">
        <v>45</v>
      </c>
      <c r="D6111">
        <v>3022</v>
      </c>
      <c r="E6111">
        <v>735</v>
      </c>
      <c r="F6111">
        <v>296</v>
      </c>
      <c r="G6111">
        <v>136</v>
      </c>
      <c r="H6111">
        <v>4189</v>
      </c>
      <c r="I6111" s="1">
        <v>46023</v>
      </c>
      <c r="J6111">
        <v>432</v>
      </c>
      <c r="K6111" t="s">
        <v>23</v>
      </c>
    </row>
    <row r="6112" spans="1:11">
      <c r="A6112" s="1">
        <v>46051</v>
      </c>
      <c r="B6112" t="s">
        <v>40</v>
      </c>
      <c r="C6112" t="s">
        <v>43</v>
      </c>
      <c r="D6112">
        <v>11208</v>
      </c>
      <c r="E6112">
        <v>5171</v>
      </c>
      <c r="F6112">
        <v>917</v>
      </c>
      <c r="G6112">
        <v>48</v>
      </c>
      <c r="H6112">
        <v>17344</v>
      </c>
      <c r="I6112" s="1">
        <v>46023</v>
      </c>
      <c r="J6112">
        <v>965</v>
      </c>
      <c r="K6112" t="s">
        <v>23</v>
      </c>
    </row>
    <row r="6113" spans="1:11">
      <c r="A6113" s="1">
        <v>46051</v>
      </c>
      <c r="B6113" t="s">
        <v>40</v>
      </c>
      <c r="C6113" t="s">
        <v>39</v>
      </c>
      <c r="D6113">
        <v>6481</v>
      </c>
      <c r="E6113">
        <v>3506</v>
      </c>
      <c r="F6113">
        <v>1613</v>
      </c>
      <c r="G6113">
        <v>733</v>
      </c>
      <c r="H6113">
        <v>12333</v>
      </c>
      <c r="I6113" s="1">
        <v>46023</v>
      </c>
      <c r="J6113">
        <v>2346</v>
      </c>
      <c r="K6113" t="s">
        <v>23</v>
      </c>
    </row>
    <row r="6114" spans="1:11">
      <c r="A6114" s="1">
        <v>46051</v>
      </c>
      <c r="B6114" t="s">
        <v>40</v>
      </c>
      <c r="C6114" t="s">
        <v>38</v>
      </c>
      <c r="D6114">
        <v>2303</v>
      </c>
      <c r="E6114">
        <v>949</v>
      </c>
      <c r="F6114">
        <v>148</v>
      </c>
      <c r="G6114">
        <v>3</v>
      </c>
      <c r="H6114">
        <v>3403</v>
      </c>
      <c r="I6114" s="1">
        <v>46023</v>
      </c>
      <c r="J6114">
        <v>151</v>
      </c>
      <c r="K6114" t="s">
        <v>23</v>
      </c>
    </row>
    <row r="6115" spans="1:11">
      <c r="A6115" s="1">
        <v>46051</v>
      </c>
      <c r="B6115" t="s">
        <v>40</v>
      </c>
      <c r="C6115" t="s">
        <v>54</v>
      </c>
      <c r="D6115">
        <v>1290</v>
      </c>
      <c r="E6115">
        <v>586</v>
      </c>
      <c r="F6115">
        <v>473</v>
      </c>
      <c r="G6115">
        <v>363</v>
      </c>
      <c r="H6115">
        <v>2712</v>
      </c>
      <c r="I6115" s="1">
        <v>46023</v>
      </c>
      <c r="J6115">
        <v>836</v>
      </c>
      <c r="K6115" t="s">
        <v>23</v>
      </c>
    </row>
    <row r="6116" spans="1:11">
      <c r="A6116" s="1">
        <v>46051</v>
      </c>
      <c r="B6116" t="s">
        <v>40</v>
      </c>
      <c r="C6116" t="s">
        <v>35</v>
      </c>
      <c r="D6116">
        <v>379</v>
      </c>
      <c r="E6116">
        <v>342</v>
      </c>
      <c r="F6116">
        <v>215</v>
      </c>
      <c r="G6116">
        <v>317</v>
      </c>
      <c r="H6116">
        <v>1253</v>
      </c>
      <c r="I6116" s="1">
        <v>46023</v>
      </c>
      <c r="J6116">
        <v>532</v>
      </c>
      <c r="K6116" t="s">
        <v>23</v>
      </c>
    </row>
    <row r="6117" spans="1:11">
      <c r="A6117" s="1">
        <v>46051</v>
      </c>
      <c r="B6117" t="s">
        <v>40</v>
      </c>
      <c r="C6117" t="s">
        <v>52</v>
      </c>
      <c r="D6117">
        <v>9786</v>
      </c>
      <c r="E6117">
        <v>5192</v>
      </c>
      <c r="F6117">
        <v>2082</v>
      </c>
      <c r="G6117">
        <v>788</v>
      </c>
      <c r="H6117">
        <v>17847</v>
      </c>
      <c r="I6117" s="1">
        <v>46023</v>
      </c>
      <c r="J6117">
        <v>2870</v>
      </c>
      <c r="K6117" t="s">
        <v>23</v>
      </c>
    </row>
    <row r="6118" spans="1:11">
      <c r="A6118" s="1">
        <v>46051</v>
      </c>
      <c r="B6118" t="s">
        <v>40</v>
      </c>
      <c r="C6118" t="s">
        <v>22</v>
      </c>
      <c r="D6118">
        <v>4276</v>
      </c>
      <c r="E6118">
        <v>1805</v>
      </c>
      <c r="F6118">
        <v>311</v>
      </c>
      <c r="G6118">
        <v>103</v>
      </c>
      <c r="H6118">
        <v>6496</v>
      </c>
      <c r="I6118" s="1">
        <v>46023</v>
      </c>
      <c r="J6118">
        <v>414</v>
      </c>
      <c r="K6118" t="s">
        <v>23</v>
      </c>
    </row>
    <row r="6119" spans="1:11">
      <c r="A6119" s="1">
        <v>46051</v>
      </c>
      <c r="B6119" t="s">
        <v>40</v>
      </c>
      <c r="C6119" t="s">
        <v>46</v>
      </c>
      <c r="D6119">
        <v>2203</v>
      </c>
      <c r="E6119">
        <v>619</v>
      </c>
      <c r="F6119">
        <v>177</v>
      </c>
      <c r="G6119">
        <v>5</v>
      </c>
      <c r="H6119">
        <v>3004</v>
      </c>
      <c r="I6119" s="1">
        <v>46023</v>
      </c>
      <c r="J6119">
        <v>182</v>
      </c>
      <c r="K6119" t="s">
        <v>23</v>
      </c>
    </row>
    <row r="6120" spans="1:11">
      <c r="A6120" s="1">
        <v>46051</v>
      </c>
      <c r="B6120" t="s">
        <v>40</v>
      </c>
      <c r="C6120" t="s">
        <v>31</v>
      </c>
      <c r="D6120">
        <v>3219</v>
      </c>
      <c r="E6120">
        <v>1109</v>
      </c>
      <c r="F6120">
        <v>22</v>
      </c>
      <c r="G6120">
        <v>5</v>
      </c>
      <c r="H6120">
        <v>4354</v>
      </c>
      <c r="I6120" s="1">
        <v>46023</v>
      </c>
      <c r="J6120">
        <v>27</v>
      </c>
      <c r="K6120" t="s">
        <v>23</v>
      </c>
    </row>
    <row r="6121" spans="1:11">
      <c r="A6121" s="1">
        <v>46051</v>
      </c>
      <c r="B6121" t="s">
        <v>40</v>
      </c>
      <c r="C6121" t="s">
        <v>63</v>
      </c>
      <c r="D6121">
        <v>7290</v>
      </c>
      <c r="E6121">
        <v>3961</v>
      </c>
      <c r="F6121">
        <v>2084</v>
      </c>
      <c r="G6121">
        <v>1154</v>
      </c>
      <c r="H6121">
        <v>14489</v>
      </c>
      <c r="I6121" s="1">
        <v>46023</v>
      </c>
      <c r="J6121">
        <v>3238</v>
      </c>
      <c r="K6121" t="s">
        <v>23</v>
      </c>
    </row>
    <row r="6122" spans="1:11">
      <c r="A6122" s="1">
        <v>46051</v>
      </c>
      <c r="B6122" t="s">
        <v>40</v>
      </c>
      <c r="C6122" t="s">
        <v>60</v>
      </c>
      <c r="D6122">
        <v>8614</v>
      </c>
      <c r="E6122">
        <v>2806</v>
      </c>
      <c r="F6122">
        <v>942</v>
      </c>
      <c r="G6122">
        <v>1430</v>
      </c>
      <c r="H6122">
        <v>13792</v>
      </c>
      <c r="I6122" s="1">
        <v>46023</v>
      </c>
      <c r="J6122">
        <v>2372</v>
      </c>
      <c r="K6122" t="s">
        <v>23</v>
      </c>
    </row>
    <row r="6123" spans="1:11">
      <c r="A6123" s="1">
        <v>46051</v>
      </c>
      <c r="B6123" t="s">
        <v>40</v>
      </c>
      <c r="C6123" t="s">
        <v>61</v>
      </c>
      <c r="D6123">
        <v>14794</v>
      </c>
      <c r="E6123">
        <v>7304</v>
      </c>
      <c r="F6123">
        <v>3765</v>
      </c>
      <c r="G6123">
        <v>4826</v>
      </c>
      <c r="H6123">
        <v>30689</v>
      </c>
      <c r="I6123" s="1">
        <v>46023</v>
      </c>
      <c r="J6123">
        <v>8591</v>
      </c>
      <c r="K6123" t="s">
        <v>23</v>
      </c>
    </row>
    <row r="6124" spans="1:11">
      <c r="A6124" s="1">
        <v>46051</v>
      </c>
      <c r="B6124" t="s">
        <v>40</v>
      </c>
      <c r="C6124" t="s">
        <v>62</v>
      </c>
      <c r="D6124">
        <v>2156</v>
      </c>
      <c r="E6124">
        <v>1371</v>
      </c>
      <c r="F6124">
        <v>1033</v>
      </c>
      <c r="G6124">
        <v>5585</v>
      </c>
      <c r="H6124">
        <v>10146</v>
      </c>
      <c r="I6124" s="1">
        <v>46023</v>
      </c>
      <c r="J6124">
        <v>6618</v>
      </c>
      <c r="K6124" t="s">
        <v>23</v>
      </c>
    </row>
    <row r="6125" spans="1:11">
      <c r="A6125" s="1">
        <v>46051</v>
      </c>
      <c r="B6125" t="s">
        <v>40</v>
      </c>
      <c r="C6125" t="s">
        <v>69</v>
      </c>
      <c r="D6125">
        <v>17075</v>
      </c>
      <c r="E6125">
        <v>5959</v>
      </c>
      <c r="F6125">
        <v>1964</v>
      </c>
      <c r="G6125">
        <v>1115</v>
      </c>
      <c r="H6125">
        <v>26114</v>
      </c>
      <c r="I6125" s="1">
        <v>46023</v>
      </c>
      <c r="J6125">
        <v>3079</v>
      </c>
      <c r="K6125" t="s">
        <v>23</v>
      </c>
    </row>
    <row r="6126" spans="1:11">
      <c r="A6126" s="1">
        <v>46051</v>
      </c>
      <c r="B6126" t="s">
        <v>40</v>
      </c>
      <c r="C6126" t="s">
        <v>29</v>
      </c>
      <c r="D6126">
        <v>3518</v>
      </c>
      <c r="E6126">
        <v>1264</v>
      </c>
      <c r="F6126">
        <v>705</v>
      </c>
      <c r="G6126">
        <v>546</v>
      </c>
      <c r="H6126">
        <v>6033</v>
      </c>
      <c r="I6126" s="1">
        <v>46023</v>
      </c>
      <c r="J6126">
        <v>1251</v>
      </c>
      <c r="K6126" t="s">
        <v>23</v>
      </c>
    </row>
    <row r="6127" spans="1:11">
      <c r="A6127" s="1">
        <v>46051</v>
      </c>
      <c r="B6127" t="s">
        <v>40</v>
      </c>
      <c r="C6127" t="s">
        <v>70</v>
      </c>
      <c r="D6127">
        <v>2874</v>
      </c>
      <c r="E6127">
        <v>1271</v>
      </c>
      <c r="F6127">
        <v>598</v>
      </c>
      <c r="G6127">
        <v>424</v>
      </c>
      <c r="H6127">
        <v>5168</v>
      </c>
      <c r="I6127" s="1">
        <v>46023</v>
      </c>
      <c r="J6127">
        <v>1022</v>
      </c>
      <c r="K6127" t="s">
        <v>23</v>
      </c>
    </row>
    <row r="6128" spans="1:11">
      <c r="A6128" s="1">
        <v>46051</v>
      </c>
      <c r="B6128" t="s">
        <v>40</v>
      </c>
      <c r="C6128" t="s">
        <v>71</v>
      </c>
      <c r="D6128">
        <v>18551</v>
      </c>
      <c r="E6128">
        <v>8224</v>
      </c>
      <c r="F6128">
        <v>3838</v>
      </c>
      <c r="G6128">
        <v>3229</v>
      </c>
      <c r="H6128">
        <v>33842</v>
      </c>
      <c r="I6128" s="1">
        <v>46023</v>
      </c>
      <c r="J6128">
        <v>7067</v>
      </c>
      <c r="K6128" t="s">
        <v>23</v>
      </c>
    </row>
    <row r="6129" spans="1:11">
      <c r="A6129" s="1">
        <v>46051</v>
      </c>
      <c r="B6129" t="s">
        <v>40</v>
      </c>
      <c r="C6129" t="s">
        <v>36</v>
      </c>
      <c r="D6129">
        <v>12546</v>
      </c>
      <c r="E6129">
        <v>8412</v>
      </c>
      <c r="F6129">
        <v>2313</v>
      </c>
      <c r="G6129">
        <v>908</v>
      </c>
      <c r="H6129">
        <v>24178</v>
      </c>
      <c r="I6129" s="1">
        <v>46023</v>
      </c>
      <c r="J6129">
        <v>3221</v>
      </c>
      <c r="K6129" t="s">
        <v>23</v>
      </c>
    </row>
    <row r="6130" spans="1:11">
      <c r="A6130" s="1">
        <v>46051</v>
      </c>
      <c r="B6130" t="s">
        <v>40</v>
      </c>
      <c r="C6130" t="s">
        <v>32</v>
      </c>
      <c r="D6130">
        <v>2412</v>
      </c>
      <c r="E6130">
        <v>1121</v>
      </c>
      <c r="F6130">
        <v>304</v>
      </c>
      <c r="G6130">
        <v>184</v>
      </c>
      <c r="H6130">
        <v>4021</v>
      </c>
      <c r="I6130" s="1">
        <v>46023</v>
      </c>
      <c r="J6130">
        <v>488</v>
      </c>
      <c r="K6130" t="s">
        <v>23</v>
      </c>
    </row>
    <row r="6131" spans="1:11">
      <c r="A6131" s="1">
        <v>46051</v>
      </c>
      <c r="B6131" t="s">
        <v>40</v>
      </c>
      <c r="C6131" t="s">
        <v>44</v>
      </c>
      <c r="D6131">
        <v>6684</v>
      </c>
      <c r="E6131">
        <v>3035</v>
      </c>
      <c r="F6131">
        <v>832</v>
      </c>
      <c r="G6131">
        <v>417</v>
      </c>
      <c r="H6131">
        <v>10968</v>
      </c>
      <c r="I6131" s="1">
        <v>46023</v>
      </c>
      <c r="J6131">
        <v>1249</v>
      </c>
      <c r="K6131" t="s">
        <v>23</v>
      </c>
    </row>
    <row r="6132" spans="1:11">
      <c r="A6132" s="1">
        <v>46051</v>
      </c>
      <c r="B6132" t="s">
        <v>40</v>
      </c>
      <c r="C6132" t="s">
        <v>59</v>
      </c>
      <c r="D6132">
        <v>16955</v>
      </c>
      <c r="E6132">
        <v>6648</v>
      </c>
      <c r="F6132">
        <v>1958</v>
      </c>
      <c r="G6132">
        <v>856</v>
      </c>
      <c r="H6132">
        <v>26417</v>
      </c>
      <c r="I6132" s="1">
        <v>46023</v>
      </c>
      <c r="J6132">
        <v>2814</v>
      </c>
      <c r="K6132" t="s">
        <v>23</v>
      </c>
    </row>
    <row r="6133" spans="1:11">
      <c r="A6133" s="1">
        <v>46051</v>
      </c>
      <c r="B6133" t="s">
        <v>40</v>
      </c>
      <c r="C6133" t="s">
        <v>67</v>
      </c>
      <c r="D6133">
        <v>20809</v>
      </c>
      <c r="E6133">
        <v>11624</v>
      </c>
      <c r="F6133">
        <v>5072</v>
      </c>
      <c r="G6133">
        <v>4304</v>
      </c>
      <c r="H6133">
        <v>41809</v>
      </c>
      <c r="I6133" s="1">
        <v>46023</v>
      </c>
      <c r="J6133">
        <v>9376</v>
      </c>
      <c r="K6133" t="s">
        <v>23</v>
      </c>
    </row>
    <row r="6134" spans="1:11">
      <c r="A6134" s="1">
        <v>46051</v>
      </c>
      <c r="B6134" t="s">
        <v>40</v>
      </c>
      <c r="C6134" t="s">
        <v>49</v>
      </c>
      <c r="D6134">
        <v>3737</v>
      </c>
      <c r="E6134">
        <v>1038</v>
      </c>
      <c r="F6134">
        <v>200</v>
      </c>
      <c r="G6134">
        <v>4</v>
      </c>
      <c r="H6134">
        <v>4978</v>
      </c>
      <c r="I6134" s="1">
        <v>46023</v>
      </c>
      <c r="J6134">
        <v>204</v>
      </c>
      <c r="K6134" t="s">
        <v>23</v>
      </c>
    </row>
    <row r="6135" spans="1:11">
      <c r="A6135" s="1">
        <v>46079</v>
      </c>
      <c r="B6135" t="s">
        <v>40</v>
      </c>
      <c r="C6135" t="s">
        <v>48</v>
      </c>
      <c r="D6135">
        <v>29615</v>
      </c>
      <c r="E6135">
        <v>14440</v>
      </c>
      <c r="F6135">
        <v>5973</v>
      </c>
      <c r="G6135">
        <v>2448</v>
      </c>
      <c r="H6135">
        <v>52476</v>
      </c>
      <c r="I6135" s="1">
        <v>46054</v>
      </c>
      <c r="J6135">
        <v>8421</v>
      </c>
      <c r="K6135" t="s">
        <v>23</v>
      </c>
    </row>
    <row r="6136" spans="1:11">
      <c r="A6136" s="1">
        <v>46079</v>
      </c>
      <c r="B6136" t="s">
        <v>40</v>
      </c>
      <c r="C6136" t="s">
        <v>55</v>
      </c>
      <c r="D6136">
        <v>6030</v>
      </c>
      <c r="E6136">
        <v>1910</v>
      </c>
      <c r="F6136">
        <v>282</v>
      </c>
      <c r="G6136">
        <v>71</v>
      </c>
      <c r="H6136">
        <v>8292</v>
      </c>
      <c r="I6136" s="1">
        <v>46054</v>
      </c>
      <c r="J6136">
        <v>353</v>
      </c>
      <c r="K6136" t="s">
        <v>23</v>
      </c>
    </row>
    <row r="6137" spans="1:11">
      <c r="A6137" s="1">
        <v>46079</v>
      </c>
      <c r="B6137" t="s">
        <v>40</v>
      </c>
      <c r="C6137" t="s">
        <v>33</v>
      </c>
      <c r="D6137">
        <v>2436</v>
      </c>
      <c r="E6137">
        <v>1040</v>
      </c>
      <c r="F6137">
        <v>154</v>
      </c>
      <c r="G6137">
        <v>11</v>
      </c>
      <c r="H6137">
        <v>3641</v>
      </c>
      <c r="I6137" s="1">
        <v>46054</v>
      </c>
      <c r="J6137">
        <v>165</v>
      </c>
      <c r="K6137" t="s">
        <v>23</v>
      </c>
    </row>
    <row r="6138" spans="1:11">
      <c r="A6138" s="1">
        <v>46079</v>
      </c>
      <c r="B6138" t="s">
        <v>40</v>
      </c>
      <c r="C6138" t="s">
        <v>65</v>
      </c>
      <c r="D6138">
        <v>14300</v>
      </c>
      <c r="E6138">
        <v>4830</v>
      </c>
      <c r="F6138">
        <v>1124</v>
      </c>
      <c r="G6138">
        <v>230</v>
      </c>
      <c r="H6138">
        <v>20484</v>
      </c>
      <c r="I6138" s="1">
        <v>46054</v>
      </c>
      <c r="J6138">
        <v>1354</v>
      </c>
      <c r="K6138" t="s">
        <v>23</v>
      </c>
    </row>
    <row r="6139" spans="1:11">
      <c r="A6139" s="1">
        <v>46079</v>
      </c>
      <c r="B6139" t="s">
        <v>40</v>
      </c>
      <c r="C6139" t="s">
        <v>27</v>
      </c>
      <c r="D6139">
        <v>3190</v>
      </c>
      <c r="E6139">
        <v>2229</v>
      </c>
      <c r="F6139">
        <v>586</v>
      </c>
      <c r="G6139">
        <v>362</v>
      </c>
      <c r="H6139">
        <v>6367</v>
      </c>
      <c r="I6139" s="1">
        <v>46054</v>
      </c>
      <c r="J6139">
        <v>948</v>
      </c>
      <c r="K6139" t="s">
        <v>23</v>
      </c>
    </row>
    <row r="6140" spans="1:11">
      <c r="A6140" s="1">
        <v>46079</v>
      </c>
      <c r="B6140" t="s">
        <v>40</v>
      </c>
      <c r="C6140" t="s">
        <v>37</v>
      </c>
      <c r="D6140">
        <v>422</v>
      </c>
      <c r="E6140">
        <v>375</v>
      </c>
      <c r="F6140">
        <v>260</v>
      </c>
      <c r="G6140">
        <v>313</v>
      </c>
      <c r="H6140">
        <v>1371</v>
      </c>
      <c r="I6140" s="1">
        <v>46054</v>
      </c>
      <c r="J6140">
        <v>573</v>
      </c>
      <c r="K6140" t="s">
        <v>23</v>
      </c>
    </row>
    <row r="6141" spans="1:11">
      <c r="A6141" s="1">
        <v>46079</v>
      </c>
      <c r="B6141" t="s">
        <v>40</v>
      </c>
      <c r="C6141" t="s">
        <v>66</v>
      </c>
      <c r="D6141">
        <v>25540</v>
      </c>
      <c r="E6141">
        <v>9815</v>
      </c>
      <c r="F6141">
        <v>3736</v>
      </c>
      <c r="G6141">
        <v>5656</v>
      </c>
      <c r="H6141">
        <v>44746</v>
      </c>
      <c r="I6141" s="1">
        <v>46054</v>
      </c>
      <c r="J6141">
        <v>9392</v>
      </c>
      <c r="K6141" t="s">
        <v>23</v>
      </c>
    </row>
    <row r="6142" spans="1:11">
      <c r="A6142" s="1">
        <v>46079</v>
      </c>
      <c r="B6142" t="s">
        <v>40</v>
      </c>
      <c r="C6142" t="s">
        <v>57</v>
      </c>
      <c r="D6142">
        <v>9772</v>
      </c>
      <c r="E6142">
        <v>2628</v>
      </c>
      <c r="F6142">
        <v>794</v>
      </c>
      <c r="G6142">
        <v>635</v>
      </c>
      <c r="H6142">
        <v>13828</v>
      </c>
      <c r="I6142" s="1">
        <v>46054</v>
      </c>
      <c r="J6142">
        <v>1429</v>
      </c>
      <c r="K6142" t="s">
        <v>23</v>
      </c>
    </row>
    <row r="6143" spans="1:11">
      <c r="A6143" s="1">
        <v>46079</v>
      </c>
      <c r="B6143" t="s">
        <v>40</v>
      </c>
      <c r="C6143" t="s">
        <v>42</v>
      </c>
      <c r="D6143">
        <v>1689</v>
      </c>
      <c r="E6143">
        <v>887</v>
      </c>
      <c r="F6143">
        <v>329</v>
      </c>
      <c r="G6143">
        <v>4</v>
      </c>
      <c r="H6143">
        <v>2909</v>
      </c>
      <c r="I6143" s="1">
        <v>46054</v>
      </c>
      <c r="J6143">
        <v>333</v>
      </c>
      <c r="K6143" t="s">
        <v>23</v>
      </c>
    </row>
    <row r="6144" spans="1:11">
      <c r="A6144" s="1">
        <v>46079</v>
      </c>
      <c r="B6144" t="s">
        <v>40</v>
      </c>
      <c r="C6144" t="s">
        <v>28</v>
      </c>
      <c r="D6144">
        <v>2247</v>
      </c>
      <c r="E6144">
        <v>864</v>
      </c>
      <c r="F6144">
        <v>486</v>
      </c>
      <c r="G6144">
        <v>193</v>
      </c>
      <c r="H6144">
        <v>3790</v>
      </c>
      <c r="I6144" s="1">
        <v>46054</v>
      </c>
      <c r="J6144">
        <v>679</v>
      </c>
      <c r="K6144" t="s">
        <v>23</v>
      </c>
    </row>
    <row r="6145" spans="1:11">
      <c r="A6145" s="1">
        <v>46079</v>
      </c>
      <c r="B6145" t="s">
        <v>40</v>
      </c>
      <c r="C6145" t="s">
        <v>68</v>
      </c>
      <c r="D6145">
        <v>24843</v>
      </c>
      <c r="E6145">
        <v>10999</v>
      </c>
      <c r="F6145">
        <v>3535</v>
      </c>
      <c r="G6145">
        <v>3180</v>
      </c>
      <c r="H6145">
        <v>42557</v>
      </c>
      <c r="I6145" s="1">
        <v>46054</v>
      </c>
      <c r="J6145">
        <v>6715</v>
      </c>
      <c r="K6145" t="s">
        <v>23</v>
      </c>
    </row>
    <row r="6146" spans="1:11">
      <c r="A6146" s="1">
        <v>46079</v>
      </c>
      <c r="B6146" t="s">
        <v>40</v>
      </c>
      <c r="C6146" t="s">
        <v>47</v>
      </c>
      <c r="D6146">
        <v>4745</v>
      </c>
      <c r="E6146">
        <v>1701</v>
      </c>
      <c r="F6146">
        <v>327</v>
      </c>
      <c r="G6146">
        <v>244</v>
      </c>
      <c r="H6146">
        <v>7017</v>
      </c>
      <c r="I6146" s="1">
        <v>46054</v>
      </c>
      <c r="J6146">
        <v>571</v>
      </c>
      <c r="K6146" t="s">
        <v>23</v>
      </c>
    </row>
    <row r="6147" spans="1:11">
      <c r="A6147" s="1">
        <v>46079</v>
      </c>
      <c r="B6147" t="s">
        <v>40</v>
      </c>
      <c r="C6147" t="s">
        <v>25</v>
      </c>
      <c r="D6147">
        <v>3569</v>
      </c>
      <c r="E6147">
        <v>1529</v>
      </c>
      <c r="F6147">
        <v>531</v>
      </c>
      <c r="G6147">
        <v>234</v>
      </c>
      <c r="H6147">
        <v>5863</v>
      </c>
      <c r="I6147" s="1">
        <v>46054</v>
      </c>
      <c r="J6147">
        <v>765</v>
      </c>
      <c r="K6147" t="s">
        <v>23</v>
      </c>
    </row>
    <row r="6148" spans="1:11">
      <c r="A6148" s="1">
        <v>46079</v>
      </c>
      <c r="B6148" t="s">
        <v>40</v>
      </c>
      <c r="C6148" t="s">
        <v>51</v>
      </c>
      <c r="D6148">
        <v>5193</v>
      </c>
      <c r="E6148">
        <v>1793</v>
      </c>
      <c r="F6148">
        <v>699</v>
      </c>
      <c r="G6148">
        <v>1149</v>
      </c>
      <c r="H6148">
        <v>8835</v>
      </c>
      <c r="I6148" s="1">
        <v>46054</v>
      </c>
      <c r="J6148">
        <v>1848</v>
      </c>
      <c r="K6148" t="s">
        <v>23</v>
      </c>
    </row>
    <row r="6149" spans="1:11">
      <c r="A6149" s="1">
        <v>46079</v>
      </c>
      <c r="B6149" t="s">
        <v>40</v>
      </c>
      <c r="C6149" t="s">
        <v>45</v>
      </c>
      <c r="D6149">
        <v>2987</v>
      </c>
      <c r="E6149">
        <v>863</v>
      </c>
      <c r="F6149">
        <v>305</v>
      </c>
      <c r="G6149">
        <v>145</v>
      </c>
      <c r="H6149">
        <v>4299</v>
      </c>
      <c r="I6149" s="1">
        <v>46054</v>
      </c>
      <c r="J6149">
        <v>450</v>
      </c>
      <c r="K6149" t="s">
        <v>23</v>
      </c>
    </row>
    <row r="6150" spans="1:11">
      <c r="A6150" s="1">
        <v>46079</v>
      </c>
      <c r="B6150" t="s">
        <v>40</v>
      </c>
      <c r="C6150" t="s">
        <v>43</v>
      </c>
      <c r="D6150">
        <v>11435</v>
      </c>
      <c r="E6150">
        <v>5138</v>
      </c>
      <c r="F6150">
        <v>1130</v>
      </c>
      <c r="G6150">
        <v>84</v>
      </c>
      <c r="H6150">
        <v>17787</v>
      </c>
      <c r="I6150" s="1">
        <v>46054</v>
      </c>
      <c r="J6150">
        <v>1214</v>
      </c>
      <c r="K6150" t="s">
        <v>23</v>
      </c>
    </row>
    <row r="6151" spans="1:11">
      <c r="A6151" s="1">
        <v>46079</v>
      </c>
      <c r="B6151" t="s">
        <v>40</v>
      </c>
      <c r="C6151" t="s">
        <v>39</v>
      </c>
      <c r="D6151">
        <v>6466</v>
      </c>
      <c r="E6151">
        <v>3739</v>
      </c>
      <c r="F6151">
        <v>1735</v>
      </c>
      <c r="G6151">
        <v>836</v>
      </c>
      <c r="H6151">
        <v>12775</v>
      </c>
      <c r="I6151" s="1">
        <v>46054</v>
      </c>
      <c r="J6151">
        <v>2571</v>
      </c>
      <c r="K6151" t="s">
        <v>23</v>
      </c>
    </row>
    <row r="6152" spans="1:11">
      <c r="A6152" s="1">
        <v>46079</v>
      </c>
      <c r="B6152" t="s">
        <v>40</v>
      </c>
      <c r="C6152" t="s">
        <v>38</v>
      </c>
      <c r="D6152">
        <v>2359</v>
      </c>
      <c r="E6152">
        <v>933</v>
      </c>
      <c r="F6152">
        <v>230</v>
      </c>
      <c r="G6152">
        <v>3</v>
      </c>
      <c r="H6152">
        <v>3525</v>
      </c>
      <c r="I6152" s="1">
        <v>46054</v>
      </c>
      <c r="J6152">
        <v>233</v>
      </c>
      <c r="K6152" t="s">
        <v>23</v>
      </c>
    </row>
    <row r="6153" spans="1:11">
      <c r="A6153" s="1">
        <v>46079</v>
      </c>
      <c r="B6153" t="s">
        <v>40</v>
      </c>
      <c r="C6153" t="s">
        <v>54</v>
      </c>
      <c r="D6153">
        <v>1316</v>
      </c>
      <c r="E6153">
        <v>553</v>
      </c>
      <c r="F6153">
        <v>470</v>
      </c>
      <c r="G6153">
        <v>314</v>
      </c>
      <c r="H6153">
        <v>2652</v>
      </c>
      <c r="I6153" s="1">
        <v>46054</v>
      </c>
      <c r="J6153">
        <v>784</v>
      </c>
      <c r="K6153" t="s">
        <v>23</v>
      </c>
    </row>
    <row r="6154" spans="1:11">
      <c r="A6154" s="1">
        <v>46079</v>
      </c>
      <c r="B6154" t="s">
        <v>40</v>
      </c>
      <c r="C6154" t="s">
        <v>35</v>
      </c>
      <c r="D6154">
        <v>393</v>
      </c>
      <c r="E6154">
        <v>335</v>
      </c>
      <c r="F6154">
        <v>232</v>
      </c>
      <c r="G6154">
        <v>328</v>
      </c>
      <c r="H6154">
        <v>1287</v>
      </c>
      <c r="I6154" s="1">
        <v>46054</v>
      </c>
      <c r="J6154">
        <v>560</v>
      </c>
      <c r="K6154" t="s">
        <v>23</v>
      </c>
    </row>
    <row r="6155" spans="1:11">
      <c r="A6155" s="1">
        <v>46079</v>
      </c>
      <c r="B6155" t="s">
        <v>40</v>
      </c>
      <c r="C6155" t="s">
        <v>52</v>
      </c>
      <c r="D6155">
        <v>9953</v>
      </c>
      <c r="E6155">
        <v>4860</v>
      </c>
      <c r="F6155">
        <v>2012</v>
      </c>
      <c r="G6155">
        <v>816</v>
      </c>
      <c r="H6155">
        <v>17641</v>
      </c>
      <c r="I6155" s="1">
        <v>46054</v>
      </c>
      <c r="J6155">
        <v>2828</v>
      </c>
      <c r="K6155" t="s">
        <v>23</v>
      </c>
    </row>
    <row r="6156" spans="1:11">
      <c r="A6156" s="1">
        <v>46079</v>
      </c>
      <c r="B6156" t="s">
        <v>40</v>
      </c>
      <c r="C6156" t="s">
        <v>22</v>
      </c>
      <c r="D6156">
        <v>4396</v>
      </c>
      <c r="E6156">
        <v>1906</v>
      </c>
      <c r="F6156">
        <v>283</v>
      </c>
      <c r="G6156">
        <v>95</v>
      </c>
      <c r="H6156">
        <v>6680</v>
      </c>
      <c r="I6156" s="1">
        <v>46054</v>
      </c>
      <c r="J6156">
        <v>378</v>
      </c>
      <c r="K6156" t="s">
        <v>23</v>
      </c>
    </row>
    <row r="6157" spans="1:11">
      <c r="A6157" s="1">
        <v>46079</v>
      </c>
      <c r="B6157" t="s">
        <v>40</v>
      </c>
      <c r="C6157" t="s">
        <v>46</v>
      </c>
      <c r="D6157">
        <v>2290</v>
      </c>
      <c r="E6157">
        <v>636</v>
      </c>
      <c r="F6157">
        <v>234</v>
      </c>
      <c r="G6157">
        <v>8</v>
      </c>
      <c r="H6157">
        <v>3168</v>
      </c>
      <c r="I6157" s="1">
        <v>46054</v>
      </c>
      <c r="J6157">
        <v>242</v>
      </c>
      <c r="K6157" t="s">
        <v>23</v>
      </c>
    </row>
    <row r="6158" spans="1:11">
      <c r="A6158" s="1">
        <v>46079</v>
      </c>
      <c r="B6158" t="s">
        <v>40</v>
      </c>
      <c r="C6158" t="s">
        <v>31</v>
      </c>
      <c r="D6158">
        <v>3315</v>
      </c>
      <c r="E6158">
        <v>1268</v>
      </c>
      <c r="F6158">
        <v>91</v>
      </c>
      <c r="G6158">
        <v>4</v>
      </c>
      <c r="H6158">
        <v>4678</v>
      </c>
      <c r="I6158" s="1">
        <v>46054</v>
      </c>
      <c r="J6158">
        <v>95</v>
      </c>
      <c r="K6158" t="s">
        <v>23</v>
      </c>
    </row>
    <row r="6159" spans="1:11">
      <c r="A6159" s="1">
        <v>46079</v>
      </c>
      <c r="B6159" t="s">
        <v>40</v>
      </c>
      <c r="C6159" t="s">
        <v>63</v>
      </c>
      <c r="D6159">
        <v>7681</v>
      </c>
      <c r="E6159">
        <v>3942</v>
      </c>
      <c r="F6159">
        <v>2242</v>
      </c>
      <c r="G6159">
        <v>1350</v>
      </c>
      <c r="H6159">
        <v>15215</v>
      </c>
      <c r="I6159" s="1">
        <v>46054</v>
      </c>
      <c r="J6159">
        <v>3592</v>
      </c>
      <c r="K6159" t="s">
        <v>23</v>
      </c>
    </row>
    <row r="6160" spans="1:11">
      <c r="A6160" s="1">
        <v>46079</v>
      </c>
      <c r="B6160" t="s">
        <v>40</v>
      </c>
      <c r="C6160" t="s">
        <v>60</v>
      </c>
      <c r="D6160">
        <v>9008</v>
      </c>
      <c r="E6160">
        <v>2926</v>
      </c>
      <c r="F6160">
        <v>995</v>
      </c>
      <c r="G6160">
        <v>1477</v>
      </c>
      <c r="H6160">
        <v>14405</v>
      </c>
      <c r="I6160" s="1">
        <v>46054</v>
      </c>
      <c r="J6160">
        <v>2472</v>
      </c>
      <c r="K6160" t="s">
        <v>23</v>
      </c>
    </row>
    <row r="6161" spans="1:11">
      <c r="A6161" s="1">
        <v>46079</v>
      </c>
      <c r="B6161" t="s">
        <v>40</v>
      </c>
      <c r="C6161" t="s">
        <v>61</v>
      </c>
      <c r="D6161">
        <v>14853</v>
      </c>
      <c r="E6161">
        <v>7507</v>
      </c>
      <c r="F6161">
        <v>3570</v>
      </c>
      <c r="G6161">
        <v>4899</v>
      </c>
      <c r="H6161">
        <v>30829</v>
      </c>
      <c r="I6161" s="1">
        <v>46054</v>
      </c>
      <c r="J6161">
        <v>8469</v>
      </c>
      <c r="K6161" t="s">
        <v>23</v>
      </c>
    </row>
    <row r="6162" spans="1:11">
      <c r="A6162" s="1">
        <v>46079</v>
      </c>
      <c r="B6162" t="s">
        <v>40</v>
      </c>
      <c r="C6162" t="s">
        <v>62</v>
      </c>
      <c r="D6162">
        <v>2168</v>
      </c>
      <c r="E6162">
        <v>1379</v>
      </c>
      <c r="F6162">
        <v>1072</v>
      </c>
      <c r="G6162">
        <v>5729</v>
      </c>
      <c r="H6162">
        <v>10348</v>
      </c>
      <c r="I6162" s="1">
        <v>46054</v>
      </c>
      <c r="J6162">
        <v>6801</v>
      </c>
      <c r="K6162" t="s">
        <v>23</v>
      </c>
    </row>
    <row r="6163" spans="1:11">
      <c r="A6163" s="1">
        <v>46079</v>
      </c>
      <c r="B6163" t="s">
        <v>40</v>
      </c>
      <c r="C6163" t="s">
        <v>69</v>
      </c>
      <c r="D6163">
        <v>17185</v>
      </c>
      <c r="E6163">
        <v>6058</v>
      </c>
      <c r="F6163">
        <v>2199</v>
      </c>
      <c r="G6163">
        <v>1214</v>
      </c>
      <c r="H6163">
        <v>26657</v>
      </c>
      <c r="I6163" s="1">
        <v>46054</v>
      </c>
      <c r="J6163">
        <v>3413</v>
      </c>
      <c r="K6163" t="s">
        <v>23</v>
      </c>
    </row>
    <row r="6164" spans="1:11">
      <c r="A6164" s="1">
        <v>46079</v>
      </c>
      <c r="B6164" t="s">
        <v>40</v>
      </c>
      <c r="C6164" t="s">
        <v>29</v>
      </c>
      <c r="D6164">
        <v>3635</v>
      </c>
      <c r="E6164">
        <v>1315</v>
      </c>
      <c r="F6164">
        <v>717</v>
      </c>
      <c r="G6164">
        <v>460</v>
      </c>
      <c r="H6164">
        <v>6128</v>
      </c>
      <c r="I6164" s="1">
        <v>46054</v>
      </c>
      <c r="J6164">
        <v>1177</v>
      </c>
      <c r="K6164" t="s">
        <v>23</v>
      </c>
    </row>
    <row r="6165" spans="1:11">
      <c r="A6165" s="1">
        <v>46079</v>
      </c>
      <c r="B6165" t="s">
        <v>40</v>
      </c>
      <c r="C6165" t="s">
        <v>70</v>
      </c>
      <c r="D6165">
        <v>2856</v>
      </c>
      <c r="E6165">
        <v>1217</v>
      </c>
      <c r="F6165">
        <v>622</v>
      </c>
      <c r="G6165">
        <v>428</v>
      </c>
      <c r="H6165">
        <v>5122</v>
      </c>
      <c r="I6165" s="1">
        <v>46054</v>
      </c>
      <c r="J6165">
        <v>1050</v>
      </c>
      <c r="K6165" t="s">
        <v>23</v>
      </c>
    </row>
    <row r="6166" spans="1:11">
      <c r="A6166" s="1">
        <v>46079</v>
      </c>
      <c r="B6166" t="s">
        <v>40</v>
      </c>
      <c r="C6166" t="s">
        <v>71</v>
      </c>
      <c r="D6166">
        <v>18692</v>
      </c>
      <c r="E6166">
        <v>8077</v>
      </c>
      <c r="F6166">
        <v>3883</v>
      </c>
      <c r="G6166">
        <v>3295</v>
      </c>
      <c r="H6166">
        <v>33947</v>
      </c>
      <c r="I6166" s="1">
        <v>46054</v>
      </c>
      <c r="J6166">
        <v>7178</v>
      </c>
      <c r="K6166" t="s">
        <v>23</v>
      </c>
    </row>
    <row r="6167" spans="1:11">
      <c r="A6167" s="1">
        <v>46079</v>
      </c>
      <c r="B6167" t="s">
        <v>40</v>
      </c>
      <c r="C6167" t="s">
        <v>36</v>
      </c>
      <c r="D6167">
        <v>13187</v>
      </c>
      <c r="E6167">
        <v>8474</v>
      </c>
      <c r="F6167">
        <v>2330</v>
      </c>
      <c r="G6167">
        <v>906</v>
      </c>
      <c r="H6167">
        <v>24897</v>
      </c>
      <c r="I6167" s="1">
        <v>46054</v>
      </c>
      <c r="J6167">
        <v>3236</v>
      </c>
      <c r="K6167" t="s">
        <v>23</v>
      </c>
    </row>
    <row r="6168" spans="1:11">
      <c r="A6168" s="1">
        <v>46079</v>
      </c>
      <c r="B6168" t="s">
        <v>40</v>
      </c>
      <c r="C6168" t="s">
        <v>32</v>
      </c>
      <c r="D6168">
        <v>2547</v>
      </c>
      <c r="E6168">
        <v>1111</v>
      </c>
      <c r="F6168">
        <v>346</v>
      </c>
      <c r="G6168">
        <v>144</v>
      </c>
      <c r="H6168">
        <v>4147</v>
      </c>
      <c r="I6168" s="1">
        <v>46054</v>
      </c>
      <c r="J6168">
        <v>490</v>
      </c>
      <c r="K6168" t="s">
        <v>23</v>
      </c>
    </row>
    <row r="6169" spans="1:11">
      <c r="A6169" s="1">
        <v>46079</v>
      </c>
      <c r="B6169" t="s">
        <v>40</v>
      </c>
      <c r="C6169" t="s">
        <v>44</v>
      </c>
      <c r="D6169">
        <v>6924</v>
      </c>
      <c r="E6169">
        <v>3056</v>
      </c>
      <c r="F6169">
        <v>825</v>
      </c>
      <c r="G6169">
        <v>452</v>
      </c>
      <c r="H6169">
        <v>11258</v>
      </c>
      <c r="I6169" s="1">
        <v>46054</v>
      </c>
      <c r="J6169">
        <v>1277</v>
      </c>
      <c r="K6169" t="s">
        <v>23</v>
      </c>
    </row>
    <row r="6170" spans="1:11">
      <c r="A6170" s="1">
        <v>46079</v>
      </c>
      <c r="B6170" t="s">
        <v>40</v>
      </c>
      <c r="C6170" t="s">
        <v>59</v>
      </c>
      <c r="D6170">
        <v>16588</v>
      </c>
      <c r="E6170">
        <v>7257</v>
      </c>
      <c r="F6170">
        <v>1935</v>
      </c>
      <c r="G6170">
        <v>784</v>
      </c>
      <c r="H6170">
        <v>26564</v>
      </c>
      <c r="I6170" s="1">
        <v>46054</v>
      </c>
      <c r="J6170">
        <v>2719</v>
      </c>
      <c r="K6170" t="s">
        <v>23</v>
      </c>
    </row>
    <row r="6171" spans="1:11">
      <c r="A6171" s="1">
        <v>46079</v>
      </c>
      <c r="B6171" t="s">
        <v>40</v>
      </c>
      <c r="C6171" t="s">
        <v>67</v>
      </c>
      <c r="D6171">
        <v>22053</v>
      </c>
      <c r="E6171">
        <v>11359</v>
      </c>
      <c r="F6171">
        <v>5170</v>
      </c>
      <c r="G6171">
        <v>4186</v>
      </c>
      <c r="H6171">
        <v>42768</v>
      </c>
      <c r="I6171" s="1">
        <v>46054</v>
      </c>
      <c r="J6171">
        <v>9356</v>
      </c>
      <c r="K6171" t="s">
        <v>23</v>
      </c>
    </row>
    <row r="6172" spans="1:11">
      <c r="A6172" s="1">
        <v>46079</v>
      </c>
      <c r="B6172" t="s">
        <v>40</v>
      </c>
      <c r="C6172" t="s">
        <v>49</v>
      </c>
      <c r="D6172">
        <v>3927</v>
      </c>
      <c r="E6172">
        <v>1040</v>
      </c>
      <c r="F6172">
        <v>241</v>
      </c>
      <c r="G6172">
        <v>7</v>
      </c>
      <c r="H6172">
        <v>5215</v>
      </c>
      <c r="I6172" s="1">
        <v>46054</v>
      </c>
      <c r="J6172">
        <v>248</v>
      </c>
      <c r="K6172" t="s">
        <v>23</v>
      </c>
    </row>
    <row r="6173" spans="1:11">
      <c r="A6173" s="1">
        <v>46107</v>
      </c>
      <c r="B6173" t="s">
        <v>40</v>
      </c>
      <c r="C6173" t="s">
        <v>48</v>
      </c>
      <c r="D6173">
        <v>30106</v>
      </c>
      <c r="E6173">
        <v>14401</v>
      </c>
      <c r="F6173">
        <v>6725</v>
      </c>
      <c r="G6173">
        <v>2787</v>
      </c>
      <c r="H6173">
        <v>54019</v>
      </c>
      <c r="I6173" s="1">
        <v>46082</v>
      </c>
      <c r="J6173">
        <v>9512</v>
      </c>
      <c r="K6173" t="s">
        <v>23</v>
      </c>
    </row>
    <row r="6174" spans="1:11">
      <c r="A6174" s="1">
        <v>46107</v>
      </c>
      <c r="B6174" t="s">
        <v>40</v>
      </c>
      <c r="C6174" t="s">
        <v>55</v>
      </c>
      <c r="D6174">
        <v>6005</v>
      </c>
      <c r="E6174">
        <v>1954</v>
      </c>
      <c r="F6174">
        <v>242</v>
      </c>
      <c r="G6174">
        <v>49</v>
      </c>
      <c r="H6174">
        <v>8250</v>
      </c>
      <c r="I6174" s="1">
        <v>46082</v>
      </c>
      <c r="J6174">
        <v>291</v>
      </c>
      <c r="K6174" t="s">
        <v>23</v>
      </c>
    </row>
    <row r="6175" spans="1:11">
      <c r="A6175" s="1">
        <v>46107</v>
      </c>
      <c r="B6175" t="s">
        <v>40</v>
      </c>
      <c r="C6175" t="s">
        <v>33</v>
      </c>
      <c r="D6175">
        <v>2341</v>
      </c>
      <c r="E6175">
        <v>1092</v>
      </c>
      <c r="F6175">
        <v>124</v>
      </c>
      <c r="G6175">
        <v>4</v>
      </c>
      <c r="H6175">
        <v>3560</v>
      </c>
      <c r="I6175" s="1">
        <v>46082</v>
      </c>
      <c r="J6175">
        <v>128</v>
      </c>
      <c r="K6175" t="s">
        <v>23</v>
      </c>
    </row>
    <row r="6176" spans="1:11">
      <c r="A6176" s="1">
        <v>46107</v>
      </c>
      <c r="B6176" t="s">
        <v>40</v>
      </c>
      <c r="C6176" t="s">
        <v>65</v>
      </c>
      <c r="D6176">
        <v>14311</v>
      </c>
      <c r="E6176">
        <v>4867</v>
      </c>
      <c r="F6176">
        <v>1296</v>
      </c>
      <c r="G6176">
        <v>250</v>
      </c>
      <c r="H6176">
        <v>20723</v>
      </c>
      <c r="I6176" s="1">
        <v>46082</v>
      </c>
      <c r="J6176">
        <v>1546</v>
      </c>
      <c r="K6176" t="s">
        <v>23</v>
      </c>
    </row>
    <row r="6177" spans="1:11">
      <c r="A6177" s="1">
        <v>46107</v>
      </c>
      <c r="B6177" t="s">
        <v>40</v>
      </c>
      <c r="C6177" t="s">
        <v>27</v>
      </c>
      <c r="D6177">
        <v>3167</v>
      </c>
      <c r="E6177">
        <v>2271</v>
      </c>
      <c r="F6177">
        <v>573</v>
      </c>
      <c r="G6177">
        <v>373</v>
      </c>
      <c r="H6177">
        <v>6384</v>
      </c>
      <c r="I6177" s="1">
        <v>46082</v>
      </c>
      <c r="J6177">
        <v>946</v>
      </c>
      <c r="K6177" t="s">
        <v>23</v>
      </c>
    </row>
    <row r="6178" spans="1:11">
      <c r="A6178" s="1">
        <v>46107</v>
      </c>
      <c r="B6178" t="s">
        <v>40</v>
      </c>
      <c r="C6178" t="s">
        <v>37</v>
      </c>
      <c r="D6178">
        <v>399</v>
      </c>
      <c r="E6178">
        <v>392</v>
      </c>
      <c r="F6178">
        <v>269</v>
      </c>
      <c r="G6178">
        <v>349</v>
      </c>
      <c r="H6178">
        <v>1408</v>
      </c>
      <c r="I6178" s="1">
        <v>46082</v>
      </c>
      <c r="J6178">
        <v>618</v>
      </c>
      <c r="K6178" t="s">
        <v>23</v>
      </c>
    </row>
    <row r="6179" spans="1:11">
      <c r="A6179" s="1">
        <v>46107</v>
      </c>
      <c r="B6179" t="s">
        <v>40</v>
      </c>
      <c r="C6179" t="s">
        <v>66</v>
      </c>
      <c r="D6179">
        <v>24803</v>
      </c>
      <c r="E6179">
        <v>9561</v>
      </c>
      <c r="F6179">
        <v>3996</v>
      </c>
      <c r="G6179">
        <v>5561</v>
      </c>
      <c r="H6179">
        <v>43920</v>
      </c>
      <c r="I6179" s="1">
        <v>46082</v>
      </c>
      <c r="J6179">
        <v>9557</v>
      </c>
      <c r="K6179" t="s">
        <v>23</v>
      </c>
    </row>
    <row r="6180" spans="1:11">
      <c r="A6180" s="1">
        <v>46107</v>
      </c>
      <c r="B6180" t="s">
        <v>40</v>
      </c>
      <c r="C6180" t="s">
        <v>57</v>
      </c>
      <c r="D6180">
        <v>10003</v>
      </c>
      <c r="E6180">
        <v>2422</v>
      </c>
      <c r="F6180">
        <v>747</v>
      </c>
      <c r="G6180">
        <v>658</v>
      </c>
      <c r="H6180">
        <v>13830</v>
      </c>
      <c r="I6180" s="1">
        <v>46082</v>
      </c>
      <c r="J6180">
        <v>1405</v>
      </c>
      <c r="K6180" t="s">
        <v>23</v>
      </c>
    </row>
    <row r="6181" spans="1:11">
      <c r="A6181" s="1">
        <v>46107</v>
      </c>
      <c r="B6181" t="s">
        <v>40</v>
      </c>
      <c r="C6181" t="s">
        <v>42</v>
      </c>
      <c r="D6181">
        <v>1738</v>
      </c>
      <c r="E6181">
        <v>946</v>
      </c>
      <c r="F6181">
        <v>362</v>
      </c>
      <c r="G6181">
        <v>4</v>
      </c>
      <c r="H6181">
        <v>3051</v>
      </c>
      <c r="I6181" s="1">
        <v>46082</v>
      </c>
      <c r="J6181">
        <v>366</v>
      </c>
      <c r="K6181" t="s">
        <v>23</v>
      </c>
    </row>
    <row r="6182" spans="1:11">
      <c r="A6182" s="1">
        <v>46107</v>
      </c>
      <c r="B6182" t="s">
        <v>40</v>
      </c>
      <c r="C6182" t="s">
        <v>28</v>
      </c>
      <c r="D6182">
        <v>2320</v>
      </c>
      <c r="E6182">
        <v>850</v>
      </c>
      <c r="F6182">
        <v>420</v>
      </c>
      <c r="G6182">
        <v>209</v>
      </c>
      <c r="H6182">
        <v>3799</v>
      </c>
      <c r="I6182" s="1">
        <v>46082</v>
      </c>
      <c r="J6182">
        <v>629</v>
      </c>
      <c r="K6182" t="s">
        <v>23</v>
      </c>
    </row>
    <row r="6183" spans="1:11">
      <c r="A6183" s="1">
        <v>46107</v>
      </c>
      <c r="B6183" t="s">
        <v>40</v>
      </c>
      <c r="C6183" t="s">
        <v>68</v>
      </c>
      <c r="D6183">
        <v>24958</v>
      </c>
      <c r="E6183">
        <v>11096</v>
      </c>
      <c r="F6183">
        <v>3776</v>
      </c>
      <c r="G6183">
        <v>3192</v>
      </c>
      <c r="H6183">
        <v>43022</v>
      </c>
      <c r="I6183" s="1">
        <v>46082</v>
      </c>
      <c r="J6183">
        <v>6968</v>
      </c>
      <c r="K6183" t="s">
        <v>23</v>
      </c>
    </row>
    <row r="6184" spans="1:11">
      <c r="A6184" s="1">
        <v>46107</v>
      </c>
      <c r="B6184" t="s">
        <v>40</v>
      </c>
      <c r="C6184" t="s">
        <v>47</v>
      </c>
      <c r="D6184">
        <v>4852</v>
      </c>
      <c r="E6184">
        <v>1728</v>
      </c>
      <c r="F6184">
        <v>387</v>
      </c>
      <c r="G6184">
        <v>246</v>
      </c>
      <c r="H6184">
        <v>7214</v>
      </c>
      <c r="I6184" s="1">
        <v>46082</v>
      </c>
      <c r="J6184">
        <v>633</v>
      </c>
      <c r="K6184" t="s">
        <v>23</v>
      </c>
    </row>
    <row r="6185" spans="1:11">
      <c r="A6185" s="1">
        <v>46107</v>
      </c>
      <c r="B6185" t="s">
        <v>40</v>
      </c>
      <c r="C6185" t="s">
        <v>25</v>
      </c>
      <c r="D6185">
        <v>3499</v>
      </c>
      <c r="E6185">
        <v>1564</v>
      </c>
      <c r="F6185">
        <v>528</v>
      </c>
      <c r="G6185">
        <v>250</v>
      </c>
      <c r="H6185">
        <v>5841</v>
      </c>
      <c r="I6185" s="1">
        <v>46082</v>
      </c>
      <c r="J6185">
        <v>778</v>
      </c>
      <c r="K6185" t="s">
        <v>23</v>
      </c>
    </row>
    <row r="6186" spans="1:11">
      <c r="A6186" s="1">
        <v>46107</v>
      </c>
      <c r="B6186" t="s">
        <v>40</v>
      </c>
      <c r="C6186" t="s">
        <v>51</v>
      </c>
      <c r="D6186">
        <v>5398</v>
      </c>
      <c r="E6186">
        <v>1860</v>
      </c>
      <c r="F6186">
        <v>695</v>
      </c>
      <c r="G6186">
        <v>1211</v>
      </c>
      <c r="H6186">
        <v>9163</v>
      </c>
      <c r="I6186" s="1">
        <v>46082</v>
      </c>
      <c r="J6186">
        <v>1906</v>
      </c>
      <c r="K6186" t="s">
        <v>23</v>
      </c>
    </row>
    <row r="6187" spans="1:11">
      <c r="A6187" s="1">
        <v>46107</v>
      </c>
      <c r="B6187" t="s">
        <v>40</v>
      </c>
      <c r="C6187" t="s">
        <v>45</v>
      </c>
      <c r="D6187">
        <v>3013</v>
      </c>
      <c r="E6187">
        <v>972</v>
      </c>
      <c r="F6187">
        <v>337</v>
      </c>
      <c r="G6187">
        <v>153</v>
      </c>
      <c r="H6187">
        <v>4475</v>
      </c>
      <c r="I6187" s="1">
        <v>46082</v>
      </c>
      <c r="J6187">
        <v>490</v>
      </c>
      <c r="K6187" t="s">
        <v>23</v>
      </c>
    </row>
    <row r="6188" spans="1:11">
      <c r="A6188" s="1">
        <v>46107</v>
      </c>
      <c r="B6188" t="s">
        <v>40</v>
      </c>
      <c r="C6188" t="s">
        <v>43</v>
      </c>
      <c r="D6188">
        <v>11320</v>
      </c>
      <c r="E6188">
        <v>5358</v>
      </c>
      <c r="F6188">
        <v>1407</v>
      </c>
      <c r="G6188">
        <v>152</v>
      </c>
      <c r="H6188">
        <v>18236</v>
      </c>
      <c r="I6188" s="1">
        <v>46082</v>
      </c>
      <c r="J6188">
        <v>1559</v>
      </c>
      <c r="K6188" t="s">
        <v>23</v>
      </c>
    </row>
    <row r="6189" spans="1:11">
      <c r="A6189" s="1">
        <v>46107</v>
      </c>
      <c r="B6189" t="s">
        <v>40</v>
      </c>
      <c r="C6189" t="s">
        <v>39</v>
      </c>
      <c r="D6189">
        <v>6361</v>
      </c>
      <c r="E6189">
        <v>3772</v>
      </c>
      <c r="F6189">
        <v>1825</v>
      </c>
      <c r="G6189">
        <v>1009</v>
      </c>
      <c r="H6189">
        <v>12966</v>
      </c>
      <c r="I6189" s="1">
        <v>46082</v>
      </c>
      <c r="J6189">
        <v>2834</v>
      </c>
      <c r="K6189" t="s">
        <v>23</v>
      </c>
    </row>
    <row r="6190" spans="1:11">
      <c r="A6190" s="1">
        <v>46107</v>
      </c>
      <c r="B6190" t="s">
        <v>40</v>
      </c>
      <c r="C6190" t="s">
        <v>54</v>
      </c>
      <c r="D6190">
        <v>1247</v>
      </c>
      <c r="E6190">
        <v>540</v>
      </c>
      <c r="F6190">
        <v>461</v>
      </c>
      <c r="G6190">
        <v>313</v>
      </c>
      <c r="H6190">
        <v>2561</v>
      </c>
      <c r="I6190" s="1">
        <v>46082</v>
      </c>
      <c r="J6190">
        <v>774</v>
      </c>
      <c r="K6190" t="s">
        <v>23</v>
      </c>
    </row>
    <row r="6191" spans="1:11">
      <c r="A6191" s="1">
        <v>46107</v>
      </c>
      <c r="B6191" t="s">
        <v>40</v>
      </c>
      <c r="C6191" t="s">
        <v>35</v>
      </c>
      <c r="D6191">
        <v>387</v>
      </c>
      <c r="E6191">
        <v>348</v>
      </c>
      <c r="F6191">
        <v>239</v>
      </c>
      <c r="G6191">
        <v>342</v>
      </c>
      <c r="H6191">
        <v>1316</v>
      </c>
      <c r="I6191" s="1">
        <v>46082</v>
      </c>
      <c r="J6191">
        <v>581</v>
      </c>
      <c r="K6191" t="s">
        <v>23</v>
      </c>
    </row>
    <row r="6192" spans="1:11">
      <c r="A6192" s="1">
        <v>46107</v>
      </c>
      <c r="B6192" t="s">
        <v>40</v>
      </c>
      <c r="C6192" t="s">
        <v>52</v>
      </c>
      <c r="D6192">
        <v>9442</v>
      </c>
      <c r="E6192">
        <v>4766</v>
      </c>
      <c r="F6192">
        <v>2024</v>
      </c>
      <c r="G6192">
        <v>854</v>
      </c>
      <c r="H6192">
        <v>17086</v>
      </c>
      <c r="I6192" s="1">
        <v>46082</v>
      </c>
      <c r="J6192">
        <v>2878</v>
      </c>
      <c r="K6192" t="s">
        <v>23</v>
      </c>
    </row>
    <row r="6193" spans="1:11">
      <c r="A6193" s="1">
        <v>46107</v>
      </c>
      <c r="B6193" t="s">
        <v>40</v>
      </c>
      <c r="C6193" t="s">
        <v>22</v>
      </c>
      <c r="D6193">
        <v>4550</v>
      </c>
      <c r="E6193">
        <v>1931</v>
      </c>
      <c r="F6193">
        <v>366</v>
      </c>
      <c r="G6193">
        <v>68</v>
      </c>
      <c r="H6193">
        <v>6915</v>
      </c>
      <c r="I6193" s="1">
        <v>46082</v>
      </c>
      <c r="J6193">
        <v>434</v>
      </c>
      <c r="K6193" t="s">
        <v>23</v>
      </c>
    </row>
    <row r="6194" spans="1:11">
      <c r="A6194" s="1">
        <v>46107</v>
      </c>
      <c r="B6194" t="s">
        <v>40</v>
      </c>
      <c r="C6194" t="s">
        <v>46</v>
      </c>
      <c r="D6194">
        <v>2291</v>
      </c>
      <c r="E6194">
        <v>630</v>
      </c>
      <c r="F6194">
        <v>220</v>
      </c>
      <c r="G6194">
        <v>10</v>
      </c>
      <c r="H6194">
        <v>3151</v>
      </c>
      <c r="I6194" s="1">
        <v>46082</v>
      </c>
      <c r="J6194">
        <v>230</v>
      </c>
      <c r="K6194" t="s">
        <v>23</v>
      </c>
    </row>
    <row r="6195" spans="1:11">
      <c r="A6195" s="1">
        <v>46107</v>
      </c>
      <c r="B6195" t="s">
        <v>40</v>
      </c>
      <c r="C6195" t="s">
        <v>31</v>
      </c>
      <c r="D6195">
        <v>3452</v>
      </c>
      <c r="E6195">
        <v>1314</v>
      </c>
      <c r="F6195">
        <v>39</v>
      </c>
      <c r="G6195">
        <v>4</v>
      </c>
      <c r="H6195">
        <v>4809</v>
      </c>
      <c r="I6195" s="1">
        <v>46082</v>
      </c>
      <c r="J6195">
        <v>43</v>
      </c>
      <c r="K6195" t="s">
        <v>23</v>
      </c>
    </row>
    <row r="6196" spans="1:11">
      <c r="A6196" s="1">
        <v>46107</v>
      </c>
      <c r="B6196" t="s">
        <v>40</v>
      </c>
      <c r="C6196" t="s">
        <v>34</v>
      </c>
      <c r="D6196">
        <v>4547</v>
      </c>
      <c r="E6196">
        <v>1566</v>
      </c>
      <c r="F6196">
        <v>64</v>
      </c>
      <c r="G6196">
        <v>1</v>
      </c>
      <c r="H6196">
        <v>6178</v>
      </c>
      <c r="I6196" s="1">
        <v>46082</v>
      </c>
      <c r="J6196">
        <v>65</v>
      </c>
      <c r="K6196" t="s">
        <v>23</v>
      </c>
    </row>
    <row r="6197" spans="1:11">
      <c r="A6197" s="1">
        <v>46107</v>
      </c>
      <c r="B6197" t="s">
        <v>40</v>
      </c>
      <c r="C6197" t="s">
        <v>63</v>
      </c>
      <c r="D6197">
        <v>7595</v>
      </c>
      <c r="E6197">
        <v>4141</v>
      </c>
      <c r="F6197">
        <v>2206</v>
      </c>
      <c r="G6197">
        <v>1657</v>
      </c>
      <c r="H6197">
        <v>15599</v>
      </c>
      <c r="I6197" s="1">
        <v>46082</v>
      </c>
      <c r="J6197">
        <v>3863</v>
      </c>
      <c r="K6197" t="s">
        <v>23</v>
      </c>
    </row>
    <row r="6198" spans="1:11">
      <c r="A6198" s="1">
        <v>46107</v>
      </c>
      <c r="B6198" t="s">
        <v>40</v>
      </c>
      <c r="C6198" t="s">
        <v>60</v>
      </c>
      <c r="D6198">
        <v>8956</v>
      </c>
      <c r="E6198">
        <v>3091</v>
      </c>
      <c r="F6198">
        <v>1002</v>
      </c>
      <c r="G6198">
        <v>1540</v>
      </c>
      <c r="H6198">
        <v>14590</v>
      </c>
      <c r="I6198" s="1">
        <v>46082</v>
      </c>
      <c r="J6198">
        <v>2542</v>
      </c>
      <c r="K6198" t="s">
        <v>23</v>
      </c>
    </row>
    <row r="6199" spans="1:11">
      <c r="A6199" s="1">
        <v>46107</v>
      </c>
      <c r="B6199" t="s">
        <v>40</v>
      </c>
      <c r="C6199" t="s">
        <v>61</v>
      </c>
      <c r="D6199">
        <v>15605</v>
      </c>
      <c r="E6199">
        <v>7629</v>
      </c>
      <c r="F6199">
        <v>3597</v>
      </c>
      <c r="G6199">
        <v>4953</v>
      </c>
      <c r="H6199">
        <v>31784</v>
      </c>
      <c r="I6199" s="1">
        <v>46082</v>
      </c>
      <c r="J6199">
        <v>8550</v>
      </c>
      <c r="K6199" t="s">
        <v>23</v>
      </c>
    </row>
    <row r="6200" spans="1:11">
      <c r="A6200" s="1">
        <v>46107</v>
      </c>
      <c r="B6200" t="s">
        <v>40</v>
      </c>
      <c r="C6200" t="s">
        <v>62</v>
      </c>
      <c r="D6200">
        <v>2161</v>
      </c>
      <c r="E6200">
        <v>1399</v>
      </c>
      <c r="F6200">
        <v>1075</v>
      </c>
      <c r="G6200">
        <v>5821</v>
      </c>
      <c r="H6200">
        <v>10456</v>
      </c>
      <c r="I6200" s="1">
        <v>46082</v>
      </c>
      <c r="J6200">
        <v>6896</v>
      </c>
      <c r="K6200" t="s">
        <v>23</v>
      </c>
    </row>
    <row r="6201" spans="1:11">
      <c r="A6201" s="1">
        <v>46107</v>
      </c>
      <c r="B6201" t="s">
        <v>40</v>
      </c>
      <c r="C6201" t="s">
        <v>69</v>
      </c>
      <c r="D6201">
        <v>17371</v>
      </c>
      <c r="E6201">
        <v>6292</v>
      </c>
      <c r="F6201">
        <v>2483</v>
      </c>
      <c r="G6201">
        <v>1315</v>
      </c>
      <c r="H6201">
        <v>27460</v>
      </c>
      <c r="I6201" s="1">
        <v>46082</v>
      </c>
      <c r="J6201">
        <v>3798</v>
      </c>
      <c r="K6201" t="s">
        <v>23</v>
      </c>
    </row>
    <row r="6202" spans="1:11">
      <c r="A6202" s="1">
        <v>46107</v>
      </c>
      <c r="B6202" t="s">
        <v>40</v>
      </c>
      <c r="C6202" t="s">
        <v>29</v>
      </c>
      <c r="D6202">
        <v>3614</v>
      </c>
      <c r="E6202">
        <v>1372</v>
      </c>
      <c r="F6202">
        <v>685</v>
      </c>
      <c r="G6202">
        <v>537</v>
      </c>
      <c r="H6202">
        <v>6208</v>
      </c>
      <c r="I6202" s="1">
        <v>46082</v>
      </c>
      <c r="J6202">
        <v>1222</v>
      </c>
      <c r="K6202" t="s">
        <v>23</v>
      </c>
    </row>
    <row r="6203" spans="1:11">
      <c r="A6203" s="1">
        <v>46107</v>
      </c>
      <c r="B6203" t="s">
        <v>40</v>
      </c>
      <c r="C6203" t="s">
        <v>70</v>
      </c>
      <c r="D6203">
        <v>2821</v>
      </c>
      <c r="E6203">
        <v>1193</v>
      </c>
      <c r="F6203">
        <v>661</v>
      </c>
      <c r="G6203">
        <v>383</v>
      </c>
      <c r="H6203">
        <v>5059</v>
      </c>
      <c r="I6203" s="1">
        <v>46082</v>
      </c>
      <c r="J6203">
        <v>1044</v>
      </c>
      <c r="K6203" t="s">
        <v>23</v>
      </c>
    </row>
    <row r="6204" spans="1:11">
      <c r="A6204" s="1">
        <v>46107</v>
      </c>
      <c r="B6204" t="s">
        <v>40</v>
      </c>
      <c r="C6204" t="s">
        <v>71</v>
      </c>
      <c r="D6204">
        <v>18893</v>
      </c>
      <c r="E6204">
        <v>8094</v>
      </c>
      <c r="F6204">
        <v>3869</v>
      </c>
      <c r="G6204">
        <v>3383</v>
      </c>
      <c r="H6204">
        <v>34239</v>
      </c>
      <c r="I6204" s="1">
        <v>46082</v>
      </c>
      <c r="J6204">
        <v>7252</v>
      </c>
      <c r="K6204" t="s">
        <v>23</v>
      </c>
    </row>
    <row r="6205" spans="1:11">
      <c r="A6205" s="1">
        <v>46107</v>
      </c>
      <c r="B6205" t="s">
        <v>40</v>
      </c>
      <c r="C6205" t="s">
        <v>36</v>
      </c>
      <c r="D6205">
        <v>14337</v>
      </c>
      <c r="E6205">
        <v>8924</v>
      </c>
      <c r="F6205">
        <v>2492</v>
      </c>
      <c r="G6205">
        <v>962</v>
      </c>
      <c r="H6205">
        <v>26714</v>
      </c>
      <c r="I6205" s="1">
        <v>46082</v>
      </c>
      <c r="J6205">
        <v>3454</v>
      </c>
      <c r="K6205" t="s">
        <v>23</v>
      </c>
    </row>
    <row r="6206" spans="1:11">
      <c r="A6206" s="1">
        <v>46107</v>
      </c>
      <c r="B6206" t="s">
        <v>40</v>
      </c>
      <c r="C6206" t="s">
        <v>32</v>
      </c>
      <c r="D6206">
        <v>2626</v>
      </c>
      <c r="E6206">
        <v>1101</v>
      </c>
      <c r="F6206">
        <v>370</v>
      </c>
      <c r="G6206">
        <v>157</v>
      </c>
      <c r="H6206">
        <v>4253</v>
      </c>
      <c r="I6206" s="1">
        <v>46082</v>
      </c>
      <c r="J6206">
        <v>527</v>
      </c>
      <c r="K6206" t="s">
        <v>23</v>
      </c>
    </row>
    <row r="6207" spans="1:11">
      <c r="A6207" s="1">
        <v>46107</v>
      </c>
      <c r="B6207" t="s">
        <v>40</v>
      </c>
      <c r="C6207" t="s">
        <v>44</v>
      </c>
      <c r="D6207">
        <v>6915</v>
      </c>
      <c r="E6207">
        <v>2974</v>
      </c>
      <c r="F6207">
        <v>959</v>
      </c>
      <c r="G6207">
        <v>437</v>
      </c>
      <c r="H6207">
        <v>11285</v>
      </c>
      <c r="I6207" s="1">
        <v>46082</v>
      </c>
      <c r="J6207">
        <v>1396</v>
      </c>
      <c r="K6207" t="s">
        <v>23</v>
      </c>
    </row>
    <row r="6208" spans="1:11">
      <c r="A6208" s="1">
        <v>46107</v>
      </c>
      <c r="B6208" t="s">
        <v>40</v>
      </c>
      <c r="C6208" t="s">
        <v>59</v>
      </c>
      <c r="D6208">
        <v>17151</v>
      </c>
      <c r="E6208">
        <v>7651</v>
      </c>
      <c r="F6208">
        <v>1842</v>
      </c>
      <c r="G6208">
        <v>786</v>
      </c>
      <c r="H6208">
        <v>27429</v>
      </c>
      <c r="I6208" s="1">
        <v>46082</v>
      </c>
      <c r="J6208">
        <v>2628</v>
      </c>
      <c r="K6208" t="s">
        <v>23</v>
      </c>
    </row>
    <row r="6209" spans="1:11">
      <c r="A6209" s="1">
        <v>46107</v>
      </c>
      <c r="B6209" t="s">
        <v>40</v>
      </c>
      <c r="C6209" t="s">
        <v>67</v>
      </c>
      <c r="D6209">
        <v>21913</v>
      </c>
      <c r="E6209">
        <v>11315</v>
      </c>
      <c r="F6209">
        <v>5257</v>
      </c>
      <c r="G6209">
        <v>4150</v>
      </c>
      <c r="H6209">
        <v>42636</v>
      </c>
      <c r="I6209" s="1">
        <v>46082</v>
      </c>
      <c r="J6209">
        <v>9407</v>
      </c>
      <c r="K6209" t="s">
        <v>23</v>
      </c>
    </row>
    <row r="6210" spans="1:11">
      <c r="A6210" s="1">
        <v>46107</v>
      </c>
      <c r="B6210" t="s">
        <v>40</v>
      </c>
      <c r="C6210" t="s">
        <v>49</v>
      </c>
      <c r="D6210">
        <v>4042</v>
      </c>
      <c r="E6210">
        <v>963</v>
      </c>
      <c r="F6210">
        <v>359</v>
      </c>
      <c r="G6210">
        <v>17</v>
      </c>
      <c r="H6210">
        <v>5382</v>
      </c>
      <c r="I6210" s="1">
        <v>46082</v>
      </c>
      <c r="J6210">
        <v>376</v>
      </c>
      <c r="K6210" t="s">
        <v>23</v>
      </c>
    </row>
    <row r="6211" spans="1:11">
      <c r="A6211" s="1">
        <v>46142</v>
      </c>
      <c r="B6211" t="s">
        <v>40</v>
      </c>
      <c r="C6211" t="s">
        <v>48</v>
      </c>
      <c r="D6211">
        <v>30531</v>
      </c>
      <c r="E6211">
        <v>14009</v>
      </c>
      <c r="F6211">
        <v>6802</v>
      </c>
      <c r="G6211">
        <v>3265</v>
      </c>
      <c r="H6211">
        <v>54607</v>
      </c>
      <c r="I6211" s="1">
        <v>46113</v>
      </c>
      <c r="J6211">
        <v>10067</v>
      </c>
      <c r="K6211" t="s">
        <v>23</v>
      </c>
    </row>
    <row r="6212" spans="1:11">
      <c r="A6212" s="1">
        <v>46142</v>
      </c>
      <c r="B6212" t="s">
        <v>40</v>
      </c>
      <c r="C6212" t="s">
        <v>55</v>
      </c>
      <c r="D6212">
        <v>5850</v>
      </c>
      <c r="E6212">
        <v>1895</v>
      </c>
      <c r="F6212">
        <v>707</v>
      </c>
      <c r="G6212">
        <v>7</v>
      </c>
      <c r="H6212">
        <v>8458</v>
      </c>
      <c r="I6212" s="1">
        <v>46113</v>
      </c>
      <c r="J6212">
        <v>714</v>
      </c>
      <c r="K6212" t="s">
        <v>23</v>
      </c>
    </row>
    <row r="6213" spans="1:11">
      <c r="A6213" s="1">
        <v>46142</v>
      </c>
      <c r="B6213" t="s">
        <v>40</v>
      </c>
      <c r="C6213" t="s">
        <v>33</v>
      </c>
      <c r="D6213">
        <v>2392</v>
      </c>
      <c r="E6213">
        <v>1116</v>
      </c>
      <c r="F6213">
        <v>112</v>
      </c>
      <c r="G6213">
        <v>3</v>
      </c>
      <c r="H6213">
        <v>3623</v>
      </c>
      <c r="I6213" s="1">
        <v>46113</v>
      </c>
      <c r="J6213">
        <v>115</v>
      </c>
      <c r="K6213" t="s">
        <v>23</v>
      </c>
    </row>
    <row r="6214" spans="1:11">
      <c r="A6214" s="1">
        <v>46142</v>
      </c>
      <c r="B6214" t="s">
        <v>40</v>
      </c>
      <c r="C6214" t="s">
        <v>65</v>
      </c>
      <c r="D6214">
        <v>14166</v>
      </c>
      <c r="E6214">
        <v>5002</v>
      </c>
      <c r="F6214">
        <v>1139</v>
      </c>
      <c r="G6214">
        <v>138</v>
      </c>
      <c r="H6214">
        <v>20444</v>
      </c>
      <c r="I6214" s="1">
        <v>46113</v>
      </c>
      <c r="J6214">
        <v>1277</v>
      </c>
      <c r="K6214" t="s">
        <v>23</v>
      </c>
    </row>
    <row r="6215" spans="1:11">
      <c r="A6215" s="1">
        <v>46142</v>
      </c>
      <c r="B6215" t="s">
        <v>40</v>
      </c>
      <c r="C6215" t="s">
        <v>27</v>
      </c>
      <c r="D6215">
        <v>3193</v>
      </c>
      <c r="E6215">
        <v>2264</v>
      </c>
      <c r="F6215">
        <v>592</v>
      </c>
      <c r="G6215">
        <v>383</v>
      </c>
      <c r="H6215">
        <v>6432</v>
      </c>
      <c r="I6215" s="1">
        <v>46113</v>
      </c>
      <c r="J6215">
        <v>975</v>
      </c>
      <c r="K6215" t="s">
        <v>23</v>
      </c>
    </row>
    <row r="6216" spans="1:11">
      <c r="A6216" s="1">
        <v>46142</v>
      </c>
      <c r="B6216" t="s">
        <v>40</v>
      </c>
      <c r="C6216" t="s">
        <v>37</v>
      </c>
      <c r="D6216">
        <v>412</v>
      </c>
      <c r="E6216">
        <v>383</v>
      </c>
      <c r="F6216">
        <v>285</v>
      </c>
      <c r="G6216">
        <v>358</v>
      </c>
      <c r="H6216">
        <v>1438</v>
      </c>
      <c r="I6216" s="1">
        <v>46113</v>
      </c>
      <c r="J6216">
        <v>643</v>
      </c>
      <c r="K6216" t="s">
        <v>23</v>
      </c>
    </row>
    <row r="6217" spans="1:11">
      <c r="A6217" s="1">
        <v>46142</v>
      </c>
      <c r="B6217" t="s">
        <v>40</v>
      </c>
      <c r="C6217" t="s">
        <v>66</v>
      </c>
      <c r="D6217">
        <v>25029</v>
      </c>
      <c r="E6217">
        <v>9710</v>
      </c>
      <c r="F6217">
        <v>4325</v>
      </c>
      <c r="G6217">
        <v>5541</v>
      </c>
      <c r="H6217">
        <v>44605</v>
      </c>
      <c r="I6217" s="1">
        <v>46113</v>
      </c>
      <c r="J6217">
        <v>9866</v>
      </c>
      <c r="K6217" t="s">
        <v>23</v>
      </c>
    </row>
    <row r="6218" spans="1:11">
      <c r="A6218" s="1">
        <v>46142</v>
      </c>
      <c r="B6218" t="s">
        <v>40</v>
      </c>
      <c r="C6218" t="s">
        <v>57</v>
      </c>
      <c r="D6218">
        <v>10248</v>
      </c>
      <c r="E6218">
        <v>2216</v>
      </c>
      <c r="F6218">
        <v>646</v>
      </c>
      <c r="G6218">
        <v>568</v>
      </c>
      <c r="H6218">
        <v>13679</v>
      </c>
      <c r="I6218" s="1">
        <v>46113</v>
      </c>
      <c r="J6218">
        <v>1214</v>
      </c>
      <c r="K6218" t="s">
        <v>23</v>
      </c>
    </row>
    <row r="6219" spans="1:11">
      <c r="A6219" s="1">
        <v>46142</v>
      </c>
      <c r="B6219" t="s">
        <v>40</v>
      </c>
      <c r="C6219" t="s">
        <v>28</v>
      </c>
      <c r="D6219">
        <v>2376</v>
      </c>
      <c r="E6219">
        <v>726</v>
      </c>
      <c r="F6219">
        <v>315</v>
      </c>
      <c r="G6219">
        <v>129</v>
      </c>
      <c r="H6219">
        <v>3546</v>
      </c>
      <c r="I6219" s="1">
        <v>46113</v>
      </c>
      <c r="J6219">
        <v>444</v>
      </c>
      <c r="K6219" t="s">
        <v>23</v>
      </c>
    </row>
    <row r="6220" spans="1:11">
      <c r="A6220" s="1">
        <v>46142</v>
      </c>
      <c r="B6220" t="s">
        <v>40</v>
      </c>
      <c r="C6220" t="s">
        <v>68</v>
      </c>
      <c r="D6220">
        <v>25575</v>
      </c>
      <c r="E6220">
        <v>10286</v>
      </c>
      <c r="F6220">
        <v>3667</v>
      </c>
      <c r="G6220">
        <v>2855</v>
      </c>
      <c r="H6220">
        <v>42382</v>
      </c>
      <c r="I6220" s="1">
        <v>46113</v>
      </c>
      <c r="J6220">
        <v>6522</v>
      </c>
      <c r="K6220" t="s">
        <v>23</v>
      </c>
    </row>
    <row r="6221" spans="1:11">
      <c r="A6221" s="1">
        <v>46142</v>
      </c>
      <c r="B6221" t="s">
        <v>40</v>
      </c>
      <c r="C6221" t="s">
        <v>47</v>
      </c>
      <c r="D6221">
        <v>5111</v>
      </c>
      <c r="E6221">
        <v>1689</v>
      </c>
      <c r="F6221">
        <v>436</v>
      </c>
      <c r="G6221">
        <v>265</v>
      </c>
      <c r="H6221">
        <v>7501</v>
      </c>
      <c r="I6221" s="1">
        <v>46113</v>
      </c>
      <c r="J6221">
        <v>701</v>
      </c>
      <c r="K6221" t="s">
        <v>23</v>
      </c>
    </row>
    <row r="6222" spans="1:11">
      <c r="A6222" s="1">
        <v>46142</v>
      </c>
      <c r="B6222" t="s">
        <v>40</v>
      </c>
      <c r="C6222" t="s">
        <v>25</v>
      </c>
      <c r="D6222">
        <v>3509</v>
      </c>
      <c r="E6222">
        <v>1688</v>
      </c>
      <c r="F6222">
        <v>588</v>
      </c>
      <c r="G6222">
        <v>255</v>
      </c>
      <c r="H6222">
        <v>6040</v>
      </c>
      <c r="I6222" s="1">
        <v>46113</v>
      </c>
      <c r="J6222">
        <v>843</v>
      </c>
      <c r="K6222" t="s">
        <v>23</v>
      </c>
    </row>
    <row r="6223" spans="1:11">
      <c r="A6223" s="1">
        <v>46142</v>
      </c>
      <c r="B6223" t="s">
        <v>40</v>
      </c>
      <c r="C6223" t="s">
        <v>51</v>
      </c>
      <c r="D6223">
        <v>5591</v>
      </c>
      <c r="E6223">
        <v>1877</v>
      </c>
      <c r="F6223">
        <v>639</v>
      </c>
      <c r="G6223">
        <v>1130</v>
      </c>
      <c r="H6223">
        <v>9236</v>
      </c>
      <c r="I6223" s="1">
        <v>46113</v>
      </c>
      <c r="J6223">
        <v>1769</v>
      </c>
      <c r="K6223" t="s">
        <v>23</v>
      </c>
    </row>
    <row r="6224" spans="1:11">
      <c r="A6224" s="1">
        <v>46142</v>
      </c>
      <c r="B6224" t="s">
        <v>40</v>
      </c>
      <c r="C6224" t="s">
        <v>45</v>
      </c>
      <c r="D6224">
        <v>3092</v>
      </c>
      <c r="E6224">
        <v>984</v>
      </c>
      <c r="F6224">
        <v>359</v>
      </c>
      <c r="G6224">
        <v>145</v>
      </c>
      <c r="H6224">
        <v>4580</v>
      </c>
      <c r="I6224" s="1">
        <v>46113</v>
      </c>
      <c r="J6224">
        <v>504</v>
      </c>
      <c r="K6224" t="s">
        <v>23</v>
      </c>
    </row>
    <row r="6225" spans="1:11">
      <c r="A6225" s="1">
        <v>46142</v>
      </c>
      <c r="B6225" t="s">
        <v>40</v>
      </c>
      <c r="C6225" t="s">
        <v>43</v>
      </c>
      <c r="D6225">
        <v>11611</v>
      </c>
      <c r="E6225">
        <v>5978</v>
      </c>
      <c r="F6225">
        <v>1726</v>
      </c>
      <c r="G6225">
        <v>195</v>
      </c>
      <c r="H6225">
        <v>19510</v>
      </c>
      <c r="I6225" s="1">
        <v>46113</v>
      </c>
      <c r="J6225">
        <v>1921</v>
      </c>
      <c r="K6225" t="s">
        <v>23</v>
      </c>
    </row>
    <row r="6226" spans="1:11">
      <c r="A6226" s="1">
        <v>46142</v>
      </c>
      <c r="B6226" t="s">
        <v>40</v>
      </c>
      <c r="C6226" t="s">
        <v>39</v>
      </c>
      <c r="D6226">
        <v>6414</v>
      </c>
      <c r="E6226">
        <v>3734</v>
      </c>
      <c r="F6226">
        <v>1966</v>
      </c>
      <c r="G6226">
        <v>1229</v>
      </c>
      <c r="H6226">
        <v>13343</v>
      </c>
      <c r="I6226" s="1">
        <v>46113</v>
      </c>
      <c r="J6226">
        <v>3195</v>
      </c>
      <c r="K6226" t="s">
        <v>23</v>
      </c>
    </row>
    <row r="6227" spans="1:11">
      <c r="A6227" s="1">
        <v>46142</v>
      </c>
      <c r="B6227" t="s">
        <v>40</v>
      </c>
      <c r="C6227" t="s">
        <v>54</v>
      </c>
      <c r="D6227">
        <v>1278</v>
      </c>
      <c r="E6227">
        <v>526</v>
      </c>
      <c r="F6227">
        <v>420</v>
      </c>
      <c r="G6227">
        <v>349</v>
      </c>
      <c r="H6227">
        <v>2572</v>
      </c>
      <c r="I6227" s="1">
        <v>46113</v>
      </c>
      <c r="J6227">
        <v>769</v>
      </c>
      <c r="K6227" t="s">
        <v>23</v>
      </c>
    </row>
    <row r="6228" spans="1:11">
      <c r="A6228" s="1">
        <v>46142</v>
      </c>
      <c r="B6228" t="s">
        <v>40</v>
      </c>
      <c r="C6228" t="s">
        <v>35</v>
      </c>
      <c r="D6228">
        <v>418</v>
      </c>
      <c r="E6228">
        <v>346</v>
      </c>
      <c r="F6228">
        <v>255</v>
      </c>
      <c r="G6228">
        <v>352</v>
      </c>
      <c r="H6228">
        <v>1370</v>
      </c>
      <c r="I6228" s="1">
        <v>46113</v>
      </c>
      <c r="J6228">
        <v>607</v>
      </c>
      <c r="K6228" t="s">
        <v>23</v>
      </c>
    </row>
    <row r="6229" spans="1:11">
      <c r="A6229" s="1">
        <v>46142</v>
      </c>
      <c r="B6229" t="s">
        <v>40</v>
      </c>
      <c r="C6229" t="s">
        <v>52</v>
      </c>
      <c r="D6229">
        <v>9786</v>
      </c>
      <c r="E6229">
        <v>5040</v>
      </c>
      <c r="F6229">
        <v>1969</v>
      </c>
      <c r="G6229">
        <v>903</v>
      </c>
      <c r="H6229">
        <v>17699</v>
      </c>
      <c r="I6229" s="1">
        <v>46113</v>
      </c>
      <c r="J6229">
        <v>2872</v>
      </c>
      <c r="K6229" t="s">
        <v>23</v>
      </c>
    </row>
    <row r="6230" spans="1:11">
      <c r="A6230" s="1">
        <v>46142</v>
      </c>
      <c r="B6230" t="s">
        <v>40</v>
      </c>
      <c r="C6230" t="s">
        <v>22</v>
      </c>
      <c r="D6230">
        <v>4785</v>
      </c>
      <c r="E6230">
        <v>2054</v>
      </c>
      <c r="F6230">
        <v>477</v>
      </c>
      <c r="G6230">
        <v>79</v>
      </c>
      <c r="H6230">
        <v>7395</v>
      </c>
      <c r="I6230" s="1">
        <v>46113</v>
      </c>
      <c r="J6230">
        <v>556</v>
      </c>
      <c r="K6230" t="s">
        <v>23</v>
      </c>
    </row>
    <row r="6231" spans="1:11">
      <c r="A6231" s="1">
        <v>46142</v>
      </c>
      <c r="B6231" t="s">
        <v>40</v>
      </c>
      <c r="C6231" t="s">
        <v>46</v>
      </c>
      <c r="D6231">
        <v>2305</v>
      </c>
      <c r="E6231">
        <v>620</v>
      </c>
      <c r="F6231">
        <v>175</v>
      </c>
      <c r="G6231">
        <v>7</v>
      </c>
      <c r="H6231">
        <v>3106</v>
      </c>
      <c r="I6231" s="1">
        <v>46113</v>
      </c>
      <c r="J6231">
        <v>182</v>
      </c>
      <c r="K6231" t="s">
        <v>23</v>
      </c>
    </row>
    <row r="6232" spans="1:11">
      <c r="A6232" s="1">
        <v>46142</v>
      </c>
      <c r="B6232" t="s">
        <v>40</v>
      </c>
      <c r="C6232" t="s">
        <v>63</v>
      </c>
      <c r="D6232">
        <v>7381</v>
      </c>
      <c r="E6232">
        <v>4692</v>
      </c>
      <c r="F6232">
        <v>2702</v>
      </c>
      <c r="G6232">
        <v>1804</v>
      </c>
      <c r="H6232">
        <v>16579</v>
      </c>
      <c r="I6232" s="1">
        <v>46113</v>
      </c>
      <c r="J6232">
        <v>4506</v>
      </c>
      <c r="K6232" t="s">
        <v>23</v>
      </c>
    </row>
    <row r="6233" spans="1:11">
      <c r="A6233" s="1">
        <v>46142</v>
      </c>
      <c r="B6233" t="s">
        <v>40</v>
      </c>
      <c r="C6233" t="s">
        <v>60</v>
      </c>
      <c r="D6233">
        <v>8892</v>
      </c>
      <c r="E6233">
        <v>3132</v>
      </c>
      <c r="F6233">
        <v>1030</v>
      </c>
      <c r="G6233">
        <v>1532</v>
      </c>
      <c r="H6233">
        <v>14585</v>
      </c>
      <c r="I6233" s="1">
        <v>46113</v>
      </c>
      <c r="J6233">
        <v>2562</v>
      </c>
      <c r="K6233" t="s">
        <v>23</v>
      </c>
    </row>
    <row r="6234" spans="1:11">
      <c r="A6234" s="1">
        <v>46142</v>
      </c>
      <c r="B6234" t="s">
        <v>40</v>
      </c>
      <c r="C6234" t="s">
        <v>61</v>
      </c>
      <c r="D6234">
        <v>15049</v>
      </c>
      <c r="E6234">
        <v>7699</v>
      </c>
      <c r="F6234">
        <v>3688</v>
      </c>
      <c r="G6234">
        <v>4712</v>
      </c>
      <c r="H6234">
        <v>31148</v>
      </c>
      <c r="I6234" s="1">
        <v>46113</v>
      </c>
      <c r="J6234">
        <v>8400</v>
      </c>
      <c r="K6234" t="s">
        <v>23</v>
      </c>
    </row>
    <row r="6235" spans="1:11">
      <c r="A6235" s="1">
        <v>46142</v>
      </c>
      <c r="B6235" t="s">
        <v>40</v>
      </c>
      <c r="C6235" t="s">
        <v>62</v>
      </c>
      <c r="D6235">
        <v>2200</v>
      </c>
      <c r="E6235">
        <v>1447</v>
      </c>
      <c r="F6235">
        <v>1073</v>
      </c>
      <c r="G6235">
        <v>5934</v>
      </c>
      <c r="H6235">
        <v>10654</v>
      </c>
      <c r="I6235" s="1">
        <v>46113</v>
      </c>
      <c r="J6235">
        <v>7007</v>
      </c>
      <c r="K6235" t="s">
        <v>23</v>
      </c>
    </row>
    <row r="6236" spans="1:11">
      <c r="A6236" s="1">
        <v>46142</v>
      </c>
      <c r="B6236" t="s">
        <v>40</v>
      </c>
      <c r="C6236" t="s">
        <v>69</v>
      </c>
      <c r="D6236">
        <v>18226</v>
      </c>
      <c r="E6236">
        <v>6371</v>
      </c>
      <c r="F6236">
        <v>2684</v>
      </c>
      <c r="G6236">
        <v>1498</v>
      </c>
      <c r="H6236">
        <v>28779</v>
      </c>
      <c r="I6236" s="1">
        <v>46113</v>
      </c>
      <c r="J6236">
        <v>4182</v>
      </c>
      <c r="K6236" t="s">
        <v>23</v>
      </c>
    </row>
    <row r="6237" spans="1:11">
      <c r="A6237" s="1">
        <v>46142</v>
      </c>
      <c r="B6237" t="s">
        <v>40</v>
      </c>
      <c r="C6237" t="s">
        <v>29</v>
      </c>
      <c r="D6237">
        <v>3678</v>
      </c>
      <c r="E6237">
        <v>1413</v>
      </c>
      <c r="F6237">
        <v>631</v>
      </c>
      <c r="G6237">
        <v>500</v>
      </c>
      <c r="H6237">
        <v>6223</v>
      </c>
      <c r="I6237" s="1">
        <v>46113</v>
      </c>
      <c r="J6237">
        <v>1131</v>
      </c>
      <c r="K6237" t="s">
        <v>23</v>
      </c>
    </row>
    <row r="6238" spans="1:11">
      <c r="A6238" s="1">
        <v>46142</v>
      </c>
      <c r="B6238" t="s">
        <v>40</v>
      </c>
      <c r="C6238" t="s">
        <v>70</v>
      </c>
      <c r="D6238">
        <v>2730</v>
      </c>
      <c r="E6238">
        <v>1176</v>
      </c>
      <c r="F6238">
        <v>611</v>
      </c>
      <c r="G6238">
        <v>360</v>
      </c>
      <c r="H6238">
        <v>4876</v>
      </c>
      <c r="I6238" s="1">
        <v>46113</v>
      </c>
      <c r="J6238">
        <v>971</v>
      </c>
      <c r="K6238" t="s">
        <v>23</v>
      </c>
    </row>
    <row r="6239" spans="1:11">
      <c r="A6239" s="1">
        <v>46142</v>
      </c>
      <c r="B6239" t="s">
        <v>40</v>
      </c>
      <c r="C6239" t="s">
        <v>71</v>
      </c>
      <c r="D6239">
        <v>18958</v>
      </c>
      <c r="E6239">
        <v>8108</v>
      </c>
      <c r="F6239">
        <v>3976</v>
      </c>
      <c r="G6239">
        <v>3474</v>
      </c>
      <c r="H6239">
        <v>34517</v>
      </c>
      <c r="I6239" s="1">
        <v>46113</v>
      </c>
      <c r="J6239">
        <v>7450</v>
      </c>
      <c r="K6239" t="s">
        <v>23</v>
      </c>
    </row>
    <row r="6240" spans="1:11">
      <c r="A6240" s="1">
        <v>46142</v>
      </c>
      <c r="B6240" t="s">
        <v>40</v>
      </c>
      <c r="C6240" t="s">
        <v>36</v>
      </c>
      <c r="D6240">
        <v>15464</v>
      </c>
      <c r="E6240">
        <v>9292</v>
      </c>
      <c r="F6240">
        <v>2706</v>
      </c>
      <c r="G6240">
        <v>1055</v>
      </c>
      <c r="H6240">
        <v>28516</v>
      </c>
      <c r="I6240" s="1">
        <v>46113</v>
      </c>
      <c r="J6240">
        <v>3761</v>
      </c>
      <c r="K6240" t="s">
        <v>23</v>
      </c>
    </row>
    <row r="6241" spans="1:11">
      <c r="A6241" s="1">
        <v>46142</v>
      </c>
      <c r="B6241" t="s">
        <v>40</v>
      </c>
      <c r="C6241" t="s">
        <v>32</v>
      </c>
      <c r="D6241">
        <v>2696</v>
      </c>
      <c r="E6241">
        <v>1019</v>
      </c>
      <c r="F6241">
        <v>382</v>
      </c>
      <c r="G6241">
        <v>160</v>
      </c>
      <c r="H6241">
        <v>4257</v>
      </c>
      <c r="I6241" s="1">
        <v>46113</v>
      </c>
      <c r="J6241">
        <v>542</v>
      </c>
      <c r="K6241" t="s">
        <v>23</v>
      </c>
    </row>
    <row r="6242" spans="1:11">
      <c r="A6242" s="1">
        <v>46142</v>
      </c>
      <c r="B6242" t="s">
        <v>40</v>
      </c>
      <c r="C6242" t="s">
        <v>44</v>
      </c>
      <c r="D6242">
        <v>6933</v>
      </c>
      <c r="E6242">
        <v>2730</v>
      </c>
      <c r="F6242">
        <v>1019</v>
      </c>
      <c r="G6242">
        <v>448</v>
      </c>
      <c r="H6242">
        <v>11130</v>
      </c>
      <c r="I6242" s="1">
        <v>46113</v>
      </c>
      <c r="J6242">
        <v>1467</v>
      </c>
      <c r="K6242" t="s">
        <v>23</v>
      </c>
    </row>
    <row r="6243" spans="1:11">
      <c r="A6243" s="1">
        <v>46142</v>
      </c>
      <c r="B6243" t="s">
        <v>40</v>
      </c>
      <c r="C6243" t="s">
        <v>59</v>
      </c>
      <c r="D6243">
        <v>17678</v>
      </c>
      <c r="E6243">
        <v>7897</v>
      </c>
      <c r="F6243">
        <v>1863</v>
      </c>
      <c r="G6243">
        <v>768</v>
      </c>
      <c r="H6243">
        <v>28206</v>
      </c>
      <c r="I6243" s="1">
        <v>46113</v>
      </c>
      <c r="J6243">
        <v>2631</v>
      </c>
      <c r="K6243" t="s">
        <v>23</v>
      </c>
    </row>
    <row r="6244" spans="1:11">
      <c r="A6244" s="1">
        <v>46142</v>
      </c>
      <c r="B6244" t="s">
        <v>40</v>
      </c>
      <c r="C6244" t="s">
        <v>67</v>
      </c>
      <c r="D6244">
        <v>22442</v>
      </c>
      <c r="E6244">
        <v>11498</v>
      </c>
      <c r="F6244">
        <v>5180</v>
      </c>
      <c r="G6244">
        <v>4129</v>
      </c>
      <c r="H6244">
        <v>43249</v>
      </c>
      <c r="I6244" s="1">
        <v>46113</v>
      </c>
      <c r="J6244">
        <v>9309</v>
      </c>
      <c r="K6244" t="s">
        <v>23</v>
      </c>
    </row>
    <row r="6245" spans="1:11">
      <c r="A6245" s="1">
        <v>46142</v>
      </c>
      <c r="B6245" t="s">
        <v>40</v>
      </c>
      <c r="C6245" t="s">
        <v>49</v>
      </c>
      <c r="D6245">
        <v>4301</v>
      </c>
      <c r="E6245">
        <v>849</v>
      </c>
      <c r="F6245">
        <v>364</v>
      </c>
      <c r="G6245">
        <v>13</v>
      </c>
      <c r="H6245">
        <v>5527</v>
      </c>
      <c r="I6245" s="1">
        <v>46113</v>
      </c>
      <c r="J6245">
        <v>377</v>
      </c>
      <c r="K6245" t="s">
        <v>23</v>
      </c>
    </row>
    <row r="6246" spans="1:11">
      <c r="A6246" s="1">
        <v>46170</v>
      </c>
      <c r="B6246" t="s">
        <v>40</v>
      </c>
      <c r="C6246" t="s">
        <v>48</v>
      </c>
      <c r="D6246">
        <v>30782</v>
      </c>
      <c r="E6246">
        <v>14124</v>
      </c>
      <c r="F6246">
        <v>7071</v>
      </c>
      <c r="G6246">
        <v>3714</v>
      </c>
      <c r="H6246">
        <v>55691</v>
      </c>
      <c r="I6246" s="1">
        <v>46143</v>
      </c>
      <c r="J6246">
        <v>10785</v>
      </c>
      <c r="K6246" t="s">
        <v>23</v>
      </c>
    </row>
    <row r="6247" spans="1:11">
      <c r="A6247" s="1">
        <v>46170</v>
      </c>
      <c r="B6247" t="s">
        <v>40</v>
      </c>
      <c r="C6247" t="s">
        <v>55</v>
      </c>
      <c r="D6247">
        <v>5929</v>
      </c>
      <c r="E6247">
        <v>1908</v>
      </c>
      <c r="F6247">
        <v>741</v>
      </c>
      <c r="G6247">
        <v>11</v>
      </c>
      <c r="H6247">
        <v>8589</v>
      </c>
      <c r="I6247" s="1">
        <v>46143</v>
      </c>
      <c r="J6247">
        <v>752</v>
      </c>
      <c r="K6247" t="s">
        <v>23</v>
      </c>
    </row>
    <row r="6248" spans="1:11">
      <c r="A6248" s="1">
        <v>46170</v>
      </c>
      <c r="B6248" t="s">
        <v>40</v>
      </c>
      <c r="C6248" t="s">
        <v>65</v>
      </c>
      <c r="D6248">
        <v>14124</v>
      </c>
      <c r="E6248">
        <v>5154</v>
      </c>
      <c r="F6248">
        <v>1351</v>
      </c>
      <c r="G6248">
        <v>122</v>
      </c>
      <c r="H6248">
        <v>20751</v>
      </c>
      <c r="I6248" s="1">
        <v>46143</v>
      </c>
      <c r="J6248">
        <v>1473</v>
      </c>
      <c r="K6248" t="s">
        <v>23</v>
      </c>
    </row>
    <row r="6249" spans="1:11">
      <c r="A6249" s="1">
        <v>46170</v>
      </c>
      <c r="B6249" t="s">
        <v>40</v>
      </c>
      <c r="C6249" t="s">
        <v>27</v>
      </c>
      <c r="D6249">
        <v>3088</v>
      </c>
      <c r="E6249">
        <v>2343</v>
      </c>
      <c r="F6249">
        <v>566</v>
      </c>
      <c r="G6249">
        <v>365</v>
      </c>
      <c r="H6249">
        <v>6362</v>
      </c>
      <c r="I6249" s="1">
        <v>46143</v>
      </c>
      <c r="J6249">
        <v>931</v>
      </c>
      <c r="K6249" t="s">
        <v>23</v>
      </c>
    </row>
    <row r="6250" spans="1:11">
      <c r="A6250" s="1">
        <v>46170</v>
      </c>
      <c r="B6250" t="s">
        <v>40</v>
      </c>
      <c r="C6250" t="s">
        <v>37</v>
      </c>
      <c r="D6250">
        <v>424</v>
      </c>
      <c r="E6250">
        <v>379</v>
      </c>
      <c r="F6250">
        <v>287</v>
      </c>
      <c r="G6250">
        <v>382</v>
      </c>
      <c r="H6250">
        <v>1472</v>
      </c>
      <c r="I6250" s="1">
        <v>46143</v>
      </c>
      <c r="J6250">
        <v>669</v>
      </c>
      <c r="K6250" t="s">
        <v>23</v>
      </c>
    </row>
    <row r="6251" spans="1:11">
      <c r="A6251" s="1">
        <v>46170</v>
      </c>
      <c r="B6251" t="s">
        <v>40</v>
      </c>
      <c r="C6251" t="s">
        <v>66</v>
      </c>
      <c r="D6251">
        <v>25521</v>
      </c>
      <c r="E6251">
        <v>9570</v>
      </c>
      <c r="F6251">
        <v>4483</v>
      </c>
      <c r="G6251">
        <v>5427</v>
      </c>
      <c r="H6251">
        <v>45002</v>
      </c>
      <c r="I6251" s="1">
        <v>46143</v>
      </c>
      <c r="J6251">
        <v>9910</v>
      </c>
      <c r="K6251" t="s">
        <v>23</v>
      </c>
    </row>
    <row r="6252" spans="1:11">
      <c r="A6252" s="1">
        <v>46170</v>
      </c>
      <c r="B6252" t="s">
        <v>40</v>
      </c>
      <c r="C6252" t="s">
        <v>57</v>
      </c>
      <c r="D6252">
        <v>10359</v>
      </c>
      <c r="E6252">
        <v>1962</v>
      </c>
      <c r="F6252">
        <v>458</v>
      </c>
      <c r="G6252">
        <v>595</v>
      </c>
      <c r="H6252">
        <v>13373</v>
      </c>
      <c r="I6252" s="1">
        <v>46143</v>
      </c>
      <c r="J6252">
        <v>1053</v>
      </c>
      <c r="K6252" t="s">
        <v>23</v>
      </c>
    </row>
    <row r="6253" spans="1:11">
      <c r="A6253" s="1">
        <v>46170</v>
      </c>
      <c r="B6253" t="s">
        <v>40</v>
      </c>
      <c r="C6253" t="s">
        <v>42</v>
      </c>
      <c r="D6253">
        <v>1708</v>
      </c>
      <c r="E6253">
        <v>735</v>
      </c>
      <c r="F6253">
        <v>178</v>
      </c>
      <c r="G6253">
        <v>7</v>
      </c>
      <c r="H6253">
        <v>2628</v>
      </c>
      <c r="I6253" s="1">
        <v>46143</v>
      </c>
      <c r="J6253">
        <v>185</v>
      </c>
      <c r="K6253" t="s">
        <v>23</v>
      </c>
    </row>
    <row r="6254" spans="1:11">
      <c r="A6254" s="1">
        <v>46170</v>
      </c>
      <c r="B6254" t="s">
        <v>40</v>
      </c>
      <c r="C6254" t="s">
        <v>28</v>
      </c>
      <c r="D6254">
        <v>2429</v>
      </c>
      <c r="E6254">
        <v>733</v>
      </c>
      <c r="F6254">
        <v>276</v>
      </c>
      <c r="G6254">
        <v>136</v>
      </c>
      <c r="H6254">
        <v>3573</v>
      </c>
      <c r="I6254" s="1">
        <v>46143</v>
      </c>
      <c r="J6254">
        <v>412</v>
      </c>
      <c r="K6254" t="s">
        <v>23</v>
      </c>
    </row>
    <row r="6255" spans="1:11">
      <c r="A6255" s="1">
        <v>46170</v>
      </c>
      <c r="B6255" t="s">
        <v>40</v>
      </c>
      <c r="C6255" t="s">
        <v>68</v>
      </c>
      <c r="D6255">
        <v>25615</v>
      </c>
      <c r="E6255">
        <v>10267</v>
      </c>
      <c r="F6255">
        <v>3924</v>
      </c>
      <c r="G6255">
        <v>3128</v>
      </c>
      <c r="H6255">
        <v>42933</v>
      </c>
      <c r="I6255" s="1">
        <v>46143</v>
      </c>
      <c r="J6255">
        <v>7052</v>
      </c>
      <c r="K6255" t="s">
        <v>23</v>
      </c>
    </row>
    <row r="6256" spans="1:11">
      <c r="A6256" s="1">
        <v>46170</v>
      </c>
      <c r="B6256" t="s">
        <v>40</v>
      </c>
      <c r="C6256" t="s">
        <v>47</v>
      </c>
      <c r="D6256">
        <v>5163</v>
      </c>
      <c r="E6256">
        <v>1673</v>
      </c>
      <c r="F6256">
        <v>499</v>
      </c>
      <c r="G6256">
        <v>180</v>
      </c>
      <c r="H6256">
        <v>7515</v>
      </c>
      <c r="I6256" s="1">
        <v>46143</v>
      </c>
      <c r="J6256">
        <v>679</v>
      </c>
      <c r="K6256" t="s">
        <v>23</v>
      </c>
    </row>
    <row r="6257" spans="1:11">
      <c r="A6257" s="1">
        <v>46170</v>
      </c>
      <c r="B6257" t="s">
        <v>40</v>
      </c>
      <c r="C6257" t="s">
        <v>25</v>
      </c>
      <c r="D6257">
        <v>3518</v>
      </c>
      <c r="E6257">
        <v>1679</v>
      </c>
      <c r="F6257">
        <v>678</v>
      </c>
      <c r="G6257">
        <v>306</v>
      </c>
      <c r="H6257">
        <v>6181</v>
      </c>
      <c r="I6257" s="1">
        <v>46143</v>
      </c>
      <c r="J6257">
        <v>984</v>
      </c>
      <c r="K6257" t="s">
        <v>23</v>
      </c>
    </row>
    <row r="6258" spans="1:11">
      <c r="A6258" s="1">
        <v>46170</v>
      </c>
      <c r="B6258" t="s">
        <v>40</v>
      </c>
      <c r="C6258" t="s">
        <v>51</v>
      </c>
      <c r="D6258">
        <v>5713</v>
      </c>
      <c r="E6258">
        <v>1973</v>
      </c>
      <c r="F6258">
        <v>648</v>
      </c>
      <c r="G6258">
        <v>1048</v>
      </c>
      <c r="H6258">
        <v>9382</v>
      </c>
      <c r="I6258" s="1">
        <v>46143</v>
      </c>
      <c r="J6258">
        <v>1696</v>
      </c>
      <c r="K6258" t="s">
        <v>23</v>
      </c>
    </row>
    <row r="6259" spans="1:11">
      <c r="A6259" s="1">
        <v>46170</v>
      </c>
      <c r="B6259" t="s">
        <v>40</v>
      </c>
      <c r="C6259" t="s">
        <v>45</v>
      </c>
      <c r="D6259">
        <v>3281</v>
      </c>
      <c r="E6259">
        <v>1092</v>
      </c>
      <c r="F6259">
        <v>390</v>
      </c>
      <c r="G6259">
        <v>161</v>
      </c>
      <c r="H6259">
        <v>4924</v>
      </c>
      <c r="I6259" s="1">
        <v>46143</v>
      </c>
      <c r="J6259">
        <v>551</v>
      </c>
      <c r="K6259" t="s">
        <v>23</v>
      </c>
    </row>
    <row r="6260" spans="1:11">
      <c r="A6260" s="1">
        <v>46170</v>
      </c>
      <c r="B6260" t="s">
        <v>40</v>
      </c>
      <c r="C6260" t="s">
        <v>43</v>
      </c>
      <c r="D6260">
        <v>11800</v>
      </c>
      <c r="E6260">
        <v>6123</v>
      </c>
      <c r="F6260">
        <v>1926</v>
      </c>
      <c r="G6260">
        <v>291</v>
      </c>
      <c r="H6260">
        <v>20139</v>
      </c>
      <c r="I6260" s="1">
        <v>46143</v>
      </c>
      <c r="J6260">
        <v>2217</v>
      </c>
      <c r="K6260" t="s">
        <v>23</v>
      </c>
    </row>
    <row r="6261" spans="1:11">
      <c r="A6261" s="1">
        <v>46170</v>
      </c>
      <c r="B6261" t="s">
        <v>40</v>
      </c>
      <c r="C6261" t="s">
        <v>39</v>
      </c>
      <c r="D6261">
        <v>6694</v>
      </c>
      <c r="E6261">
        <v>3601</v>
      </c>
      <c r="F6261">
        <v>1997</v>
      </c>
      <c r="G6261">
        <v>1396</v>
      </c>
      <c r="H6261">
        <v>13688</v>
      </c>
      <c r="I6261" s="1">
        <v>46143</v>
      </c>
      <c r="J6261">
        <v>3393</v>
      </c>
      <c r="K6261" t="s">
        <v>23</v>
      </c>
    </row>
    <row r="6262" spans="1:11">
      <c r="A6262" s="1">
        <v>46170</v>
      </c>
      <c r="B6262" t="s">
        <v>40</v>
      </c>
      <c r="C6262" t="s">
        <v>38</v>
      </c>
      <c r="D6262">
        <v>2410</v>
      </c>
      <c r="E6262">
        <v>973</v>
      </c>
      <c r="F6262">
        <v>356</v>
      </c>
      <c r="G6262">
        <v>1</v>
      </c>
      <c r="H6262">
        <v>3740</v>
      </c>
      <c r="I6262" s="1">
        <v>46143</v>
      </c>
      <c r="J6262">
        <v>357</v>
      </c>
      <c r="K6262" t="s">
        <v>23</v>
      </c>
    </row>
    <row r="6263" spans="1:11">
      <c r="A6263" s="1">
        <v>46170</v>
      </c>
      <c r="B6263" t="s">
        <v>40</v>
      </c>
      <c r="C6263" t="s">
        <v>54</v>
      </c>
      <c r="D6263">
        <v>1310</v>
      </c>
      <c r="E6263">
        <v>477</v>
      </c>
      <c r="F6263">
        <v>404</v>
      </c>
      <c r="G6263">
        <v>319</v>
      </c>
      <c r="H6263">
        <v>2509</v>
      </c>
      <c r="I6263" s="1">
        <v>46143</v>
      </c>
      <c r="J6263">
        <v>723</v>
      </c>
      <c r="K6263" t="s">
        <v>23</v>
      </c>
    </row>
    <row r="6264" spans="1:11">
      <c r="A6264" s="1">
        <v>46170</v>
      </c>
      <c r="B6264" t="s">
        <v>40</v>
      </c>
      <c r="C6264" t="s">
        <v>35</v>
      </c>
      <c r="D6264">
        <v>412</v>
      </c>
      <c r="E6264">
        <v>343</v>
      </c>
      <c r="F6264">
        <v>267</v>
      </c>
      <c r="G6264">
        <v>376</v>
      </c>
      <c r="H6264">
        <v>1399</v>
      </c>
      <c r="I6264" s="1">
        <v>46143</v>
      </c>
      <c r="J6264">
        <v>643</v>
      </c>
      <c r="K6264" t="s">
        <v>23</v>
      </c>
    </row>
    <row r="6265" spans="1:11">
      <c r="A6265" s="1">
        <v>46170</v>
      </c>
      <c r="B6265" t="s">
        <v>40</v>
      </c>
      <c r="C6265" t="s">
        <v>52</v>
      </c>
      <c r="D6265">
        <v>9697</v>
      </c>
      <c r="E6265">
        <v>5106</v>
      </c>
      <c r="F6265">
        <v>1877</v>
      </c>
      <c r="G6265">
        <v>877</v>
      </c>
      <c r="H6265">
        <v>17558</v>
      </c>
      <c r="I6265" s="1">
        <v>46143</v>
      </c>
      <c r="J6265">
        <v>2754</v>
      </c>
      <c r="K6265" t="s">
        <v>23</v>
      </c>
    </row>
    <row r="6266" spans="1:11">
      <c r="A6266" s="1">
        <v>46170</v>
      </c>
      <c r="B6266" t="s">
        <v>40</v>
      </c>
      <c r="C6266" t="s">
        <v>22</v>
      </c>
      <c r="D6266">
        <v>4956</v>
      </c>
      <c r="E6266">
        <v>2202</v>
      </c>
      <c r="F6266">
        <v>527</v>
      </c>
      <c r="G6266">
        <v>90</v>
      </c>
      <c r="H6266">
        <v>7774</v>
      </c>
      <c r="I6266" s="1">
        <v>46143</v>
      </c>
      <c r="J6266">
        <v>617</v>
      </c>
      <c r="K6266" t="s">
        <v>23</v>
      </c>
    </row>
    <row r="6267" spans="1:11">
      <c r="A6267" s="1">
        <v>46170</v>
      </c>
      <c r="B6267" t="s">
        <v>40</v>
      </c>
      <c r="C6267" t="s">
        <v>46</v>
      </c>
      <c r="D6267">
        <v>2379</v>
      </c>
      <c r="E6267">
        <v>652</v>
      </c>
      <c r="F6267">
        <v>183</v>
      </c>
      <c r="G6267">
        <v>8</v>
      </c>
      <c r="H6267">
        <v>3222</v>
      </c>
      <c r="I6267" s="1">
        <v>46143</v>
      </c>
      <c r="J6267">
        <v>191</v>
      </c>
      <c r="K6267" t="s">
        <v>23</v>
      </c>
    </row>
    <row r="6268" spans="1:11">
      <c r="A6268" s="1">
        <v>46170</v>
      </c>
      <c r="B6268" t="s">
        <v>40</v>
      </c>
      <c r="C6268" t="s">
        <v>63</v>
      </c>
      <c r="D6268">
        <v>7024</v>
      </c>
      <c r="E6268">
        <v>4758</v>
      </c>
      <c r="F6268">
        <v>2855</v>
      </c>
      <c r="G6268">
        <v>1993</v>
      </c>
      <c r="H6268">
        <v>16630</v>
      </c>
      <c r="I6268" s="1">
        <v>46143</v>
      </c>
      <c r="J6268">
        <v>4848</v>
      </c>
      <c r="K6268" t="s">
        <v>23</v>
      </c>
    </row>
    <row r="6269" spans="1:11">
      <c r="A6269" s="1">
        <v>46170</v>
      </c>
      <c r="B6269" t="s">
        <v>40</v>
      </c>
      <c r="C6269" t="s">
        <v>60</v>
      </c>
      <c r="D6269">
        <v>9360</v>
      </c>
      <c r="E6269">
        <v>3258</v>
      </c>
      <c r="F6269">
        <v>1011</v>
      </c>
      <c r="G6269">
        <v>1500</v>
      </c>
      <c r="H6269">
        <v>15129</v>
      </c>
      <c r="I6269" s="1">
        <v>46143</v>
      </c>
      <c r="J6269">
        <v>2511</v>
      </c>
      <c r="K6269" t="s">
        <v>23</v>
      </c>
    </row>
    <row r="6270" spans="1:11">
      <c r="A6270" s="1">
        <v>46170</v>
      </c>
      <c r="B6270" t="s">
        <v>40</v>
      </c>
      <c r="C6270" t="s">
        <v>61</v>
      </c>
      <c r="D6270">
        <v>15144</v>
      </c>
      <c r="E6270">
        <v>7754</v>
      </c>
      <c r="F6270">
        <v>3649</v>
      </c>
      <c r="G6270">
        <v>4872</v>
      </c>
      <c r="H6270">
        <v>31419</v>
      </c>
      <c r="I6270" s="1">
        <v>46143</v>
      </c>
      <c r="J6270">
        <v>8521</v>
      </c>
      <c r="K6270" t="s">
        <v>23</v>
      </c>
    </row>
    <row r="6271" spans="1:11">
      <c r="A6271" s="1">
        <v>46170</v>
      </c>
      <c r="B6271" t="s">
        <v>40</v>
      </c>
      <c r="C6271" t="s">
        <v>62</v>
      </c>
      <c r="D6271">
        <v>2211</v>
      </c>
      <c r="E6271">
        <v>1463</v>
      </c>
      <c r="F6271">
        <v>1111</v>
      </c>
      <c r="G6271">
        <v>6114</v>
      </c>
      <c r="H6271">
        <v>10899</v>
      </c>
      <c r="I6271" s="1">
        <v>46143</v>
      </c>
      <c r="J6271">
        <v>7225</v>
      </c>
      <c r="K6271" t="s">
        <v>23</v>
      </c>
    </row>
    <row r="6272" spans="1:11">
      <c r="A6272" s="1">
        <v>46170</v>
      </c>
      <c r="B6272" t="s">
        <v>40</v>
      </c>
      <c r="C6272" t="s">
        <v>69</v>
      </c>
      <c r="D6272">
        <v>18465</v>
      </c>
      <c r="E6272">
        <v>6428</v>
      </c>
      <c r="F6272">
        <v>2756</v>
      </c>
      <c r="G6272">
        <v>1564</v>
      </c>
      <c r="H6272">
        <v>29213</v>
      </c>
      <c r="I6272" s="1">
        <v>46143</v>
      </c>
      <c r="J6272">
        <v>4320</v>
      </c>
      <c r="K6272" t="s">
        <v>23</v>
      </c>
    </row>
    <row r="6273" spans="1:11">
      <c r="A6273" s="1">
        <v>46170</v>
      </c>
      <c r="B6273" t="s">
        <v>40</v>
      </c>
      <c r="C6273" t="s">
        <v>29</v>
      </c>
      <c r="D6273">
        <v>3576</v>
      </c>
      <c r="E6273">
        <v>1506</v>
      </c>
      <c r="F6273">
        <v>588</v>
      </c>
      <c r="G6273">
        <v>518</v>
      </c>
      <c r="H6273">
        <v>6188</v>
      </c>
      <c r="I6273" s="1">
        <v>46143</v>
      </c>
      <c r="J6273">
        <v>1106</v>
      </c>
      <c r="K6273" t="s">
        <v>23</v>
      </c>
    </row>
    <row r="6274" spans="1:11">
      <c r="A6274" s="1">
        <v>46170</v>
      </c>
      <c r="B6274" t="s">
        <v>40</v>
      </c>
      <c r="C6274" t="s">
        <v>70</v>
      </c>
      <c r="D6274">
        <v>2796</v>
      </c>
      <c r="E6274">
        <v>1113</v>
      </c>
      <c r="F6274">
        <v>678</v>
      </c>
      <c r="G6274">
        <v>350</v>
      </c>
      <c r="H6274">
        <v>4937</v>
      </c>
      <c r="I6274" s="1">
        <v>46143</v>
      </c>
      <c r="J6274">
        <v>1028</v>
      </c>
      <c r="K6274" t="s">
        <v>23</v>
      </c>
    </row>
    <row r="6275" spans="1:11">
      <c r="A6275" s="1">
        <v>46170</v>
      </c>
      <c r="B6275" t="s">
        <v>40</v>
      </c>
      <c r="C6275" t="s">
        <v>71</v>
      </c>
      <c r="D6275">
        <v>18879</v>
      </c>
      <c r="E6275">
        <v>7879</v>
      </c>
      <c r="F6275">
        <v>4003</v>
      </c>
      <c r="G6275">
        <v>3504</v>
      </c>
      <c r="H6275">
        <v>34264</v>
      </c>
      <c r="I6275" s="1">
        <v>46143</v>
      </c>
      <c r="J6275">
        <v>7507</v>
      </c>
      <c r="K6275" t="s">
        <v>23</v>
      </c>
    </row>
    <row r="6276" spans="1:11">
      <c r="A6276" s="1">
        <v>46170</v>
      </c>
      <c r="B6276" t="s">
        <v>40</v>
      </c>
      <c r="C6276" t="s">
        <v>36</v>
      </c>
      <c r="D6276">
        <v>16191</v>
      </c>
      <c r="E6276">
        <v>9260</v>
      </c>
      <c r="F6276">
        <v>2869</v>
      </c>
      <c r="G6276">
        <v>1104</v>
      </c>
      <c r="H6276">
        <v>29424</v>
      </c>
      <c r="I6276" s="1">
        <v>46143</v>
      </c>
      <c r="J6276">
        <v>3973</v>
      </c>
      <c r="K6276" t="s">
        <v>23</v>
      </c>
    </row>
    <row r="6277" spans="1:11">
      <c r="A6277" s="1">
        <v>46170</v>
      </c>
      <c r="B6277" t="s">
        <v>40</v>
      </c>
      <c r="C6277" t="s">
        <v>32</v>
      </c>
      <c r="D6277">
        <v>2781</v>
      </c>
      <c r="E6277">
        <v>936</v>
      </c>
      <c r="F6277">
        <v>436</v>
      </c>
      <c r="G6277">
        <v>178</v>
      </c>
      <c r="H6277">
        <v>4331</v>
      </c>
      <c r="I6277" s="1">
        <v>46143</v>
      </c>
      <c r="J6277">
        <v>614</v>
      </c>
      <c r="K6277" t="s">
        <v>23</v>
      </c>
    </row>
    <row r="6278" spans="1:11">
      <c r="A6278" s="1">
        <v>46170</v>
      </c>
      <c r="B6278" t="s">
        <v>40</v>
      </c>
      <c r="C6278" t="s">
        <v>44</v>
      </c>
      <c r="D6278">
        <v>6882</v>
      </c>
      <c r="E6278">
        <v>2470</v>
      </c>
      <c r="F6278">
        <v>980</v>
      </c>
      <c r="G6278">
        <v>439</v>
      </c>
      <c r="H6278">
        <v>10771</v>
      </c>
      <c r="I6278" s="1">
        <v>46143</v>
      </c>
      <c r="J6278">
        <v>1419</v>
      </c>
      <c r="K6278" t="s">
        <v>23</v>
      </c>
    </row>
    <row r="6279" spans="1:11">
      <c r="A6279" s="1">
        <v>46170</v>
      </c>
      <c r="B6279" t="s">
        <v>40</v>
      </c>
      <c r="C6279" t="s">
        <v>59</v>
      </c>
      <c r="D6279">
        <v>17959</v>
      </c>
      <c r="E6279">
        <v>8327</v>
      </c>
      <c r="F6279">
        <v>2104</v>
      </c>
      <c r="G6279">
        <v>855</v>
      </c>
      <c r="H6279">
        <v>29246</v>
      </c>
      <c r="I6279" s="1">
        <v>46143</v>
      </c>
      <c r="J6279">
        <v>2959</v>
      </c>
      <c r="K6279" t="s">
        <v>23</v>
      </c>
    </row>
    <row r="6280" spans="1:11">
      <c r="A6280" s="1">
        <v>46170</v>
      </c>
      <c r="B6280" t="s">
        <v>40</v>
      </c>
      <c r="C6280" t="s">
        <v>67</v>
      </c>
      <c r="D6280">
        <v>22479</v>
      </c>
      <c r="E6280">
        <v>11576</v>
      </c>
      <c r="F6280">
        <v>5193</v>
      </c>
      <c r="G6280">
        <v>4151</v>
      </c>
      <c r="H6280">
        <v>43399</v>
      </c>
      <c r="I6280" s="1">
        <v>46143</v>
      </c>
      <c r="J6280">
        <v>9344</v>
      </c>
      <c r="K6280" t="s">
        <v>23</v>
      </c>
    </row>
    <row r="6281" spans="1:11">
      <c r="A6281" s="1">
        <v>46170</v>
      </c>
      <c r="B6281" t="s">
        <v>40</v>
      </c>
      <c r="C6281" t="s">
        <v>49</v>
      </c>
      <c r="D6281">
        <v>4228</v>
      </c>
      <c r="E6281">
        <v>884</v>
      </c>
      <c r="F6281">
        <v>430</v>
      </c>
      <c r="G6281">
        <v>39</v>
      </c>
      <c r="H6281">
        <v>5581</v>
      </c>
      <c r="I6281" s="1">
        <v>46143</v>
      </c>
      <c r="J6281">
        <v>469</v>
      </c>
      <c r="K6281" t="s">
        <v>23</v>
      </c>
    </row>
    <row r="6282" spans="1:11">
      <c r="A6282" s="1">
        <v>46198</v>
      </c>
      <c r="B6282" t="s">
        <v>40</v>
      </c>
      <c r="C6282" t="s">
        <v>48</v>
      </c>
      <c r="D6282">
        <v>31211</v>
      </c>
      <c r="E6282">
        <v>14319</v>
      </c>
      <c r="F6282">
        <v>7274</v>
      </c>
      <c r="G6282">
        <v>4050</v>
      </c>
      <c r="H6282">
        <v>56854</v>
      </c>
      <c r="I6282" s="1">
        <v>46174</v>
      </c>
      <c r="J6282">
        <v>11324</v>
      </c>
      <c r="K6282" t="s">
        <v>23</v>
      </c>
    </row>
    <row r="6283" spans="1:11">
      <c r="A6283" s="1">
        <v>46198</v>
      </c>
      <c r="B6283" t="s">
        <v>40</v>
      </c>
      <c r="C6283" t="s">
        <v>41</v>
      </c>
      <c r="D6283">
        <v>5057</v>
      </c>
      <c r="E6283">
        <v>1391</v>
      </c>
      <c r="F6283">
        <v>105</v>
      </c>
      <c r="G6283">
        <v>17</v>
      </c>
      <c r="H6283">
        <v>6570</v>
      </c>
      <c r="I6283" s="1">
        <v>46174</v>
      </c>
      <c r="J6283">
        <v>122</v>
      </c>
      <c r="K6283" t="s">
        <v>23</v>
      </c>
    </row>
    <row r="6284" spans="1:11">
      <c r="A6284" s="1">
        <v>46198</v>
      </c>
      <c r="B6284" t="s">
        <v>40</v>
      </c>
      <c r="C6284" t="s">
        <v>55</v>
      </c>
      <c r="D6284">
        <v>5540</v>
      </c>
      <c r="E6284">
        <v>1780</v>
      </c>
      <c r="F6284">
        <v>820</v>
      </c>
      <c r="G6284">
        <v>9</v>
      </c>
      <c r="H6284">
        <v>8149</v>
      </c>
      <c r="I6284" s="1">
        <v>46174</v>
      </c>
      <c r="J6284">
        <v>829</v>
      </c>
      <c r="K6284" t="s">
        <v>23</v>
      </c>
    </row>
    <row r="6285" spans="1:11">
      <c r="A6285" s="1">
        <v>46198</v>
      </c>
      <c r="B6285" t="s">
        <v>40</v>
      </c>
      <c r="C6285" t="s">
        <v>65</v>
      </c>
      <c r="D6285">
        <v>14084</v>
      </c>
      <c r="E6285">
        <v>5408</v>
      </c>
      <c r="F6285">
        <v>1525</v>
      </c>
      <c r="G6285">
        <v>116</v>
      </c>
      <c r="H6285">
        <v>21132</v>
      </c>
      <c r="I6285" s="1">
        <v>46174</v>
      </c>
      <c r="J6285">
        <v>1641</v>
      </c>
      <c r="K6285" t="s">
        <v>23</v>
      </c>
    </row>
    <row r="6286" spans="1:11">
      <c r="A6286" s="1">
        <v>46198</v>
      </c>
      <c r="B6286" t="s">
        <v>40</v>
      </c>
      <c r="C6286" t="s">
        <v>27</v>
      </c>
      <c r="D6286">
        <v>3174</v>
      </c>
      <c r="E6286">
        <v>2310</v>
      </c>
      <c r="F6286">
        <v>593</v>
      </c>
      <c r="G6286">
        <v>373</v>
      </c>
      <c r="H6286">
        <v>6449</v>
      </c>
      <c r="I6286" s="1">
        <v>46174</v>
      </c>
      <c r="J6286">
        <v>966</v>
      </c>
      <c r="K6286" t="s">
        <v>23</v>
      </c>
    </row>
    <row r="6287" spans="1:11">
      <c r="A6287" s="1">
        <v>46198</v>
      </c>
      <c r="B6287" t="s">
        <v>40</v>
      </c>
      <c r="C6287" t="s">
        <v>37</v>
      </c>
      <c r="D6287">
        <v>422</v>
      </c>
      <c r="E6287">
        <v>341</v>
      </c>
      <c r="F6287">
        <v>312</v>
      </c>
      <c r="G6287">
        <v>344</v>
      </c>
      <c r="H6287">
        <v>1418</v>
      </c>
      <c r="I6287" s="1">
        <v>46174</v>
      </c>
      <c r="J6287">
        <v>656</v>
      </c>
      <c r="K6287" t="s">
        <v>23</v>
      </c>
    </row>
    <row r="6288" spans="1:11">
      <c r="A6288" s="1">
        <v>46198</v>
      </c>
      <c r="B6288" t="s">
        <v>40</v>
      </c>
      <c r="C6288" t="s">
        <v>66</v>
      </c>
      <c r="D6288">
        <v>25533</v>
      </c>
      <c r="E6288">
        <v>9587</v>
      </c>
      <c r="F6288">
        <v>4744</v>
      </c>
      <c r="G6288">
        <v>5138</v>
      </c>
      <c r="H6288">
        <v>45002</v>
      </c>
      <c r="I6288" s="1">
        <v>46174</v>
      </c>
      <c r="J6288">
        <v>9882</v>
      </c>
      <c r="K6288" t="s">
        <v>23</v>
      </c>
    </row>
    <row r="6289" spans="1:11">
      <c r="A6289" s="1">
        <v>46198</v>
      </c>
      <c r="B6289" t="s">
        <v>40</v>
      </c>
      <c r="C6289" t="s">
        <v>57</v>
      </c>
      <c r="D6289">
        <v>10519</v>
      </c>
      <c r="E6289">
        <v>1814</v>
      </c>
      <c r="F6289">
        <v>422</v>
      </c>
      <c r="G6289">
        <v>598</v>
      </c>
      <c r="H6289">
        <v>13353</v>
      </c>
      <c r="I6289" s="1">
        <v>46174</v>
      </c>
      <c r="J6289">
        <v>1020</v>
      </c>
      <c r="K6289" t="s">
        <v>23</v>
      </c>
    </row>
    <row r="6290" spans="1:11">
      <c r="A6290" s="1">
        <v>46198</v>
      </c>
      <c r="B6290" t="s">
        <v>40</v>
      </c>
      <c r="C6290" t="s">
        <v>28</v>
      </c>
      <c r="D6290">
        <v>2433</v>
      </c>
      <c r="E6290">
        <v>774</v>
      </c>
      <c r="F6290">
        <v>205</v>
      </c>
      <c r="G6290">
        <v>162</v>
      </c>
      <c r="H6290">
        <v>3574</v>
      </c>
      <c r="I6290" s="1">
        <v>46174</v>
      </c>
      <c r="J6290">
        <v>367</v>
      </c>
      <c r="K6290" t="s">
        <v>23</v>
      </c>
    </row>
    <row r="6291" spans="1:11">
      <c r="A6291" s="1">
        <v>46198</v>
      </c>
      <c r="B6291" t="s">
        <v>40</v>
      </c>
      <c r="C6291" t="s">
        <v>68</v>
      </c>
      <c r="D6291">
        <v>25827</v>
      </c>
      <c r="E6291">
        <v>10134</v>
      </c>
      <c r="F6291">
        <v>4216</v>
      </c>
      <c r="G6291">
        <v>3176</v>
      </c>
      <c r="H6291">
        <v>43353</v>
      </c>
      <c r="I6291" s="1">
        <v>46174</v>
      </c>
      <c r="J6291">
        <v>7392</v>
      </c>
      <c r="K6291" t="s">
        <v>23</v>
      </c>
    </row>
    <row r="6292" spans="1:11">
      <c r="A6292" s="1">
        <v>46198</v>
      </c>
      <c r="B6292" t="s">
        <v>40</v>
      </c>
      <c r="C6292" t="s">
        <v>47</v>
      </c>
      <c r="D6292">
        <v>5192</v>
      </c>
      <c r="E6292">
        <v>1747</v>
      </c>
      <c r="F6292">
        <v>463</v>
      </c>
      <c r="G6292">
        <v>155</v>
      </c>
      <c r="H6292">
        <v>7557</v>
      </c>
      <c r="I6292" s="1">
        <v>46174</v>
      </c>
      <c r="J6292">
        <v>618</v>
      </c>
      <c r="K6292" t="s">
        <v>23</v>
      </c>
    </row>
    <row r="6293" spans="1:11">
      <c r="A6293" s="1">
        <v>46198</v>
      </c>
      <c r="B6293" t="s">
        <v>40</v>
      </c>
      <c r="C6293" t="s">
        <v>25</v>
      </c>
      <c r="D6293">
        <v>3503</v>
      </c>
      <c r="E6293">
        <v>1704</v>
      </c>
      <c r="F6293">
        <v>652</v>
      </c>
      <c r="G6293">
        <v>276</v>
      </c>
      <c r="H6293">
        <v>6135</v>
      </c>
      <c r="I6293" s="1">
        <v>46174</v>
      </c>
      <c r="J6293">
        <v>928</v>
      </c>
      <c r="K6293" t="s">
        <v>23</v>
      </c>
    </row>
    <row r="6294" spans="1:11">
      <c r="A6294" s="1">
        <v>46198</v>
      </c>
      <c r="B6294" t="s">
        <v>40</v>
      </c>
      <c r="C6294" t="s">
        <v>51</v>
      </c>
      <c r="D6294">
        <v>5773</v>
      </c>
      <c r="E6294">
        <v>2013</v>
      </c>
      <c r="F6294">
        <v>726</v>
      </c>
      <c r="G6294">
        <v>956</v>
      </c>
      <c r="H6294">
        <v>9468</v>
      </c>
      <c r="I6294" s="1">
        <v>46174</v>
      </c>
      <c r="J6294">
        <v>1682</v>
      </c>
      <c r="K6294" t="s">
        <v>23</v>
      </c>
    </row>
    <row r="6295" spans="1:11">
      <c r="A6295" s="1">
        <v>46198</v>
      </c>
      <c r="B6295" t="s">
        <v>40</v>
      </c>
      <c r="C6295" t="s">
        <v>45</v>
      </c>
      <c r="D6295">
        <v>3239</v>
      </c>
      <c r="E6295">
        <v>1064</v>
      </c>
      <c r="F6295">
        <v>407</v>
      </c>
      <c r="G6295">
        <v>182</v>
      </c>
      <c r="H6295">
        <v>4891</v>
      </c>
      <c r="I6295" s="1">
        <v>46174</v>
      </c>
      <c r="J6295">
        <v>589</v>
      </c>
      <c r="K6295" t="s">
        <v>23</v>
      </c>
    </row>
    <row r="6296" spans="1:11">
      <c r="A6296" s="1">
        <v>46198</v>
      </c>
      <c r="B6296" t="s">
        <v>40</v>
      </c>
      <c r="C6296" t="s">
        <v>43</v>
      </c>
      <c r="D6296">
        <v>11686</v>
      </c>
      <c r="E6296">
        <v>6029</v>
      </c>
      <c r="F6296">
        <v>2066</v>
      </c>
      <c r="G6296">
        <v>388</v>
      </c>
      <c r="H6296">
        <v>20170</v>
      </c>
      <c r="I6296" s="1">
        <v>46174</v>
      </c>
      <c r="J6296">
        <v>2454</v>
      </c>
      <c r="K6296" t="s">
        <v>23</v>
      </c>
    </row>
    <row r="6297" spans="1:11">
      <c r="A6297" s="1">
        <v>46198</v>
      </c>
      <c r="B6297" t="s">
        <v>40</v>
      </c>
      <c r="C6297" t="s">
        <v>39</v>
      </c>
      <c r="D6297">
        <v>6818</v>
      </c>
      <c r="E6297">
        <v>3541</v>
      </c>
      <c r="F6297">
        <v>2131</v>
      </c>
      <c r="G6297">
        <v>1540</v>
      </c>
      <c r="H6297">
        <v>14029</v>
      </c>
      <c r="I6297" s="1">
        <v>46174</v>
      </c>
      <c r="J6297">
        <v>3671</v>
      </c>
      <c r="K6297" t="s">
        <v>23</v>
      </c>
    </row>
    <row r="6298" spans="1:11">
      <c r="A6298" s="1">
        <v>46198</v>
      </c>
      <c r="B6298" t="s">
        <v>40</v>
      </c>
      <c r="C6298" t="s">
        <v>38</v>
      </c>
      <c r="D6298">
        <v>2310</v>
      </c>
      <c r="E6298">
        <v>892</v>
      </c>
      <c r="F6298">
        <v>405</v>
      </c>
      <c r="G6298">
        <v>1</v>
      </c>
      <c r="H6298">
        <v>3608</v>
      </c>
      <c r="I6298" s="1">
        <v>46174</v>
      </c>
      <c r="J6298">
        <v>406</v>
      </c>
      <c r="K6298" t="s">
        <v>23</v>
      </c>
    </row>
    <row r="6299" spans="1:11">
      <c r="A6299" s="1">
        <v>46198</v>
      </c>
      <c r="B6299" t="s">
        <v>40</v>
      </c>
      <c r="C6299" t="s">
        <v>54</v>
      </c>
      <c r="D6299">
        <v>1389</v>
      </c>
      <c r="E6299">
        <v>429</v>
      </c>
      <c r="F6299">
        <v>383</v>
      </c>
      <c r="G6299">
        <v>280</v>
      </c>
      <c r="H6299">
        <v>2481</v>
      </c>
      <c r="I6299" s="1">
        <v>46174</v>
      </c>
      <c r="J6299">
        <v>663</v>
      </c>
      <c r="K6299" t="s">
        <v>23</v>
      </c>
    </row>
    <row r="6300" spans="1:11">
      <c r="A6300" s="1">
        <v>46198</v>
      </c>
      <c r="B6300" t="s">
        <v>40</v>
      </c>
      <c r="C6300" t="s">
        <v>35</v>
      </c>
      <c r="D6300">
        <v>382</v>
      </c>
      <c r="E6300">
        <v>339</v>
      </c>
      <c r="F6300">
        <v>276</v>
      </c>
      <c r="G6300">
        <v>390</v>
      </c>
      <c r="H6300">
        <v>1387</v>
      </c>
      <c r="I6300" s="1">
        <v>46174</v>
      </c>
      <c r="J6300">
        <v>666</v>
      </c>
      <c r="K6300" t="s">
        <v>23</v>
      </c>
    </row>
    <row r="6301" spans="1:11">
      <c r="A6301" s="1">
        <v>46198</v>
      </c>
      <c r="B6301" t="s">
        <v>40</v>
      </c>
      <c r="C6301" t="s">
        <v>52</v>
      </c>
      <c r="D6301">
        <v>9342</v>
      </c>
      <c r="E6301">
        <v>4572</v>
      </c>
      <c r="F6301">
        <v>1788</v>
      </c>
      <c r="G6301">
        <v>834</v>
      </c>
      <c r="H6301">
        <v>16536</v>
      </c>
      <c r="I6301" s="1">
        <v>46174</v>
      </c>
      <c r="J6301">
        <v>2622</v>
      </c>
      <c r="K6301" t="s">
        <v>23</v>
      </c>
    </row>
    <row r="6302" spans="1:11">
      <c r="A6302" s="1">
        <v>46198</v>
      </c>
      <c r="B6302" t="s">
        <v>40</v>
      </c>
      <c r="C6302" t="s">
        <v>22</v>
      </c>
      <c r="D6302">
        <v>5027</v>
      </c>
      <c r="E6302">
        <v>2195</v>
      </c>
      <c r="F6302">
        <v>660</v>
      </c>
      <c r="G6302">
        <v>68</v>
      </c>
      <c r="H6302">
        <v>7951</v>
      </c>
      <c r="I6302" s="1">
        <v>46174</v>
      </c>
      <c r="J6302">
        <v>728</v>
      </c>
      <c r="K6302" t="s">
        <v>23</v>
      </c>
    </row>
    <row r="6303" spans="1:11">
      <c r="A6303" s="1">
        <v>46198</v>
      </c>
      <c r="B6303" t="s">
        <v>40</v>
      </c>
      <c r="C6303" t="s">
        <v>46</v>
      </c>
      <c r="D6303">
        <v>2406</v>
      </c>
      <c r="E6303">
        <v>578</v>
      </c>
      <c r="F6303">
        <v>144</v>
      </c>
      <c r="G6303">
        <v>13</v>
      </c>
      <c r="H6303">
        <v>3141</v>
      </c>
      <c r="I6303" s="1">
        <v>46174</v>
      </c>
      <c r="J6303">
        <v>157</v>
      </c>
      <c r="K6303" t="s">
        <v>23</v>
      </c>
    </row>
    <row r="6304" spans="1:11">
      <c r="A6304" s="1">
        <v>46198</v>
      </c>
      <c r="B6304" t="s">
        <v>40</v>
      </c>
      <c r="C6304" t="s">
        <v>34</v>
      </c>
      <c r="D6304">
        <v>4468</v>
      </c>
      <c r="E6304">
        <v>1592</v>
      </c>
      <c r="F6304">
        <v>118</v>
      </c>
      <c r="G6304">
        <v>3</v>
      </c>
      <c r="H6304">
        <v>6181</v>
      </c>
      <c r="I6304" s="1">
        <v>46174</v>
      </c>
      <c r="J6304">
        <v>121</v>
      </c>
      <c r="K6304" t="s">
        <v>23</v>
      </c>
    </row>
    <row r="6305" spans="1:11">
      <c r="A6305" s="1">
        <v>46198</v>
      </c>
      <c r="B6305" t="s">
        <v>40</v>
      </c>
      <c r="C6305" t="s">
        <v>63</v>
      </c>
      <c r="D6305">
        <v>6772</v>
      </c>
      <c r="E6305">
        <v>4738</v>
      </c>
      <c r="F6305">
        <v>2975</v>
      </c>
      <c r="G6305">
        <v>2117</v>
      </c>
      <c r="H6305">
        <v>16602</v>
      </c>
      <c r="I6305" s="1">
        <v>46174</v>
      </c>
      <c r="J6305">
        <v>5092</v>
      </c>
      <c r="K6305" t="s">
        <v>23</v>
      </c>
    </row>
    <row r="6306" spans="1:11">
      <c r="A6306" s="1">
        <v>46198</v>
      </c>
      <c r="B6306" t="s">
        <v>40</v>
      </c>
      <c r="C6306" t="s">
        <v>60</v>
      </c>
      <c r="D6306">
        <v>9671</v>
      </c>
      <c r="E6306">
        <v>3293</v>
      </c>
      <c r="F6306">
        <v>1024</v>
      </c>
      <c r="G6306">
        <v>1505</v>
      </c>
      <c r="H6306">
        <v>15494</v>
      </c>
      <c r="I6306" s="1">
        <v>46174</v>
      </c>
      <c r="J6306">
        <v>2529</v>
      </c>
      <c r="K6306" t="s">
        <v>23</v>
      </c>
    </row>
    <row r="6307" spans="1:11">
      <c r="A6307" s="1">
        <v>46198</v>
      </c>
      <c r="B6307" t="s">
        <v>40</v>
      </c>
      <c r="C6307" t="s">
        <v>61</v>
      </c>
      <c r="D6307">
        <v>15061</v>
      </c>
      <c r="E6307">
        <v>7753</v>
      </c>
      <c r="F6307">
        <v>3733</v>
      </c>
      <c r="G6307">
        <v>4745</v>
      </c>
      <c r="H6307">
        <v>31292</v>
      </c>
      <c r="I6307" s="1">
        <v>46174</v>
      </c>
      <c r="J6307">
        <v>8478</v>
      </c>
      <c r="K6307" t="s">
        <v>23</v>
      </c>
    </row>
    <row r="6308" spans="1:11">
      <c r="A6308" s="1">
        <v>46198</v>
      </c>
      <c r="B6308" t="s">
        <v>40</v>
      </c>
      <c r="C6308" t="s">
        <v>62</v>
      </c>
      <c r="D6308">
        <v>2249</v>
      </c>
      <c r="E6308">
        <v>1436</v>
      </c>
      <c r="F6308">
        <v>1082</v>
      </c>
      <c r="G6308">
        <v>6092</v>
      </c>
      <c r="H6308">
        <v>10858</v>
      </c>
      <c r="I6308" s="1">
        <v>46174</v>
      </c>
      <c r="J6308">
        <v>7174</v>
      </c>
      <c r="K6308" t="s">
        <v>23</v>
      </c>
    </row>
    <row r="6309" spans="1:11">
      <c r="A6309" s="1">
        <v>46198</v>
      </c>
      <c r="B6309" t="s">
        <v>40</v>
      </c>
      <c r="C6309" t="s">
        <v>69</v>
      </c>
      <c r="D6309">
        <v>18507</v>
      </c>
      <c r="E6309">
        <v>6452</v>
      </c>
      <c r="F6309">
        <v>2574</v>
      </c>
      <c r="G6309">
        <v>1703</v>
      </c>
      <c r="H6309">
        <v>29235</v>
      </c>
      <c r="I6309" s="1">
        <v>46174</v>
      </c>
      <c r="J6309">
        <v>4277</v>
      </c>
      <c r="K6309" t="s">
        <v>23</v>
      </c>
    </row>
    <row r="6310" spans="1:11">
      <c r="A6310" s="1">
        <v>46198</v>
      </c>
      <c r="B6310" t="s">
        <v>40</v>
      </c>
      <c r="C6310" t="s">
        <v>24</v>
      </c>
      <c r="D6310">
        <v>529</v>
      </c>
      <c r="E6310">
        <v>298</v>
      </c>
      <c r="F6310">
        <v>70</v>
      </c>
      <c r="G6310">
        <v>3</v>
      </c>
      <c r="H6310">
        <v>899</v>
      </c>
      <c r="I6310" s="1">
        <v>46174</v>
      </c>
      <c r="J6310">
        <v>73</v>
      </c>
      <c r="K6310" t="s">
        <v>23</v>
      </c>
    </row>
    <row r="6311" spans="1:11">
      <c r="A6311" s="1">
        <v>46198</v>
      </c>
      <c r="B6311" t="s">
        <v>40</v>
      </c>
      <c r="C6311" t="s">
        <v>29</v>
      </c>
      <c r="D6311">
        <v>3785</v>
      </c>
      <c r="E6311">
        <v>1502</v>
      </c>
      <c r="F6311">
        <v>617</v>
      </c>
      <c r="G6311">
        <v>520</v>
      </c>
      <c r="H6311">
        <v>6424</v>
      </c>
      <c r="I6311" s="1">
        <v>46174</v>
      </c>
      <c r="J6311">
        <v>1137</v>
      </c>
      <c r="K6311" t="s">
        <v>23</v>
      </c>
    </row>
    <row r="6312" spans="1:11">
      <c r="A6312" s="1">
        <v>46198</v>
      </c>
      <c r="B6312" t="s">
        <v>40</v>
      </c>
      <c r="C6312" t="s">
        <v>70</v>
      </c>
      <c r="D6312">
        <v>2808</v>
      </c>
      <c r="E6312">
        <v>1084</v>
      </c>
      <c r="F6312">
        <v>587</v>
      </c>
      <c r="G6312">
        <v>372</v>
      </c>
      <c r="H6312">
        <v>4851</v>
      </c>
      <c r="I6312" s="1">
        <v>46174</v>
      </c>
      <c r="J6312">
        <v>959</v>
      </c>
      <c r="K6312" t="s">
        <v>23</v>
      </c>
    </row>
    <row r="6313" spans="1:11">
      <c r="A6313" s="1">
        <v>46198</v>
      </c>
      <c r="B6313" t="s">
        <v>40</v>
      </c>
      <c r="C6313" t="s">
        <v>71</v>
      </c>
      <c r="D6313">
        <v>19410</v>
      </c>
      <c r="E6313">
        <v>7773</v>
      </c>
      <c r="F6313">
        <v>4151</v>
      </c>
      <c r="G6313">
        <v>3456</v>
      </c>
      <c r="H6313">
        <v>34789</v>
      </c>
      <c r="I6313" s="1">
        <v>46174</v>
      </c>
      <c r="J6313">
        <v>7607</v>
      </c>
      <c r="K6313" t="s">
        <v>23</v>
      </c>
    </row>
    <row r="6314" spans="1:11">
      <c r="A6314" s="1">
        <v>46198</v>
      </c>
      <c r="B6314" t="s">
        <v>40</v>
      </c>
      <c r="C6314" t="s">
        <v>36</v>
      </c>
      <c r="D6314">
        <v>16829</v>
      </c>
      <c r="E6314">
        <v>9271</v>
      </c>
      <c r="F6314">
        <v>2808</v>
      </c>
      <c r="G6314">
        <v>1141</v>
      </c>
      <c r="H6314">
        <v>30049</v>
      </c>
      <c r="I6314" s="1">
        <v>46174</v>
      </c>
      <c r="J6314">
        <v>3949</v>
      </c>
      <c r="K6314" t="s">
        <v>23</v>
      </c>
    </row>
    <row r="6315" spans="1:11">
      <c r="A6315" s="1">
        <v>46198</v>
      </c>
      <c r="B6315" t="s">
        <v>40</v>
      </c>
      <c r="C6315" t="s">
        <v>32</v>
      </c>
      <c r="D6315">
        <v>2767</v>
      </c>
      <c r="E6315">
        <v>981</v>
      </c>
      <c r="F6315">
        <v>457</v>
      </c>
      <c r="G6315">
        <v>198</v>
      </c>
      <c r="H6315">
        <v>4403</v>
      </c>
      <c r="I6315" s="1">
        <v>46174</v>
      </c>
      <c r="J6315">
        <v>655</v>
      </c>
      <c r="K6315" t="s">
        <v>23</v>
      </c>
    </row>
    <row r="6316" spans="1:11">
      <c r="A6316" s="1">
        <v>46198</v>
      </c>
      <c r="B6316" t="s">
        <v>40</v>
      </c>
      <c r="C6316" t="s">
        <v>44</v>
      </c>
      <c r="D6316">
        <v>6943</v>
      </c>
      <c r="E6316">
        <v>2390</v>
      </c>
      <c r="F6316">
        <v>978</v>
      </c>
      <c r="G6316">
        <v>409</v>
      </c>
      <c r="H6316">
        <v>10721</v>
      </c>
      <c r="I6316" s="1">
        <v>46174</v>
      </c>
      <c r="J6316">
        <v>1387</v>
      </c>
      <c r="K6316" t="s">
        <v>23</v>
      </c>
    </row>
    <row r="6317" spans="1:11">
      <c r="A6317" s="1">
        <v>46198</v>
      </c>
      <c r="B6317" t="s">
        <v>40</v>
      </c>
      <c r="C6317" t="s">
        <v>59</v>
      </c>
      <c r="D6317">
        <v>18617</v>
      </c>
      <c r="E6317">
        <v>8387</v>
      </c>
      <c r="F6317">
        <v>2424</v>
      </c>
      <c r="G6317">
        <v>890</v>
      </c>
      <c r="H6317">
        <v>30319</v>
      </c>
      <c r="I6317" s="1">
        <v>46174</v>
      </c>
      <c r="J6317">
        <v>3314</v>
      </c>
      <c r="K6317" t="s">
        <v>23</v>
      </c>
    </row>
    <row r="6318" spans="1:11">
      <c r="A6318" s="1">
        <v>46198</v>
      </c>
      <c r="B6318" t="s">
        <v>40</v>
      </c>
      <c r="C6318" t="s">
        <v>67</v>
      </c>
      <c r="D6318">
        <v>23068</v>
      </c>
      <c r="E6318">
        <v>11597</v>
      </c>
      <c r="F6318">
        <v>5276</v>
      </c>
      <c r="G6318">
        <v>4087</v>
      </c>
      <c r="H6318">
        <v>44028</v>
      </c>
      <c r="I6318" s="1">
        <v>46174</v>
      </c>
      <c r="J6318">
        <v>9363</v>
      </c>
      <c r="K6318" t="s">
        <v>23</v>
      </c>
    </row>
    <row r="6319" spans="1:11">
      <c r="A6319" s="1">
        <v>46198</v>
      </c>
      <c r="B6319" t="s">
        <v>40</v>
      </c>
      <c r="C6319" t="s">
        <v>49</v>
      </c>
      <c r="D6319">
        <v>4492</v>
      </c>
      <c r="E6319">
        <v>964</v>
      </c>
      <c r="F6319">
        <v>449</v>
      </c>
      <c r="G6319">
        <v>48</v>
      </c>
      <c r="H6319">
        <v>5952</v>
      </c>
      <c r="I6319" s="1">
        <v>46174</v>
      </c>
      <c r="J6319">
        <v>497</v>
      </c>
      <c r="K6319" t="s">
        <v>23</v>
      </c>
    </row>
    <row r="6320" spans="1:11">
      <c r="A6320" s="1">
        <v>46233</v>
      </c>
      <c r="B6320" t="s">
        <v>40</v>
      </c>
      <c r="C6320" t="s">
        <v>48</v>
      </c>
      <c r="D6320">
        <v>32201</v>
      </c>
      <c r="E6320">
        <v>13575</v>
      </c>
      <c r="F6320">
        <v>7661</v>
      </c>
      <c r="G6320">
        <v>4268</v>
      </c>
      <c r="H6320">
        <v>57704</v>
      </c>
      <c r="I6320" s="1">
        <v>46204</v>
      </c>
      <c r="J6320">
        <v>11929</v>
      </c>
      <c r="K6320" t="s">
        <v>23</v>
      </c>
    </row>
    <row r="6321" spans="1:11">
      <c r="A6321" s="1">
        <v>46233</v>
      </c>
      <c r="B6321" t="s">
        <v>40</v>
      </c>
      <c r="C6321" t="s">
        <v>55</v>
      </c>
      <c r="D6321">
        <v>5985</v>
      </c>
      <c r="E6321">
        <v>1660</v>
      </c>
      <c r="F6321">
        <v>996</v>
      </c>
      <c r="G6321">
        <v>82</v>
      </c>
      <c r="H6321">
        <v>8723</v>
      </c>
      <c r="I6321" s="1">
        <v>46204</v>
      </c>
      <c r="J6321">
        <v>1078</v>
      </c>
      <c r="K6321" t="s">
        <v>23</v>
      </c>
    </row>
    <row r="6322" spans="1:11">
      <c r="A6322" s="1">
        <v>46233</v>
      </c>
      <c r="B6322" t="s">
        <v>40</v>
      </c>
      <c r="C6322" t="s">
        <v>65</v>
      </c>
      <c r="D6322">
        <v>14693</v>
      </c>
      <c r="E6322">
        <v>5337</v>
      </c>
      <c r="F6322">
        <v>1904</v>
      </c>
      <c r="G6322">
        <v>153</v>
      </c>
      <c r="H6322">
        <v>22087</v>
      </c>
      <c r="I6322" s="1">
        <v>46204</v>
      </c>
      <c r="J6322">
        <v>2057</v>
      </c>
      <c r="K6322" t="s">
        <v>23</v>
      </c>
    </row>
    <row r="6323" spans="1:11">
      <c r="A6323" s="1">
        <v>46233</v>
      </c>
      <c r="B6323" t="s">
        <v>40</v>
      </c>
      <c r="C6323" t="s">
        <v>27</v>
      </c>
      <c r="D6323">
        <v>3374</v>
      </c>
      <c r="E6323">
        <v>2175</v>
      </c>
      <c r="F6323">
        <v>652</v>
      </c>
      <c r="G6323">
        <v>273</v>
      </c>
      <c r="H6323">
        <v>6474</v>
      </c>
      <c r="I6323" s="1">
        <v>46204</v>
      </c>
      <c r="J6323">
        <v>925</v>
      </c>
      <c r="K6323" t="s">
        <v>23</v>
      </c>
    </row>
    <row r="6324" spans="1:11">
      <c r="A6324" s="1">
        <v>46233</v>
      </c>
      <c r="B6324" t="s">
        <v>40</v>
      </c>
      <c r="C6324" t="s">
        <v>37</v>
      </c>
      <c r="D6324">
        <v>388</v>
      </c>
      <c r="E6324">
        <v>274</v>
      </c>
      <c r="F6324">
        <v>318</v>
      </c>
      <c r="G6324">
        <v>339</v>
      </c>
      <c r="H6324">
        <v>1318</v>
      </c>
      <c r="I6324" s="1">
        <v>46204</v>
      </c>
      <c r="J6324">
        <v>657</v>
      </c>
      <c r="K6324" t="s">
        <v>23</v>
      </c>
    </row>
    <row r="6325" spans="1:11">
      <c r="A6325" s="1">
        <v>46233</v>
      </c>
      <c r="B6325" t="s">
        <v>40</v>
      </c>
      <c r="C6325" t="s">
        <v>66</v>
      </c>
      <c r="D6325">
        <v>26528</v>
      </c>
      <c r="E6325">
        <v>8715</v>
      </c>
      <c r="F6325">
        <v>5171</v>
      </c>
      <c r="G6325">
        <v>4965</v>
      </c>
      <c r="H6325">
        <v>45380</v>
      </c>
      <c r="I6325" s="1">
        <v>46204</v>
      </c>
      <c r="J6325">
        <v>10136</v>
      </c>
      <c r="K6325" t="s">
        <v>23</v>
      </c>
    </row>
    <row r="6326" spans="1:11">
      <c r="A6326" s="1">
        <v>46233</v>
      </c>
      <c r="B6326" t="s">
        <v>40</v>
      </c>
      <c r="C6326" t="s">
        <v>57</v>
      </c>
      <c r="D6326">
        <v>10445</v>
      </c>
      <c r="E6326">
        <v>1721</v>
      </c>
      <c r="F6326">
        <v>422</v>
      </c>
      <c r="G6326">
        <v>597</v>
      </c>
      <c r="H6326">
        <v>13185</v>
      </c>
      <c r="I6326" s="1">
        <v>46204</v>
      </c>
      <c r="J6326">
        <v>1019</v>
      </c>
      <c r="K6326" t="s">
        <v>23</v>
      </c>
    </row>
    <row r="6327" spans="1:11">
      <c r="A6327" s="1">
        <v>46233</v>
      </c>
      <c r="B6327" t="s">
        <v>40</v>
      </c>
      <c r="C6327" t="s">
        <v>28</v>
      </c>
      <c r="D6327">
        <v>2570</v>
      </c>
      <c r="E6327">
        <v>727</v>
      </c>
      <c r="F6327">
        <v>216</v>
      </c>
      <c r="G6327">
        <v>124</v>
      </c>
      <c r="H6327">
        <v>3637</v>
      </c>
      <c r="I6327" s="1">
        <v>46204</v>
      </c>
      <c r="J6327">
        <v>340</v>
      </c>
      <c r="K6327" t="s">
        <v>23</v>
      </c>
    </row>
    <row r="6328" spans="1:11">
      <c r="A6328" s="1">
        <v>46233</v>
      </c>
      <c r="B6328" t="s">
        <v>40</v>
      </c>
      <c r="C6328" t="s">
        <v>68</v>
      </c>
      <c r="D6328">
        <v>26603</v>
      </c>
      <c r="E6328">
        <v>9630</v>
      </c>
      <c r="F6328">
        <v>4566</v>
      </c>
      <c r="G6328">
        <v>3077</v>
      </c>
      <c r="H6328">
        <v>43876</v>
      </c>
      <c r="I6328" s="1">
        <v>46204</v>
      </c>
      <c r="J6328">
        <v>7643</v>
      </c>
      <c r="K6328" t="s">
        <v>23</v>
      </c>
    </row>
    <row r="6329" spans="1:11">
      <c r="A6329" s="1">
        <v>46233</v>
      </c>
      <c r="B6329" t="s">
        <v>40</v>
      </c>
      <c r="C6329" t="s">
        <v>47</v>
      </c>
      <c r="D6329">
        <v>5398</v>
      </c>
      <c r="E6329">
        <v>1525</v>
      </c>
      <c r="F6329">
        <v>439</v>
      </c>
      <c r="G6329">
        <v>160</v>
      </c>
      <c r="H6329">
        <v>7521</v>
      </c>
      <c r="I6329" s="1">
        <v>46204</v>
      </c>
      <c r="J6329">
        <v>599</v>
      </c>
      <c r="K6329" t="s">
        <v>23</v>
      </c>
    </row>
    <row r="6330" spans="1:11">
      <c r="A6330" s="1">
        <v>46233</v>
      </c>
      <c r="B6330" t="s">
        <v>40</v>
      </c>
      <c r="C6330" t="s">
        <v>25</v>
      </c>
      <c r="D6330">
        <v>3748</v>
      </c>
      <c r="E6330">
        <v>1488</v>
      </c>
      <c r="F6330">
        <v>724</v>
      </c>
      <c r="G6330">
        <v>266</v>
      </c>
      <c r="H6330">
        <v>6226</v>
      </c>
      <c r="I6330" s="1">
        <v>46204</v>
      </c>
      <c r="J6330">
        <v>990</v>
      </c>
      <c r="K6330" t="s">
        <v>23</v>
      </c>
    </row>
    <row r="6331" spans="1:11">
      <c r="A6331" s="1">
        <v>46233</v>
      </c>
      <c r="B6331" t="s">
        <v>40</v>
      </c>
      <c r="C6331" t="s">
        <v>51</v>
      </c>
      <c r="D6331">
        <v>6100</v>
      </c>
      <c r="E6331">
        <v>1860</v>
      </c>
      <c r="F6331">
        <v>779</v>
      </c>
      <c r="G6331">
        <v>959</v>
      </c>
      <c r="H6331">
        <v>9698</v>
      </c>
      <c r="I6331" s="1">
        <v>46204</v>
      </c>
      <c r="J6331">
        <v>1738</v>
      </c>
      <c r="K6331" t="s">
        <v>23</v>
      </c>
    </row>
    <row r="6332" spans="1:11">
      <c r="A6332" s="1">
        <v>46233</v>
      </c>
      <c r="B6332" t="s">
        <v>40</v>
      </c>
      <c r="C6332" t="s">
        <v>45</v>
      </c>
      <c r="D6332">
        <v>3233</v>
      </c>
      <c r="E6332">
        <v>1090</v>
      </c>
      <c r="F6332">
        <v>439</v>
      </c>
      <c r="G6332">
        <v>197</v>
      </c>
      <c r="H6332">
        <v>4959</v>
      </c>
      <c r="I6332" s="1">
        <v>46204</v>
      </c>
      <c r="J6332">
        <v>636</v>
      </c>
      <c r="K6332" t="s">
        <v>23</v>
      </c>
    </row>
    <row r="6333" spans="1:11">
      <c r="A6333" s="1">
        <v>46233</v>
      </c>
      <c r="B6333" t="s">
        <v>40</v>
      </c>
      <c r="C6333" t="s">
        <v>43</v>
      </c>
      <c r="D6333">
        <v>12174</v>
      </c>
      <c r="E6333">
        <v>6090</v>
      </c>
      <c r="F6333">
        <v>2469</v>
      </c>
      <c r="G6333">
        <v>517</v>
      </c>
      <c r="H6333">
        <v>21250</v>
      </c>
      <c r="I6333" s="1">
        <v>46204</v>
      </c>
      <c r="J6333">
        <v>2986</v>
      </c>
      <c r="K6333" t="s">
        <v>23</v>
      </c>
    </row>
    <row r="6334" spans="1:11">
      <c r="A6334" s="1">
        <v>46233</v>
      </c>
      <c r="B6334" t="s">
        <v>40</v>
      </c>
      <c r="C6334" t="s">
        <v>39</v>
      </c>
      <c r="D6334">
        <v>7248</v>
      </c>
      <c r="E6334">
        <v>3249</v>
      </c>
      <c r="F6334">
        <v>2343</v>
      </c>
      <c r="G6334">
        <v>1694</v>
      </c>
      <c r="H6334">
        <v>14534</v>
      </c>
      <c r="I6334" s="1">
        <v>46204</v>
      </c>
      <c r="J6334">
        <v>4037</v>
      </c>
      <c r="K6334" t="s">
        <v>23</v>
      </c>
    </row>
    <row r="6335" spans="1:11">
      <c r="A6335" s="1">
        <v>46233</v>
      </c>
      <c r="B6335" t="s">
        <v>40</v>
      </c>
      <c r="C6335" t="s">
        <v>38</v>
      </c>
      <c r="D6335">
        <v>2379</v>
      </c>
      <c r="E6335">
        <v>814</v>
      </c>
      <c r="F6335">
        <v>460</v>
      </c>
      <c r="G6335">
        <v>1</v>
      </c>
      <c r="H6335">
        <v>3654</v>
      </c>
      <c r="I6335" s="1">
        <v>46204</v>
      </c>
      <c r="J6335">
        <v>461</v>
      </c>
      <c r="K6335" t="s">
        <v>23</v>
      </c>
    </row>
    <row r="6336" spans="1:11">
      <c r="A6336" s="1">
        <v>46233</v>
      </c>
      <c r="B6336" t="s">
        <v>40</v>
      </c>
      <c r="C6336" t="s">
        <v>54</v>
      </c>
      <c r="D6336">
        <v>1482</v>
      </c>
      <c r="E6336">
        <v>365</v>
      </c>
      <c r="F6336">
        <v>350</v>
      </c>
      <c r="G6336">
        <v>235</v>
      </c>
      <c r="H6336">
        <v>2432</v>
      </c>
      <c r="I6336" s="1">
        <v>46204</v>
      </c>
      <c r="J6336">
        <v>585</v>
      </c>
      <c r="K6336" t="s">
        <v>23</v>
      </c>
    </row>
    <row r="6337" spans="1:11">
      <c r="A6337" s="1">
        <v>46233</v>
      </c>
      <c r="B6337" t="s">
        <v>40</v>
      </c>
      <c r="C6337" t="s">
        <v>35</v>
      </c>
      <c r="D6337">
        <v>439</v>
      </c>
      <c r="E6337">
        <v>273</v>
      </c>
      <c r="F6337">
        <v>302</v>
      </c>
      <c r="G6337">
        <v>391</v>
      </c>
      <c r="H6337">
        <v>1405</v>
      </c>
      <c r="I6337" s="1">
        <v>46204</v>
      </c>
      <c r="J6337">
        <v>693</v>
      </c>
      <c r="K6337" t="s">
        <v>23</v>
      </c>
    </row>
    <row r="6338" spans="1:11">
      <c r="A6338" s="1">
        <v>46233</v>
      </c>
      <c r="B6338" t="s">
        <v>40</v>
      </c>
      <c r="C6338" t="s">
        <v>52</v>
      </c>
      <c r="D6338">
        <v>10053</v>
      </c>
      <c r="E6338">
        <v>4461</v>
      </c>
      <c r="F6338">
        <v>1926</v>
      </c>
      <c r="G6338">
        <v>766</v>
      </c>
      <c r="H6338">
        <v>17205</v>
      </c>
      <c r="I6338" s="1">
        <v>46204</v>
      </c>
      <c r="J6338">
        <v>2692</v>
      </c>
      <c r="K6338" t="s">
        <v>23</v>
      </c>
    </row>
    <row r="6339" spans="1:11">
      <c r="A6339" s="1">
        <v>46233</v>
      </c>
      <c r="B6339" t="s">
        <v>40</v>
      </c>
      <c r="C6339" t="s">
        <v>22</v>
      </c>
      <c r="D6339">
        <v>5335</v>
      </c>
      <c r="E6339">
        <v>2231</v>
      </c>
      <c r="F6339">
        <v>768</v>
      </c>
      <c r="G6339">
        <v>55</v>
      </c>
      <c r="H6339">
        <v>8389</v>
      </c>
      <c r="I6339" s="1">
        <v>46204</v>
      </c>
      <c r="J6339">
        <v>823</v>
      </c>
      <c r="K6339" t="s">
        <v>23</v>
      </c>
    </row>
    <row r="6340" spans="1:11">
      <c r="A6340" s="1">
        <v>46233</v>
      </c>
      <c r="B6340" t="s">
        <v>40</v>
      </c>
      <c r="C6340" t="s">
        <v>46</v>
      </c>
      <c r="D6340">
        <v>2443</v>
      </c>
      <c r="E6340">
        <v>555</v>
      </c>
      <c r="F6340">
        <v>154</v>
      </c>
      <c r="G6340">
        <v>22</v>
      </c>
      <c r="H6340">
        <v>3174</v>
      </c>
      <c r="I6340" s="1">
        <v>46204</v>
      </c>
      <c r="J6340">
        <v>176</v>
      </c>
      <c r="K6340" t="s">
        <v>23</v>
      </c>
    </row>
    <row r="6341" spans="1:11">
      <c r="A6341" s="1">
        <v>46233</v>
      </c>
      <c r="B6341" t="s">
        <v>40</v>
      </c>
      <c r="C6341" t="s">
        <v>63</v>
      </c>
      <c r="D6341">
        <v>6548</v>
      </c>
      <c r="E6341">
        <v>4719</v>
      </c>
      <c r="F6341">
        <v>3078</v>
      </c>
      <c r="G6341">
        <v>2168</v>
      </c>
      <c r="H6341">
        <v>16513</v>
      </c>
      <c r="I6341" s="1">
        <v>46204</v>
      </c>
      <c r="J6341">
        <v>5246</v>
      </c>
      <c r="K6341" t="s">
        <v>23</v>
      </c>
    </row>
    <row r="6342" spans="1:11">
      <c r="A6342" s="1">
        <v>46233</v>
      </c>
      <c r="B6342" t="s">
        <v>40</v>
      </c>
      <c r="C6342" t="s">
        <v>60</v>
      </c>
      <c r="D6342">
        <v>9727</v>
      </c>
      <c r="E6342">
        <v>3173</v>
      </c>
      <c r="F6342">
        <v>1061</v>
      </c>
      <c r="G6342">
        <v>1465</v>
      </c>
      <c r="H6342">
        <v>15426</v>
      </c>
      <c r="I6342" s="1">
        <v>46204</v>
      </c>
      <c r="J6342">
        <v>2526</v>
      </c>
      <c r="K6342" t="s">
        <v>23</v>
      </c>
    </row>
    <row r="6343" spans="1:11">
      <c r="A6343" s="1">
        <v>46233</v>
      </c>
      <c r="B6343" t="s">
        <v>40</v>
      </c>
      <c r="C6343" t="s">
        <v>61</v>
      </c>
      <c r="D6343">
        <v>16929</v>
      </c>
      <c r="E6343">
        <v>7340</v>
      </c>
      <c r="F6343">
        <v>3682</v>
      </c>
      <c r="G6343">
        <v>4231</v>
      </c>
      <c r="H6343">
        <v>32182</v>
      </c>
      <c r="I6343" s="1">
        <v>46204</v>
      </c>
      <c r="J6343">
        <v>7913</v>
      </c>
      <c r="K6343" t="s">
        <v>23</v>
      </c>
    </row>
    <row r="6344" spans="1:11">
      <c r="A6344" s="1">
        <v>46233</v>
      </c>
      <c r="B6344" t="s">
        <v>40</v>
      </c>
      <c r="C6344" t="s">
        <v>62</v>
      </c>
      <c r="D6344">
        <v>2167</v>
      </c>
      <c r="E6344">
        <v>1362</v>
      </c>
      <c r="F6344">
        <v>1166</v>
      </c>
      <c r="G6344">
        <v>6104</v>
      </c>
      <c r="H6344">
        <v>10798</v>
      </c>
      <c r="I6344" s="1">
        <v>46204</v>
      </c>
      <c r="J6344">
        <v>7270</v>
      </c>
      <c r="K6344" t="s">
        <v>23</v>
      </c>
    </row>
    <row r="6345" spans="1:11">
      <c r="A6345" s="1">
        <v>46233</v>
      </c>
      <c r="B6345" t="s">
        <v>40</v>
      </c>
      <c r="C6345" t="s">
        <v>69</v>
      </c>
      <c r="D6345">
        <v>19064</v>
      </c>
      <c r="E6345">
        <v>5998</v>
      </c>
      <c r="F6345">
        <v>2577</v>
      </c>
      <c r="G6345">
        <v>1748</v>
      </c>
      <c r="H6345">
        <v>29388</v>
      </c>
      <c r="I6345" s="1">
        <v>46204</v>
      </c>
      <c r="J6345">
        <v>4325</v>
      </c>
      <c r="K6345" t="s">
        <v>23</v>
      </c>
    </row>
    <row r="6346" spans="1:11">
      <c r="A6346" s="1">
        <v>46233</v>
      </c>
      <c r="B6346" t="s">
        <v>40</v>
      </c>
      <c r="C6346" t="s">
        <v>24</v>
      </c>
      <c r="D6346">
        <v>602</v>
      </c>
      <c r="E6346">
        <v>300</v>
      </c>
      <c r="F6346">
        <v>85</v>
      </c>
      <c r="G6346">
        <v>3</v>
      </c>
      <c r="H6346">
        <v>989</v>
      </c>
      <c r="I6346" s="1">
        <v>46204</v>
      </c>
      <c r="J6346">
        <v>88</v>
      </c>
      <c r="K6346" t="s">
        <v>23</v>
      </c>
    </row>
    <row r="6347" spans="1:11">
      <c r="A6347" s="1">
        <v>46233</v>
      </c>
      <c r="B6347" t="s">
        <v>40</v>
      </c>
      <c r="C6347" t="s">
        <v>29</v>
      </c>
      <c r="D6347">
        <v>3853</v>
      </c>
      <c r="E6347">
        <v>1492</v>
      </c>
      <c r="F6347">
        <v>685</v>
      </c>
      <c r="G6347">
        <v>531</v>
      </c>
      <c r="H6347">
        <v>6562</v>
      </c>
      <c r="I6347" s="1">
        <v>46204</v>
      </c>
      <c r="J6347">
        <v>1216</v>
      </c>
      <c r="K6347" t="s">
        <v>23</v>
      </c>
    </row>
    <row r="6348" spans="1:11">
      <c r="A6348" s="1">
        <v>46233</v>
      </c>
      <c r="B6348" t="s">
        <v>40</v>
      </c>
      <c r="C6348" t="s">
        <v>70</v>
      </c>
      <c r="D6348">
        <v>2986</v>
      </c>
      <c r="E6348">
        <v>1033</v>
      </c>
      <c r="F6348">
        <v>584</v>
      </c>
      <c r="G6348">
        <v>338</v>
      </c>
      <c r="H6348">
        <v>4941</v>
      </c>
      <c r="I6348" s="1">
        <v>46204</v>
      </c>
      <c r="J6348">
        <v>922</v>
      </c>
      <c r="K6348" t="s">
        <v>23</v>
      </c>
    </row>
    <row r="6349" spans="1:11">
      <c r="A6349" s="1">
        <v>46233</v>
      </c>
      <c r="B6349" t="s">
        <v>40</v>
      </c>
      <c r="C6349" t="s">
        <v>71</v>
      </c>
      <c r="D6349">
        <v>20237</v>
      </c>
      <c r="E6349">
        <v>7198</v>
      </c>
      <c r="F6349">
        <v>4386</v>
      </c>
      <c r="G6349">
        <v>3447</v>
      </c>
      <c r="H6349">
        <v>35268</v>
      </c>
      <c r="I6349" s="1">
        <v>46204</v>
      </c>
      <c r="J6349">
        <v>7833</v>
      </c>
      <c r="K6349" t="s">
        <v>23</v>
      </c>
    </row>
    <row r="6350" spans="1:11">
      <c r="A6350" s="1">
        <v>46233</v>
      </c>
      <c r="B6350" t="s">
        <v>40</v>
      </c>
      <c r="C6350" t="s">
        <v>36</v>
      </c>
      <c r="D6350">
        <v>17862</v>
      </c>
      <c r="E6350">
        <v>8905</v>
      </c>
      <c r="F6350">
        <v>3295</v>
      </c>
      <c r="G6350">
        <v>1135</v>
      </c>
      <c r="H6350">
        <v>31198</v>
      </c>
      <c r="I6350" s="1">
        <v>46204</v>
      </c>
      <c r="J6350">
        <v>4430</v>
      </c>
      <c r="K6350" t="s">
        <v>23</v>
      </c>
    </row>
    <row r="6351" spans="1:11">
      <c r="A6351" s="1">
        <v>46233</v>
      </c>
      <c r="B6351" t="s">
        <v>40</v>
      </c>
      <c r="C6351" t="s">
        <v>32</v>
      </c>
      <c r="D6351">
        <v>2688</v>
      </c>
      <c r="E6351">
        <v>946</v>
      </c>
      <c r="F6351">
        <v>513</v>
      </c>
      <c r="G6351">
        <v>194</v>
      </c>
      <c r="H6351">
        <v>4340</v>
      </c>
      <c r="I6351" s="1">
        <v>46204</v>
      </c>
      <c r="J6351">
        <v>707</v>
      </c>
      <c r="K6351" t="s">
        <v>23</v>
      </c>
    </row>
    <row r="6352" spans="1:11">
      <c r="A6352" s="1">
        <v>46233</v>
      </c>
      <c r="B6352" t="s">
        <v>40</v>
      </c>
      <c r="C6352" t="s">
        <v>44</v>
      </c>
      <c r="D6352">
        <v>7251</v>
      </c>
      <c r="E6352">
        <v>2126</v>
      </c>
      <c r="F6352">
        <v>995</v>
      </c>
      <c r="G6352">
        <v>364</v>
      </c>
      <c r="H6352">
        <v>10737</v>
      </c>
      <c r="I6352" s="1">
        <v>46204</v>
      </c>
      <c r="J6352">
        <v>1359</v>
      </c>
      <c r="K6352" t="s">
        <v>23</v>
      </c>
    </row>
    <row r="6353" spans="1:11">
      <c r="A6353" s="1">
        <v>46233</v>
      </c>
      <c r="B6353" t="s">
        <v>40</v>
      </c>
      <c r="C6353" t="s">
        <v>59</v>
      </c>
      <c r="D6353">
        <v>18535</v>
      </c>
      <c r="E6353">
        <v>7919</v>
      </c>
      <c r="F6353">
        <v>2803</v>
      </c>
      <c r="G6353">
        <v>810</v>
      </c>
      <c r="H6353">
        <v>30067</v>
      </c>
      <c r="I6353" s="1">
        <v>46204</v>
      </c>
      <c r="J6353">
        <v>3613</v>
      </c>
      <c r="K6353" t="s">
        <v>23</v>
      </c>
    </row>
    <row r="6354" spans="1:11">
      <c r="A6354" s="1">
        <v>46233</v>
      </c>
      <c r="B6354" t="s">
        <v>40</v>
      </c>
      <c r="C6354" t="s">
        <v>67</v>
      </c>
      <c r="D6354">
        <v>24223</v>
      </c>
      <c r="E6354">
        <v>11047</v>
      </c>
      <c r="F6354">
        <v>5675</v>
      </c>
      <c r="G6354">
        <v>4100</v>
      </c>
      <c r="H6354">
        <v>45046</v>
      </c>
      <c r="I6354" s="1">
        <v>46204</v>
      </c>
      <c r="J6354">
        <v>9775</v>
      </c>
      <c r="K6354" t="s">
        <v>23</v>
      </c>
    </row>
    <row r="6355" spans="1:11">
      <c r="A6355" s="1">
        <v>46233</v>
      </c>
      <c r="B6355" t="s">
        <v>40</v>
      </c>
      <c r="C6355" t="s">
        <v>49</v>
      </c>
      <c r="D6355">
        <v>4545</v>
      </c>
      <c r="E6355">
        <v>884</v>
      </c>
      <c r="F6355">
        <v>506</v>
      </c>
      <c r="G6355">
        <v>48</v>
      </c>
      <c r="H6355">
        <v>5982</v>
      </c>
      <c r="I6355" s="1">
        <v>46204</v>
      </c>
      <c r="J6355">
        <v>554</v>
      </c>
      <c r="K6355" t="s">
        <v>23</v>
      </c>
    </row>
    <row r="6356" spans="1:11">
      <c r="A6356" s="1">
        <v>46261</v>
      </c>
      <c r="B6356" t="s">
        <v>40</v>
      </c>
      <c r="C6356" t="s">
        <v>50</v>
      </c>
      <c r="D6356">
        <v>894</v>
      </c>
      <c r="E6356">
        <v>225</v>
      </c>
      <c r="F6356">
        <v>43</v>
      </c>
      <c r="G6356">
        <v>3</v>
      </c>
      <c r="H6356">
        <v>1165</v>
      </c>
      <c r="I6356" s="1">
        <v>46235</v>
      </c>
      <c r="J6356">
        <v>46</v>
      </c>
      <c r="K6356" t="s">
        <v>23</v>
      </c>
    </row>
    <row r="6357" spans="1:11">
      <c r="A6357" s="1">
        <v>46261</v>
      </c>
      <c r="B6357" t="s">
        <v>40</v>
      </c>
      <c r="C6357" t="s">
        <v>48</v>
      </c>
      <c r="D6357">
        <v>31595</v>
      </c>
      <c r="E6357">
        <v>13599</v>
      </c>
      <c r="F6357">
        <v>7153</v>
      </c>
      <c r="G6357">
        <v>4491</v>
      </c>
      <c r="H6357">
        <v>56838</v>
      </c>
      <c r="I6357" s="1">
        <v>46235</v>
      </c>
      <c r="J6357">
        <v>11644</v>
      </c>
      <c r="K6357" t="s">
        <v>23</v>
      </c>
    </row>
    <row r="6358" spans="1:11">
      <c r="A6358" s="1">
        <v>46261</v>
      </c>
      <c r="B6358" t="s">
        <v>40</v>
      </c>
      <c r="C6358" t="s">
        <v>55</v>
      </c>
      <c r="D6358">
        <v>5882</v>
      </c>
      <c r="E6358">
        <v>1547</v>
      </c>
      <c r="F6358">
        <v>753</v>
      </c>
      <c r="G6358">
        <v>78</v>
      </c>
      <c r="H6358">
        <v>8261</v>
      </c>
      <c r="I6358" s="1">
        <v>46235</v>
      </c>
      <c r="J6358">
        <v>831</v>
      </c>
      <c r="K6358" t="s">
        <v>23</v>
      </c>
    </row>
    <row r="6359" spans="1:11">
      <c r="A6359" s="1">
        <v>46261</v>
      </c>
      <c r="B6359" t="s">
        <v>40</v>
      </c>
      <c r="C6359" t="s">
        <v>33</v>
      </c>
      <c r="D6359">
        <v>2533</v>
      </c>
      <c r="E6359">
        <v>994</v>
      </c>
      <c r="F6359">
        <v>117</v>
      </c>
      <c r="G6359">
        <v>3</v>
      </c>
      <c r="H6359">
        <v>3647</v>
      </c>
      <c r="I6359" s="1">
        <v>46235</v>
      </c>
      <c r="J6359">
        <v>120</v>
      </c>
      <c r="K6359" t="s">
        <v>23</v>
      </c>
    </row>
    <row r="6360" spans="1:11">
      <c r="A6360" s="1">
        <v>46261</v>
      </c>
      <c r="B6360" t="s">
        <v>40</v>
      </c>
      <c r="C6360" t="s">
        <v>65</v>
      </c>
      <c r="D6360">
        <v>14416</v>
      </c>
      <c r="E6360">
        <v>5773</v>
      </c>
      <c r="F6360">
        <v>1805</v>
      </c>
      <c r="G6360">
        <v>127</v>
      </c>
      <c r="H6360">
        <v>22122</v>
      </c>
      <c r="I6360" s="1">
        <v>46235</v>
      </c>
      <c r="J6360">
        <v>1932</v>
      </c>
      <c r="K6360" t="s">
        <v>23</v>
      </c>
    </row>
    <row r="6361" spans="1:11">
      <c r="A6361" s="1">
        <v>46261</v>
      </c>
      <c r="B6361" t="s">
        <v>40</v>
      </c>
      <c r="C6361" t="s">
        <v>27</v>
      </c>
      <c r="D6361">
        <v>3244</v>
      </c>
      <c r="E6361">
        <v>1949</v>
      </c>
      <c r="F6361">
        <v>693</v>
      </c>
      <c r="G6361">
        <v>251</v>
      </c>
      <c r="H6361">
        <v>6136</v>
      </c>
      <c r="I6361" s="1">
        <v>46235</v>
      </c>
      <c r="J6361">
        <v>944</v>
      </c>
      <c r="K6361" t="s">
        <v>23</v>
      </c>
    </row>
    <row r="6362" spans="1:11">
      <c r="A6362" s="1">
        <v>46261</v>
      </c>
      <c r="B6362" t="s">
        <v>40</v>
      </c>
      <c r="C6362" t="s">
        <v>37</v>
      </c>
      <c r="D6362">
        <v>409</v>
      </c>
      <c r="E6362">
        <v>300</v>
      </c>
      <c r="F6362">
        <v>296</v>
      </c>
      <c r="G6362">
        <v>327</v>
      </c>
      <c r="H6362">
        <v>1332</v>
      </c>
      <c r="I6362" s="1">
        <v>46235</v>
      </c>
      <c r="J6362">
        <v>623</v>
      </c>
      <c r="K6362" t="s">
        <v>23</v>
      </c>
    </row>
    <row r="6363" spans="1:11">
      <c r="A6363" s="1">
        <v>46261</v>
      </c>
      <c r="B6363" t="s">
        <v>40</v>
      </c>
      <c r="C6363" t="s">
        <v>66</v>
      </c>
      <c r="D6363">
        <v>27059</v>
      </c>
      <c r="E6363">
        <v>9177</v>
      </c>
      <c r="F6363">
        <v>5169</v>
      </c>
      <c r="G6363">
        <v>5193</v>
      </c>
      <c r="H6363">
        <v>46598</v>
      </c>
      <c r="I6363" s="1">
        <v>46235</v>
      </c>
      <c r="J6363">
        <v>10362</v>
      </c>
      <c r="K6363" t="s">
        <v>23</v>
      </c>
    </row>
    <row r="6364" spans="1:11">
      <c r="A6364" s="1">
        <v>46261</v>
      </c>
      <c r="B6364" t="s">
        <v>40</v>
      </c>
      <c r="C6364" t="s">
        <v>57</v>
      </c>
      <c r="D6364">
        <v>11074</v>
      </c>
      <c r="E6364">
        <v>2015</v>
      </c>
      <c r="F6364">
        <v>390</v>
      </c>
      <c r="G6364">
        <v>626</v>
      </c>
      <c r="H6364">
        <v>14105</v>
      </c>
      <c r="I6364" s="1">
        <v>46235</v>
      </c>
      <c r="J6364">
        <v>1016</v>
      </c>
      <c r="K6364" t="s">
        <v>23</v>
      </c>
    </row>
    <row r="6365" spans="1:11">
      <c r="A6365" s="1">
        <v>46261</v>
      </c>
      <c r="B6365" t="s">
        <v>40</v>
      </c>
      <c r="C6365" t="s">
        <v>42</v>
      </c>
      <c r="D6365">
        <v>1772</v>
      </c>
      <c r="E6365">
        <v>774</v>
      </c>
      <c r="F6365">
        <v>189</v>
      </c>
      <c r="G6365">
        <v>5</v>
      </c>
      <c r="H6365">
        <v>2739</v>
      </c>
      <c r="I6365" s="1">
        <v>46235</v>
      </c>
      <c r="J6365">
        <v>194</v>
      </c>
      <c r="K6365" t="s">
        <v>23</v>
      </c>
    </row>
    <row r="6366" spans="1:11">
      <c r="A6366" s="1">
        <v>46261</v>
      </c>
      <c r="B6366" t="s">
        <v>40</v>
      </c>
      <c r="C6366" t="s">
        <v>28</v>
      </c>
      <c r="D6366">
        <v>2651</v>
      </c>
      <c r="E6366">
        <v>709</v>
      </c>
      <c r="F6366">
        <v>199</v>
      </c>
      <c r="G6366">
        <v>130</v>
      </c>
      <c r="H6366">
        <v>3688</v>
      </c>
      <c r="I6366" s="1">
        <v>46235</v>
      </c>
      <c r="J6366">
        <v>329</v>
      </c>
      <c r="K6366" t="s">
        <v>23</v>
      </c>
    </row>
    <row r="6367" spans="1:11">
      <c r="A6367" s="1">
        <v>46261</v>
      </c>
      <c r="B6367" t="s">
        <v>40</v>
      </c>
      <c r="C6367" t="s">
        <v>68</v>
      </c>
      <c r="D6367">
        <v>26385</v>
      </c>
      <c r="E6367">
        <v>9414</v>
      </c>
      <c r="F6367">
        <v>4638</v>
      </c>
      <c r="G6367">
        <v>3217</v>
      </c>
      <c r="H6367">
        <v>43655</v>
      </c>
      <c r="I6367" s="1">
        <v>46235</v>
      </c>
      <c r="J6367">
        <v>7855</v>
      </c>
      <c r="K6367" t="s">
        <v>23</v>
      </c>
    </row>
    <row r="6368" spans="1:11">
      <c r="A6368" s="1">
        <v>46261</v>
      </c>
      <c r="B6368" t="s">
        <v>40</v>
      </c>
      <c r="C6368" t="s">
        <v>47</v>
      </c>
      <c r="D6368">
        <v>5421</v>
      </c>
      <c r="E6368">
        <v>1650</v>
      </c>
      <c r="F6368">
        <v>471</v>
      </c>
      <c r="G6368">
        <v>154</v>
      </c>
      <c r="H6368">
        <v>7695</v>
      </c>
      <c r="I6368" s="1">
        <v>46235</v>
      </c>
      <c r="J6368">
        <v>625</v>
      </c>
      <c r="K6368" t="s">
        <v>23</v>
      </c>
    </row>
    <row r="6369" spans="1:11">
      <c r="A6369" s="1">
        <v>46261</v>
      </c>
      <c r="B6369" t="s">
        <v>40</v>
      </c>
      <c r="C6369" t="s">
        <v>25</v>
      </c>
      <c r="D6369">
        <v>3633</v>
      </c>
      <c r="E6369">
        <v>1512</v>
      </c>
      <c r="F6369">
        <v>703</v>
      </c>
      <c r="G6369">
        <v>133</v>
      </c>
      <c r="H6369">
        <v>5980</v>
      </c>
      <c r="I6369" s="1">
        <v>46235</v>
      </c>
      <c r="J6369">
        <v>836</v>
      </c>
      <c r="K6369" t="s">
        <v>23</v>
      </c>
    </row>
    <row r="6370" spans="1:11">
      <c r="A6370" s="1">
        <v>46261</v>
      </c>
      <c r="B6370" t="s">
        <v>40</v>
      </c>
      <c r="C6370" t="s">
        <v>51</v>
      </c>
      <c r="D6370">
        <v>6208</v>
      </c>
      <c r="E6370">
        <v>2033</v>
      </c>
      <c r="F6370">
        <v>808</v>
      </c>
      <c r="G6370">
        <v>949</v>
      </c>
      <c r="H6370">
        <v>9998</v>
      </c>
      <c r="I6370" s="1">
        <v>46235</v>
      </c>
      <c r="J6370">
        <v>1757</v>
      </c>
      <c r="K6370" t="s">
        <v>23</v>
      </c>
    </row>
    <row r="6371" spans="1:11">
      <c r="A6371" s="1">
        <v>46261</v>
      </c>
      <c r="B6371" t="s">
        <v>40</v>
      </c>
      <c r="C6371" t="s">
        <v>45</v>
      </c>
      <c r="D6371">
        <v>3104</v>
      </c>
      <c r="E6371">
        <v>970</v>
      </c>
      <c r="F6371">
        <v>489</v>
      </c>
      <c r="G6371">
        <v>206</v>
      </c>
      <c r="H6371">
        <v>4769</v>
      </c>
      <c r="I6371" s="1">
        <v>46235</v>
      </c>
      <c r="J6371">
        <v>695</v>
      </c>
      <c r="K6371" t="s">
        <v>23</v>
      </c>
    </row>
    <row r="6372" spans="1:11">
      <c r="A6372" s="1">
        <v>46261</v>
      </c>
      <c r="B6372" t="s">
        <v>40</v>
      </c>
      <c r="C6372" t="s">
        <v>43</v>
      </c>
      <c r="D6372">
        <v>12136</v>
      </c>
      <c r="E6372">
        <v>6386</v>
      </c>
      <c r="F6372">
        <v>2535</v>
      </c>
      <c r="G6372">
        <v>737</v>
      </c>
      <c r="H6372">
        <v>21793</v>
      </c>
      <c r="I6372" s="1">
        <v>46235</v>
      </c>
      <c r="J6372">
        <v>3272</v>
      </c>
      <c r="K6372" t="s">
        <v>23</v>
      </c>
    </row>
    <row r="6373" spans="1:11">
      <c r="A6373" s="1">
        <v>46261</v>
      </c>
      <c r="B6373" t="s">
        <v>40</v>
      </c>
      <c r="C6373" t="s">
        <v>39</v>
      </c>
      <c r="D6373">
        <v>7153</v>
      </c>
      <c r="E6373">
        <v>3189</v>
      </c>
      <c r="F6373">
        <v>2319</v>
      </c>
      <c r="G6373">
        <v>1880</v>
      </c>
      <c r="H6373">
        <v>14541</v>
      </c>
      <c r="I6373" s="1">
        <v>46235</v>
      </c>
      <c r="J6373">
        <v>4199</v>
      </c>
      <c r="K6373" t="s">
        <v>23</v>
      </c>
    </row>
    <row r="6374" spans="1:11">
      <c r="A6374" s="1">
        <v>46261</v>
      </c>
      <c r="B6374" t="s">
        <v>40</v>
      </c>
      <c r="C6374" t="s">
        <v>38</v>
      </c>
      <c r="D6374">
        <v>2315</v>
      </c>
      <c r="E6374">
        <v>854</v>
      </c>
      <c r="F6374">
        <v>504</v>
      </c>
      <c r="G6374">
        <v>9</v>
      </c>
      <c r="H6374">
        <v>3682</v>
      </c>
      <c r="I6374" s="1">
        <v>46235</v>
      </c>
      <c r="J6374">
        <v>513</v>
      </c>
      <c r="K6374" t="s">
        <v>23</v>
      </c>
    </row>
    <row r="6375" spans="1:11">
      <c r="A6375" s="1">
        <v>46261</v>
      </c>
      <c r="B6375" t="s">
        <v>40</v>
      </c>
      <c r="C6375" t="s">
        <v>54</v>
      </c>
      <c r="D6375">
        <v>1474</v>
      </c>
      <c r="E6375">
        <v>352</v>
      </c>
      <c r="F6375">
        <v>324</v>
      </c>
      <c r="G6375">
        <v>211</v>
      </c>
      <c r="H6375">
        <v>2361</v>
      </c>
      <c r="I6375" s="1">
        <v>46235</v>
      </c>
      <c r="J6375">
        <v>535</v>
      </c>
      <c r="K6375" t="s">
        <v>23</v>
      </c>
    </row>
    <row r="6376" spans="1:11">
      <c r="A6376" s="1">
        <v>46261</v>
      </c>
      <c r="B6376" t="s">
        <v>40</v>
      </c>
      <c r="C6376" t="s">
        <v>35</v>
      </c>
      <c r="D6376">
        <v>463</v>
      </c>
      <c r="E6376">
        <v>267</v>
      </c>
      <c r="F6376">
        <v>284</v>
      </c>
      <c r="G6376">
        <v>334</v>
      </c>
      <c r="H6376">
        <v>1348</v>
      </c>
      <c r="I6376" s="1">
        <v>46235</v>
      </c>
      <c r="J6376">
        <v>618</v>
      </c>
      <c r="K6376" t="s">
        <v>23</v>
      </c>
    </row>
    <row r="6377" spans="1:11">
      <c r="A6377" s="1">
        <v>46261</v>
      </c>
      <c r="B6377" t="s">
        <v>40</v>
      </c>
      <c r="C6377" t="s">
        <v>52</v>
      </c>
      <c r="D6377">
        <v>10186</v>
      </c>
      <c r="E6377">
        <v>4408</v>
      </c>
      <c r="F6377">
        <v>2004</v>
      </c>
      <c r="G6377">
        <v>770</v>
      </c>
      <c r="H6377">
        <v>17368</v>
      </c>
      <c r="I6377" s="1">
        <v>46235</v>
      </c>
      <c r="J6377">
        <v>2774</v>
      </c>
      <c r="K6377" t="s">
        <v>23</v>
      </c>
    </row>
    <row r="6378" spans="1:11">
      <c r="A6378" s="1">
        <v>46261</v>
      </c>
      <c r="B6378" t="s">
        <v>40</v>
      </c>
      <c r="C6378" t="s">
        <v>22</v>
      </c>
      <c r="D6378">
        <v>5350</v>
      </c>
      <c r="E6378">
        <v>2314</v>
      </c>
      <c r="F6378">
        <v>910</v>
      </c>
      <c r="G6378">
        <v>61</v>
      </c>
      <c r="H6378">
        <v>8636</v>
      </c>
      <c r="I6378" s="1">
        <v>46235</v>
      </c>
      <c r="J6378">
        <v>971</v>
      </c>
      <c r="K6378" t="s">
        <v>23</v>
      </c>
    </row>
    <row r="6379" spans="1:11">
      <c r="A6379" s="1">
        <v>46261</v>
      </c>
      <c r="B6379" t="s">
        <v>40</v>
      </c>
      <c r="C6379" t="s">
        <v>46</v>
      </c>
      <c r="D6379">
        <v>2476</v>
      </c>
      <c r="E6379">
        <v>592</v>
      </c>
      <c r="F6379">
        <v>155</v>
      </c>
      <c r="G6379">
        <v>30</v>
      </c>
      <c r="H6379">
        <v>3253</v>
      </c>
      <c r="I6379" s="1">
        <v>46235</v>
      </c>
      <c r="J6379">
        <v>185</v>
      </c>
      <c r="K6379" t="s">
        <v>23</v>
      </c>
    </row>
    <row r="6380" spans="1:11">
      <c r="A6380" s="1">
        <v>46261</v>
      </c>
      <c r="B6380" t="s">
        <v>40</v>
      </c>
      <c r="C6380" t="s">
        <v>31</v>
      </c>
      <c r="D6380">
        <v>3451</v>
      </c>
      <c r="E6380">
        <v>1205</v>
      </c>
      <c r="F6380">
        <v>44</v>
      </c>
      <c r="G6380">
        <v>5</v>
      </c>
      <c r="H6380">
        <v>4704</v>
      </c>
      <c r="I6380" s="1">
        <v>46235</v>
      </c>
      <c r="J6380">
        <v>49</v>
      </c>
      <c r="K6380" t="s">
        <v>23</v>
      </c>
    </row>
    <row r="6381" spans="1:11">
      <c r="A6381" s="1">
        <v>46261</v>
      </c>
      <c r="B6381" t="s">
        <v>40</v>
      </c>
      <c r="C6381" t="s">
        <v>34</v>
      </c>
      <c r="D6381">
        <v>4952</v>
      </c>
      <c r="E6381">
        <v>1624</v>
      </c>
      <c r="F6381">
        <v>165</v>
      </c>
      <c r="G6381">
        <v>1</v>
      </c>
      <c r="H6381">
        <v>6742</v>
      </c>
      <c r="I6381" s="1">
        <v>46235</v>
      </c>
      <c r="J6381">
        <v>166</v>
      </c>
      <c r="K6381" t="s">
        <v>23</v>
      </c>
    </row>
    <row r="6382" spans="1:11">
      <c r="A6382" s="1">
        <v>46261</v>
      </c>
      <c r="B6382" t="s">
        <v>40</v>
      </c>
      <c r="C6382" t="s">
        <v>63</v>
      </c>
      <c r="D6382">
        <v>6126</v>
      </c>
      <c r="E6382">
        <v>4856</v>
      </c>
      <c r="F6382">
        <v>3089</v>
      </c>
      <c r="G6382">
        <v>2286</v>
      </c>
      <c r="H6382">
        <v>16357</v>
      </c>
      <c r="I6382" s="1">
        <v>46235</v>
      </c>
      <c r="J6382">
        <v>5375</v>
      </c>
      <c r="K6382" t="s">
        <v>23</v>
      </c>
    </row>
    <row r="6383" spans="1:11">
      <c r="A6383" s="1">
        <v>46261</v>
      </c>
      <c r="B6383" t="s">
        <v>40</v>
      </c>
      <c r="C6383" t="s">
        <v>60</v>
      </c>
      <c r="D6383">
        <v>10118</v>
      </c>
      <c r="E6383">
        <v>3593</v>
      </c>
      <c r="F6383">
        <v>1145</v>
      </c>
      <c r="G6383">
        <v>1513</v>
      </c>
      <c r="H6383">
        <v>16368</v>
      </c>
      <c r="I6383" s="1">
        <v>46235</v>
      </c>
      <c r="J6383">
        <v>2658</v>
      </c>
      <c r="K6383" t="s">
        <v>23</v>
      </c>
    </row>
    <row r="6384" spans="1:11">
      <c r="A6384" s="1">
        <v>46261</v>
      </c>
      <c r="B6384" t="s">
        <v>40</v>
      </c>
      <c r="C6384" t="s">
        <v>61</v>
      </c>
      <c r="D6384">
        <v>16098</v>
      </c>
      <c r="E6384">
        <v>7174</v>
      </c>
      <c r="F6384">
        <v>3495</v>
      </c>
      <c r="G6384">
        <v>3953</v>
      </c>
      <c r="H6384">
        <v>30719</v>
      </c>
      <c r="I6384" s="1">
        <v>46235</v>
      </c>
      <c r="J6384">
        <v>7448</v>
      </c>
      <c r="K6384" t="s">
        <v>23</v>
      </c>
    </row>
    <row r="6385" spans="1:11">
      <c r="A6385" s="1">
        <v>46261</v>
      </c>
      <c r="B6385" t="s">
        <v>40</v>
      </c>
      <c r="C6385" t="s">
        <v>62</v>
      </c>
      <c r="D6385">
        <v>2175</v>
      </c>
      <c r="E6385">
        <v>1381</v>
      </c>
      <c r="F6385">
        <v>1137</v>
      </c>
      <c r="G6385">
        <v>6199</v>
      </c>
      <c r="H6385">
        <v>10892</v>
      </c>
      <c r="I6385" s="1">
        <v>46235</v>
      </c>
      <c r="J6385">
        <v>7336</v>
      </c>
      <c r="K6385" t="s">
        <v>23</v>
      </c>
    </row>
    <row r="6386" spans="1:11">
      <c r="A6386" s="1">
        <v>46261</v>
      </c>
      <c r="B6386" t="s">
        <v>40</v>
      </c>
      <c r="C6386" t="s">
        <v>69</v>
      </c>
      <c r="D6386">
        <v>19039</v>
      </c>
      <c r="E6386">
        <v>6301</v>
      </c>
      <c r="F6386">
        <v>2520</v>
      </c>
      <c r="G6386">
        <v>1787</v>
      </c>
      <c r="H6386">
        <v>29647</v>
      </c>
      <c r="I6386" s="1">
        <v>46235</v>
      </c>
      <c r="J6386">
        <v>4307</v>
      </c>
      <c r="K6386" t="s">
        <v>23</v>
      </c>
    </row>
    <row r="6387" spans="1:11">
      <c r="A6387" s="1">
        <v>46261</v>
      </c>
      <c r="B6387" t="s">
        <v>40</v>
      </c>
      <c r="C6387" t="s">
        <v>29</v>
      </c>
      <c r="D6387">
        <v>3835</v>
      </c>
      <c r="E6387">
        <v>1561</v>
      </c>
      <c r="F6387">
        <v>714</v>
      </c>
      <c r="G6387">
        <v>552</v>
      </c>
      <c r="H6387">
        <v>6662</v>
      </c>
      <c r="I6387" s="1">
        <v>46235</v>
      </c>
      <c r="J6387">
        <v>1266</v>
      </c>
      <c r="K6387" t="s">
        <v>23</v>
      </c>
    </row>
    <row r="6388" spans="1:11">
      <c r="A6388" s="1">
        <v>46261</v>
      </c>
      <c r="B6388" t="s">
        <v>40</v>
      </c>
      <c r="C6388" t="s">
        <v>70</v>
      </c>
      <c r="D6388">
        <v>3133</v>
      </c>
      <c r="E6388">
        <v>1054</v>
      </c>
      <c r="F6388">
        <v>540</v>
      </c>
      <c r="G6388">
        <v>344</v>
      </c>
      <c r="H6388">
        <v>5071</v>
      </c>
      <c r="I6388" s="1">
        <v>46235</v>
      </c>
      <c r="J6388">
        <v>884</v>
      </c>
      <c r="K6388" t="s">
        <v>23</v>
      </c>
    </row>
    <row r="6389" spans="1:11">
      <c r="A6389" s="1">
        <v>46261</v>
      </c>
      <c r="B6389" t="s">
        <v>40</v>
      </c>
      <c r="C6389" t="s">
        <v>71</v>
      </c>
      <c r="D6389">
        <v>20274</v>
      </c>
      <c r="E6389">
        <v>7385</v>
      </c>
      <c r="F6389">
        <v>4311</v>
      </c>
      <c r="G6389">
        <v>3527</v>
      </c>
      <c r="H6389">
        <v>35498</v>
      </c>
      <c r="I6389" s="1">
        <v>46235</v>
      </c>
      <c r="J6389">
        <v>7838</v>
      </c>
      <c r="K6389" t="s">
        <v>23</v>
      </c>
    </row>
    <row r="6390" spans="1:11">
      <c r="A6390" s="1">
        <v>46261</v>
      </c>
      <c r="B6390" t="s">
        <v>40</v>
      </c>
      <c r="C6390" t="s">
        <v>36</v>
      </c>
      <c r="D6390">
        <v>17839</v>
      </c>
      <c r="E6390">
        <v>9132</v>
      </c>
      <c r="F6390">
        <v>3423</v>
      </c>
      <c r="G6390">
        <v>1273</v>
      </c>
      <c r="H6390">
        <v>31667</v>
      </c>
      <c r="I6390" s="1">
        <v>46235</v>
      </c>
      <c r="J6390">
        <v>4696</v>
      </c>
      <c r="K6390" t="s">
        <v>23</v>
      </c>
    </row>
    <row r="6391" spans="1:11">
      <c r="A6391" s="1">
        <v>46261</v>
      </c>
      <c r="B6391" t="s">
        <v>40</v>
      </c>
      <c r="C6391" t="s">
        <v>32</v>
      </c>
      <c r="D6391">
        <v>2619</v>
      </c>
      <c r="E6391">
        <v>1052</v>
      </c>
      <c r="F6391">
        <v>499</v>
      </c>
      <c r="G6391">
        <v>219</v>
      </c>
      <c r="H6391">
        <v>4388</v>
      </c>
      <c r="I6391" s="1">
        <v>46235</v>
      </c>
      <c r="J6391">
        <v>718</v>
      </c>
      <c r="K6391" t="s">
        <v>23</v>
      </c>
    </row>
    <row r="6392" spans="1:11">
      <c r="A6392" s="1">
        <v>46261</v>
      </c>
      <c r="B6392" t="s">
        <v>40</v>
      </c>
      <c r="C6392" t="s">
        <v>44</v>
      </c>
      <c r="D6392">
        <v>7346</v>
      </c>
      <c r="E6392">
        <v>2112</v>
      </c>
      <c r="F6392">
        <v>922</v>
      </c>
      <c r="G6392">
        <v>380</v>
      </c>
      <c r="H6392">
        <v>10761</v>
      </c>
      <c r="I6392" s="1">
        <v>46235</v>
      </c>
      <c r="J6392">
        <v>1302</v>
      </c>
      <c r="K6392" t="s">
        <v>23</v>
      </c>
    </row>
    <row r="6393" spans="1:11">
      <c r="A6393" s="1">
        <v>46261</v>
      </c>
      <c r="B6393" t="s">
        <v>40</v>
      </c>
      <c r="C6393" t="s">
        <v>59</v>
      </c>
      <c r="D6393">
        <v>18472</v>
      </c>
      <c r="E6393">
        <v>8197</v>
      </c>
      <c r="F6393">
        <v>3039</v>
      </c>
      <c r="G6393">
        <v>861</v>
      </c>
      <c r="H6393">
        <v>30569</v>
      </c>
      <c r="I6393" s="1">
        <v>46235</v>
      </c>
      <c r="J6393">
        <v>3900</v>
      </c>
      <c r="K6393" t="s">
        <v>23</v>
      </c>
    </row>
    <row r="6394" spans="1:11">
      <c r="A6394" s="1">
        <v>46261</v>
      </c>
      <c r="B6394" t="s">
        <v>40</v>
      </c>
      <c r="C6394" t="s">
        <v>67</v>
      </c>
      <c r="D6394">
        <v>24029</v>
      </c>
      <c r="E6394">
        <v>11677</v>
      </c>
      <c r="F6394">
        <v>5708</v>
      </c>
      <c r="G6394">
        <v>4389</v>
      </c>
      <c r="H6394">
        <v>45802</v>
      </c>
      <c r="I6394" s="1">
        <v>46235</v>
      </c>
      <c r="J6394">
        <v>10097</v>
      </c>
      <c r="K6394" t="s">
        <v>23</v>
      </c>
    </row>
    <row r="6395" spans="1:11">
      <c r="A6395" s="1">
        <v>46261</v>
      </c>
      <c r="B6395" t="s">
        <v>40</v>
      </c>
      <c r="C6395" t="s">
        <v>49</v>
      </c>
      <c r="D6395">
        <v>4603</v>
      </c>
      <c r="E6395">
        <v>958</v>
      </c>
      <c r="F6395">
        <v>534</v>
      </c>
      <c r="G6395">
        <v>62</v>
      </c>
      <c r="H6395">
        <v>6156</v>
      </c>
      <c r="I6395" s="1">
        <v>46235</v>
      </c>
      <c r="J6395">
        <v>596</v>
      </c>
      <c r="K6395" t="s">
        <v>23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A1C26-C613-442D-828B-4CF00E2E92D4}">
  <dimension ref="A1:N71"/>
  <sheetViews>
    <sheetView workbookViewId="0">
      <selection activeCell="B67" sqref="B67"/>
    </sheetView>
  </sheetViews>
  <sheetFormatPr defaultRowHeight="13.5"/>
  <cols>
    <col min="1" max="1" width="11" style="4" customWidth="1"/>
    <col min="2" max="2" width="9.875" style="3" bestFit="1" customWidth="1"/>
    <col min="3" max="3" width="16.375" style="3" bestFit="1" customWidth="1"/>
    <col min="4" max="4" width="11.75" style="3" bestFit="1" customWidth="1"/>
    <col min="5" max="5" width="19.75" style="3" bestFit="1" customWidth="1"/>
    <col min="6" max="6" width="18.25" style="3" bestFit="1" customWidth="1"/>
    <col min="7" max="7" width="15" style="6" bestFit="1" customWidth="1"/>
    <col min="8" max="8" width="13.5" style="6" bestFit="1" customWidth="1"/>
  </cols>
  <sheetData>
    <row r="1" spans="1:8" s="10" customFormat="1">
      <c r="A1" s="7" t="s">
        <v>72</v>
      </c>
      <c r="B1" s="8" t="s">
        <v>23</v>
      </c>
      <c r="C1" s="8" t="s">
        <v>26</v>
      </c>
      <c r="D1" s="8" t="s">
        <v>73</v>
      </c>
      <c r="E1" s="8" t="s">
        <v>74</v>
      </c>
      <c r="F1" s="8" t="s">
        <v>75</v>
      </c>
      <c r="G1" s="9" t="s">
        <v>76</v>
      </c>
      <c r="H1" s="9" t="s">
        <v>77</v>
      </c>
    </row>
    <row r="2" spans="1:8">
      <c r="A2" s="4" cm="1">
        <f t="array" ref="A2:A45">_xlfn._xlws.SORT(_xlfn.UNIQUE(tblWaitingList[Month]))</f>
        <v>44927</v>
      </c>
      <c r="B2" s="3" cm="1">
        <f t="array" ref="B2:B45">SUMIFS(tblWaitingList[Total], tblWaitingList[Month],_xlfn.ANCHORARRAY( A2), tblWaitingList[List Type], "Outpatient")</f>
        <v>589676</v>
      </c>
      <c r="C2" s="3" cm="1">
        <f t="array" ref="C2:C45">SUMIFS(tblWaitingList[Total], tblWaitingList[Month],_xlfn.ANCHORARRAY( A2), tblWaitingList[List Type], "Inpatient/Day Case")</f>
        <v>83474</v>
      </c>
      <c r="D2" s="3" cm="1">
        <f t="array" ref="D2:D45">_xlfn.ANCHORARRAY(B2) +_xlfn.ANCHORARRAY( C2)</f>
        <v>673150</v>
      </c>
      <c r="E2" s="3" cm="1">
        <f t="array" ref="E2:E45">SUMIFS(tblWaitingList[Waiting 12+ Months], tblWaitingList[Month],_xlfn.ANCHORARRAY( A2), tblWaitingList[List Type], "Outpatient")</f>
        <v>154574</v>
      </c>
      <c r="F2" s="3" cm="1">
        <f t="array" ref="F2:F45">SUMIFS(tblWaitingList[Waiting 12+ Months], tblWaitingList[Month],_xlfn.ANCHORARRAY( A2), tblWaitingList[List Type], "Inpatient/Day Case")</f>
        <v>13746</v>
      </c>
      <c r="G2" s="6" cm="1">
        <f t="array" ref="G2:G45">_xlfn.ANCHORARRAY(E2) /_xlfn.ANCHORARRAY( B2)</f>
        <v>0.26213378194126946</v>
      </c>
      <c r="H2" s="6" cm="1">
        <f t="array" ref="H2:H45">_xlfn.ANCHORARRAY(F2) /_xlfn.ANCHORARRAY( C2)</f>
        <v>0.16467403023696001</v>
      </c>
    </row>
    <row r="3" spans="1:8">
      <c r="A3" s="4">
        <v>44958</v>
      </c>
      <c r="B3" s="3">
        <v>596102</v>
      </c>
      <c r="C3" s="3">
        <v>83720</v>
      </c>
      <c r="D3" s="3">
        <v>679822</v>
      </c>
      <c r="E3" s="3">
        <v>154346</v>
      </c>
      <c r="F3" s="3">
        <v>14347</v>
      </c>
      <c r="G3" s="6">
        <v>0.25892548590677433</v>
      </c>
      <c r="H3" s="6">
        <v>0.17136884854276158</v>
      </c>
    </row>
    <row r="4" spans="1:8">
      <c r="A4" s="4">
        <v>44986</v>
      </c>
      <c r="B4" s="3">
        <v>594861</v>
      </c>
      <c r="C4" s="3">
        <v>85064</v>
      </c>
      <c r="D4" s="3">
        <v>679925</v>
      </c>
      <c r="E4" s="3">
        <v>148121</v>
      </c>
      <c r="F4" s="3">
        <v>14658</v>
      </c>
      <c r="G4" s="6">
        <v>0.24900102713070785</v>
      </c>
      <c r="H4" s="6">
        <v>0.17231731402238315</v>
      </c>
    </row>
    <row r="5" spans="1:8">
      <c r="A5" s="4">
        <v>45017</v>
      </c>
      <c r="B5" s="3">
        <v>596267</v>
      </c>
      <c r="C5" s="3">
        <v>84789</v>
      </c>
      <c r="D5" s="3">
        <v>681056</v>
      </c>
      <c r="E5" s="3">
        <v>146042</v>
      </c>
      <c r="F5" s="3">
        <v>14717</v>
      </c>
      <c r="G5" s="6">
        <v>0.244927188658772</v>
      </c>
      <c r="H5" s="6">
        <v>0.17357204354338415</v>
      </c>
    </row>
    <row r="6" spans="1:8">
      <c r="A6" s="4">
        <v>45047</v>
      </c>
      <c r="B6" s="3">
        <v>600883</v>
      </c>
      <c r="C6" s="3">
        <v>84446</v>
      </c>
      <c r="D6" s="3">
        <v>685329</v>
      </c>
      <c r="E6" s="3">
        <v>145487</v>
      </c>
      <c r="F6" s="3">
        <v>15129</v>
      </c>
      <c r="G6" s="6">
        <v>0.24212201044130055</v>
      </c>
      <c r="H6" s="6">
        <v>0.17915591028586317</v>
      </c>
    </row>
    <row r="7" spans="1:8">
      <c r="A7" s="4">
        <v>45078</v>
      </c>
      <c r="B7" s="3">
        <v>598221</v>
      </c>
      <c r="C7" s="3">
        <v>84004</v>
      </c>
      <c r="D7" s="3">
        <v>682225</v>
      </c>
      <c r="E7" s="3">
        <v>139881</v>
      </c>
      <c r="F7" s="3">
        <v>14844</v>
      </c>
      <c r="G7" s="6">
        <v>0.23382830091220469</v>
      </c>
      <c r="H7" s="6">
        <v>0.17670587114899292</v>
      </c>
    </row>
    <row r="8" spans="1:8">
      <c r="A8" s="4">
        <v>45108</v>
      </c>
      <c r="B8" s="3">
        <v>601146</v>
      </c>
      <c r="C8" s="3">
        <v>83138</v>
      </c>
      <c r="D8" s="3">
        <v>684284</v>
      </c>
      <c r="E8" s="3">
        <v>137397</v>
      </c>
      <c r="F8" s="3">
        <v>14471</v>
      </c>
      <c r="G8" s="6">
        <v>0.22855845335409369</v>
      </c>
      <c r="H8" s="6">
        <v>0.17405999663210567</v>
      </c>
    </row>
    <row r="9" spans="1:8">
      <c r="A9" s="4">
        <v>45139</v>
      </c>
      <c r="B9" s="3">
        <v>600819</v>
      </c>
      <c r="C9" s="3">
        <v>83292</v>
      </c>
      <c r="D9" s="3">
        <v>684111</v>
      </c>
      <c r="E9" s="3">
        <v>133123</v>
      </c>
      <c r="F9" s="3">
        <v>14616</v>
      </c>
      <c r="G9" s="6">
        <v>0.2215692246749853</v>
      </c>
      <c r="H9" s="6">
        <v>0.17547903760265091</v>
      </c>
    </row>
    <row r="10" spans="1:8">
      <c r="A10" s="4">
        <v>45170</v>
      </c>
      <c r="B10" s="3">
        <v>597082</v>
      </c>
      <c r="C10" s="3">
        <v>83182</v>
      </c>
      <c r="D10" s="3">
        <v>680264</v>
      </c>
      <c r="E10" s="3">
        <v>129370</v>
      </c>
      <c r="F10" s="3">
        <v>14106</v>
      </c>
      <c r="G10" s="6">
        <v>0.21667040707976459</v>
      </c>
      <c r="H10" s="6">
        <v>0.16957995720227934</v>
      </c>
    </row>
    <row r="11" spans="1:8">
      <c r="A11" s="4">
        <v>45200</v>
      </c>
      <c r="B11" s="3">
        <v>588821</v>
      </c>
      <c r="C11" s="3">
        <v>82843</v>
      </c>
      <c r="D11" s="3">
        <v>671664</v>
      </c>
      <c r="E11" s="3">
        <v>123775</v>
      </c>
      <c r="F11" s="3">
        <v>13463</v>
      </c>
      <c r="G11" s="6">
        <v>0.21020819569954197</v>
      </c>
      <c r="H11" s="6">
        <v>0.16251222191374046</v>
      </c>
    </row>
    <row r="12" spans="1:8">
      <c r="A12" s="4">
        <v>45231</v>
      </c>
      <c r="B12" s="3">
        <v>580056</v>
      </c>
      <c r="C12" s="3">
        <v>84282</v>
      </c>
      <c r="D12" s="3">
        <v>664338</v>
      </c>
      <c r="E12" s="3">
        <v>114085</v>
      </c>
      <c r="F12" s="3">
        <v>13275</v>
      </c>
      <c r="G12" s="6">
        <v>0.19667928613789012</v>
      </c>
      <c r="H12" s="6">
        <v>0.15750694098383997</v>
      </c>
    </row>
    <row r="13" spans="1:8">
      <c r="A13" s="4">
        <v>45261</v>
      </c>
      <c r="B13" s="3">
        <v>562038</v>
      </c>
      <c r="C13" s="3">
        <v>85750</v>
      </c>
      <c r="D13" s="3">
        <v>647788</v>
      </c>
      <c r="E13" s="3">
        <v>103419</v>
      </c>
      <c r="F13" s="3">
        <v>12778</v>
      </c>
      <c r="G13" s="6">
        <v>0.18400713119041773</v>
      </c>
      <c r="H13" s="6">
        <v>0.14901457725947523</v>
      </c>
    </row>
    <row r="14" spans="1:8">
      <c r="A14" s="4">
        <v>45292</v>
      </c>
      <c r="B14" s="3">
        <v>568691</v>
      </c>
      <c r="C14" s="3">
        <v>86288</v>
      </c>
      <c r="D14" s="3">
        <v>654979</v>
      </c>
      <c r="E14" s="3">
        <v>102358</v>
      </c>
      <c r="F14" s="3">
        <v>12983</v>
      </c>
      <c r="G14" s="6">
        <v>0.17998878125379161</v>
      </c>
      <c r="H14" s="6">
        <v>0.15046124605970704</v>
      </c>
    </row>
    <row r="15" spans="1:8">
      <c r="A15" s="4">
        <v>45323</v>
      </c>
      <c r="B15" s="3">
        <v>578595</v>
      </c>
      <c r="C15" s="3">
        <v>86625</v>
      </c>
      <c r="D15" s="3">
        <v>665220</v>
      </c>
      <c r="E15" s="3">
        <v>104376</v>
      </c>
      <c r="F15" s="3">
        <v>13131</v>
      </c>
      <c r="G15" s="6">
        <v>0.18039561351204211</v>
      </c>
      <c r="H15" s="6">
        <v>0.15158441558441557</v>
      </c>
    </row>
    <row r="16" spans="1:8">
      <c r="A16" s="4">
        <v>45352</v>
      </c>
      <c r="B16" s="3">
        <v>585030</v>
      </c>
      <c r="C16" s="3">
        <v>86813</v>
      </c>
      <c r="D16" s="3">
        <v>671843</v>
      </c>
      <c r="E16" s="3">
        <v>105908</v>
      </c>
      <c r="F16" s="3">
        <v>13337</v>
      </c>
      <c r="G16" s="6">
        <v>0.18103003264789841</v>
      </c>
      <c r="H16" s="6">
        <v>0.1536290647714052</v>
      </c>
    </row>
    <row r="17" spans="1:8">
      <c r="A17" s="4">
        <v>45383</v>
      </c>
      <c r="B17" s="3">
        <v>589225</v>
      </c>
      <c r="C17" s="3">
        <v>86827</v>
      </c>
      <c r="D17" s="3">
        <v>676052</v>
      </c>
      <c r="E17" s="3">
        <v>106748</v>
      </c>
      <c r="F17" s="3">
        <v>13432</v>
      </c>
      <c r="G17" s="6">
        <v>0.1811667868810726</v>
      </c>
      <c r="H17" s="6">
        <v>0.1546984233015076</v>
      </c>
    </row>
    <row r="18" spans="1:8">
      <c r="A18" s="4">
        <v>45413</v>
      </c>
      <c r="B18" s="3">
        <v>593388</v>
      </c>
      <c r="C18" s="3">
        <v>87709</v>
      </c>
      <c r="D18" s="3">
        <v>681097</v>
      </c>
      <c r="E18" s="3">
        <v>108230</v>
      </c>
      <c r="F18" s="3">
        <v>13771</v>
      </c>
      <c r="G18" s="6">
        <v>0.18239330758289685</v>
      </c>
      <c r="H18" s="6">
        <v>0.15700783271956129</v>
      </c>
    </row>
    <row r="19" spans="1:8">
      <c r="A19" s="4">
        <v>45444</v>
      </c>
      <c r="B19" s="3">
        <v>597948</v>
      </c>
      <c r="C19" s="3">
        <v>88815</v>
      </c>
      <c r="D19" s="3">
        <v>686763</v>
      </c>
      <c r="E19" s="3">
        <v>108985</v>
      </c>
      <c r="F19" s="3">
        <v>13865</v>
      </c>
      <c r="G19" s="6">
        <v>0.18226501301116485</v>
      </c>
      <c r="H19" s="6">
        <v>0.1561110172831166</v>
      </c>
    </row>
    <row r="20" spans="1:8">
      <c r="A20" s="4">
        <v>45474</v>
      </c>
      <c r="B20" s="3">
        <v>599458</v>
      </c>
      <c r="C20" s="3">
        <v>88063</v>
      </c>
      <c r="D20" s="3">
        <v>687521</v>
      </c>
      <c r="E20" s="3">
        <v>108614</v>
      </c>
      <c r="F20" s="3">
        <v>13742</v>
      </c>
      <c r="G20" s="6">
        <v>0.18118700559505421</v>
      </c>
      <c r="H20" s="6">
        <v>0.15604737517459091</v>
      </c>
    </row>
    <row r="21" spans="1:8">
      <c r="A21" s="4">
        <v>45505</v>
      </c>
      <c r="B21" s="3">
        <v>601490</v>
      </c>
      <c r="C21" s="3">
        <v>87100</v>
      </c>
      <c r="D21" s="3">
        <v>688590</v>
      </c>
      <c r="E21" s="3">
        <v>108155</v>
      </c>
      <c r="F21" s="3">
        <v>13683</v>
      </c>
      <c r="G21" s="6">
        <v>0.1798118006949409</v>
      </c>
      <c r="H21" s="6">
        <v>0.15709529276693457</v>
      </c>
    </row>
    <row r="22" spans="1:8">
      <c r="A22" s="4">
        <v>45536</v>
      </c>
      <c r="B22" s="3">
        <v>595575</v>
      </c>
      <c r="C22" s="3">
        <v>87022</v>
      </c>
      <c r="D22" s="3">
        <v>682597</v>
      </c>
      <c r="E22" s="3">
        <v>105984</v>
      </c>
      <c r="F22" s="3">
        <v>13671</v>
      </c>
      <c r="G22" s="6">
        <v>0.17795239894219872</v>
      </c>
      <c r="H22" s="6">
        <v>0.15709820505159613</v>
      </c>
    </row>
    <row r="23" spans="1:8">
      <c r="A23" s="4">
        <v>45566</v>
      </c>
      <c r="B23" s="3">
        <v>588544</v>
      </c>
      <c r="C23" s="3">
        <v>87753</v>
      </c>
      <c r="D23" s="3">
        <v>676297</v>
      </c>
      <c r="E23" s="3">
        <v>102364</v>
      </c>
      <c r="F23" s="3">
        <v>13602</v>
      </c>
      <c r="G23" s="6">
        <v>0.17392752283601565</v>
      </c>
      <c r="H23" s="6">
        <v>0.15500324775221361</v>
      </c>
    </row>
    <row r="24" spans="1:8">
      <c r="A24" s="4">
        <v>45597</v>
      </c>
      <c r="B24" s="3">
        <v>572403</v>
      </c>
      <c r="C24" s="3">
        <v>88296</v>
      </c>
      <c r="D24" s="3">
        <v>660699</v>
      </c>
      <c r="E24" s="3">
        <v>95662</v>
      </c>
      <c r="F24" s="3">
        <v>13333</v>
      </c>
      <c r="G24" s="6">
        <v>0.16712351263008754</v>
      </c>
      <c r="H24" s="6">
        <v>0.15100344296457371</v>
      </c>
    </row>
    <row r="25" spans="1:8">
      <c r="A25" s="4">
        <v>45627</v>
      </c>
      <c r="B25" s="3">
        <v>557187</v>
      </c>
      <c r="C25" s="3">
        <v>91031</v>
      </c>
      <c r="D25" s="3">
        <v>648218</v>
      </c>
      <c r="E25" s="3">
        <v>89474</v>
      </c>
      <c r="F25" s="3">
        <v>12827</v>
      </c>
      <c r="G25" s="6">
        <v>0.16058163596781691</v>
      </c>
      <c r="H25" s="6">
        <v>0.14090804231525525</v>
      </c>
    </row>
    <row r="26" spans="1:8">
      <c r="A26" s="4">
        <v>45658</v>
      </c>
      <c r="B26" s="3">
        <v>569249</v>
      </c>
      <c r="C26" s="3">
        <v>94456</v>
      </c>
      <c r="D26" s="3">
        <v>663705</v>
      </c>
      <c r="E26" s="3">
        <v>91399</v>
      </c>
      <c r="F26" s="3">
        <v>14009</v>
      </c>
      <c r="G26" s="6">
        <v>0.16056066852994033</v>
      </c>
      <c r="H26" s="6">
        <v>0.14831244177183028</v>
      </c>
    </row>
    <row r="27" spans="1:8">
      <c r="A27" s="4">
        <v>45689</v>
      </c>
      <c r="B27" s="3">
        <v>575716</v>
      </c>
      <c r="C27" s="3">
        <v>95983</v>
      </c>
      <c r="D27" s="3">
        <v>671699</v>
      </c>
      <c r="E27" s="3">
        <v>94227</v>
      </c>
      <c r="F27" s="3">
        <v>14925</v>
      </c>
      <c r="G27" s="6">
        <v>0.16366923969457162</v>
      </c>
      <c r="H27" s="6">
        <v>0.15549628580061053</v>
      </c>
    </row>
    <row r="28" spans="1:8">
      <c r="A28" s="4">
        <v>45717</v>
      </c>
      <c r="B28" s="3">
        <v>581736</v>
      </c>
      <c r="C28" s="3">
        <v>97040</v>
      </c>
      <c r="D28" s="3">
        <v>678776</v>
      </c>
      <c r="E28" s="3">
        <v>95154</v>
      </c>
      <c r="F28" s="3">
        <v>15536</v>
      </c>
      <c r="G28" s="6">
        <v>0.16356904162712982</v>
      </c>
      <c r="H28" s="6">
        <v>0.16009892827699918</v>
      </c>
    </row>
    <row r="29" spans="1:8">
      <c r="A29" s="4">
        <v>45748</v>
      </c>
      <c r="B29" s="3">
        <v>584713</v>
      </c>
      <c r="C29" s="3">
        <v>100273</v>
      </c>
      <c r="D29" s="3">
        <v>684986</v>
      </c>
      <c r="E29" s="3">
        <v>97337</v>
      </c>
      <c r="F29" s="3">
        <v>17001</v>
      </c>
      <c r="G29" s="6">
        <v>0.16646970394022367</v>
      </c>
      <c r="H29" s="6">
        <v>0.16954713631785226</v>
      </c>
    </row>
    <row r="30" spans="1:8">
      <c r="A30" s="4">
        <v>45778</v>
      </c>
      <c r="B30" s="3">
        <v>586917</v>
      </c>
      <c r="C30" s="3">
        <v>100150</v>
      </c>
      <c r="D30" s="3">
        <v>687067</v>
      </c>
      <c r="E30" s="3">
        <v>98218</v>
      </c>
      <c r="F30" s="3">
        <v>17142</v>
      </c>
      <c r="G30" s="6">
        <v>0.16734563831001659</v>
      </c>
      <c r="H30" s="6">
        <v>0.17116325511732403</v>
      </c>
    </row>
    <row r="31" spans="1:8">
      <c r="A31" s="4">
        <v>45809</v>
      </c>
      <c r="B31" s="3">
        <v>600390</v>
      </c>
      <c r="C31" s="3">
        <v>99863</v>
      </c>
      <c r="D31" s="3">
        <v>700253</v>
      </c>
      <c r="E31" s="3">
        <v>100645</v>
      </c>
      <c r="F31" s="3">
        <v>17537</v>
      </c>
      <c r="G31" s="6">
        <v>0.16763270540815137</v>
      </c>
      <c r="H31" s="6">
        <v>0.1756105865035098</v>
      </c>
    </row>
    <row r="32" spans="1:8">
      <c r="A32" s="4">
        <v>45839</v>
      </c>
      <c r="B32" s="3">
        <v>614470</v>
      </c>
      <c r="C32" s="3">
        <v>100019</v>
      </c>
      <c r="D32" s="3">
        <v>714489</v>
      </c>
      <c r="E32" s="3">
        <v>103552</v>
      </c>
      <c r="F32" s="3">
        <v>17553</v>
      </c>
      <c r="G32" s="6">
        <v>0.1685224665158592</v>
      </c>
      <c r="H32" s="6">
        <v>0.17549665563542927</v>
      </c>
    </row>
    <row r="33" spans="1:8">
      <c r="A33" s="4">
        <v>45870</v>
      </c>
      <c r="B33" s="3">
        <v>623008</v>
      </c>
      <c r="C33" s="3">
        <v>98468</v>
      </c>
      <c r="D33" s="3">
        <v>721476</v>
      </c>
      <c r="E33" s="3">
        <v>105715</v>
      </c>
      <c r="F33" s="3">
        <v>17157</v>
      </c>
      <c r="G33" s="6">
        <v>0.16968481945657199</v>
      </c>
      <c r="H33" s="6">
        <v>0.17423934679286671</v>
      </c>
    </row>
    <row r="34" spans="1:8">
      <c r="A34" s="4">
        <v>45901</v>
      </c>
      <c r="B34" s="3">
        <v>626521</v>
      </c>
      <c r="C34" s="3">
        <v>100045</v>
      </c>
      <c r="D34" s="3">
        <v>726566</v>
      </c>
      <c r="E34" s="3">
        <v>107116</v>
      </c>
      <c r="F34" s="3">
        <v>17421</v>
      </c>
      <c r="G34" s="6">
        <v>0.17096952855530781</v>
      </c>
      <c r="H34" s="6">
        <v>0.17413164076165724</v>
      </c>
    </row>
    <row r="35" spans="1:8">
      <c r="A35" s="4">
        <v>45931</v>
      </c>
      <c r="B35" s="3">
        <v>626960</v>
      </c>
      <c r="C35" s="3">
        <v>103573</v>
      </c>
      <c r="D35" s="3">
        <v>730533</v>
      </c>
      <c r="E35" s="3">
        <v>108180</v>
      </c>
      <c r="F35" s="3">
        <v>18369</v>
      </c>
      <c r="G35" s="6">
        <v>0.17254689294372846</v>
      </c>
      <c r="H35" s="6">
        <v>0.17735317119326466</v>
      </c>
    </row>
    <row r="36" spans="1:8">
      <c r="A36" s="4">
        <v>45962</v>
      </c>
      <c r="B36" s="3">
        <v>623819</v>
      </c>
      <c r="C36" s="3">
        <v>104844</v>
      </c>
      <c r="D36" s="3">
        <v>728663</v>
      </c>
      <c r="E36" s="3">
        <v>104825</v>
      </c>
      <c r="F36" s="3">
        <v>17948</v>
      </c>
      <c r="G36" s="6">
        <v>0.16803752370479258</v>
      </c>
      <c r="H36" s="6">
        <v>0.17118766929914922</v>
      </c>
    </row>
    <row r="37" spans="1:8">
      <c r="A37" s="4">
        <v>45992</v>
      </c>
      <c r="B37" s="3">
        <v>611987</v>
      </c>
      <c r="C37" s="3">
        <v>107181</v>
      </c>
      <c r="D37" s="3">
        <v>719168</v>
      </c>
      <c r="E37" s="3">
        <v>100230</v>
      </c>
      <c r="F37" s="3">
        <v>17481</v>
      </c>
      <c r="G37" s="6">
        <v>0.16377798874812699</v>
      </c>
      <c r="H37" s="6">
        <v>0.16309793713438017</v>
      </c>
    </row>
    <row r="38" spans="1:8">
      <c r="A38" s="4">
        <v>46023</v>
      </c>
      <c r="B38" s="3">
        <v>631608</v>
      </c>
      <c r="C38" s="3">
        <v>112023</v>
      </c>
      <c r="D38" s="3">
        <v>743631</v>
      </c>
      <c r="E38" s="3">
        <v>105642</v>
      </c>
      <c r="F38" s="3">
        <v>18722</v>
      </c>
      <c r="G38" s="6">
        <v>0.16725880609491964</v>
      </c>
      <c r="H38" s="6">
        <v>0.16712639368701071</v>
      </c>
    </row>
    <row r="39" spans="1:8">
      <c r="A39" s="4">
        <v>46054</v>
      </c>
      <c r="B39" s="3">
        <v>642158</v>
      </c>
      <c r="C39" s="3">
        <v>114219</v>
      </c>
      <c r="D39" s="3">
        <v>756377</v>
      </c>
      <c r="E39" s="3">
        <v>106719</v>
      </c>
      <c r="F39" s="3">
        <v>19475</v>
      </c>
      <c r="G39" s="6">
        <v>0.16618807209440667</v>
      </c>
      <c r="H39" s="6">
        <v>0.17050578275068071</v>
      </c>
    </row>
    <row r="40" spans="1:8">
      <c r="A40" s="4">
        <v>46082</v>
      </c>
      <c r="B40" s="3">
        <v>650632</v>
      </c>
      <c r="C40" s="3">
        <v>115216</v>
      </c>
      <c r="D40" s="3">
        <v>765848</v>
      </c>
      <c r="E40" s="3">
        <v>110312</v>
      </c>
      <c r="F40" s="3">
        <v>19922</v>
      </c>
      <c r="G40" s="6">
        <v>0.16954591843008029</v>
      </c>
      <c r="H40" s="6">
        <v>0.17291001249826413</v>
      </c>
    </row>
    <row r="41" spans="1:8">
      <c r="A41" s="4">
        <v>46113</v>
      </c>
      <c r="B41" s="3">
        <v>660296</v>
      </c>
      <c r="C41" s="3">
        <v>115759</v>
      </c>
      <c r="D41" s="3">
        <v>776055</v>
      </c>
      <c r="E41" s="3">
        <v>112401</v>
      </c>
      <c r="F41" s="3">
        <v>20665</v>
      </c>
      <c r="G41" s="6">
        <v>0.17022820068575306</v>
      </c>
      <c r="H41" s="6">
        <v>0.17851743708912482</v>
      </c>
    </row>
    <row r="42" spans="1:8">
      <c r="A42" s="4">
        <v>46143</v>
      </c>
      <c r="B42" s="3">
        <v>669506</v>
      </c>
      <c r="C42" s="3">
        <v>115450</v>
      </c>
      <c r="D42" s="3">
        <v>784956</v>
      </c>
      <c r="E42" s="3">
        <v>115812</v>
      </c>
      <c r="F42" s="3">
        <v>20476</v>
      </c>
      <c r="G42" s="6">
        <v>0.17298127275931807</v>
      </c>
      <c r="H42" s="6">
        <v>0.17735816370723256</v>
      </c>
    </row>
    <row r="43" spans="1:8">
      <c r="A43" s="4">
        <v>46174</v>
      </c>
      <c r="B43" s="3">
        <v>673754</v>
      </c>
      <c r="C43" s="3">
        <v>116365</v>
      </c>
      <c r="D43" s="3">
        <v>790119</v>
      </c>
      <c r="E43" s="3">
        <v>117506</v>
      </c>
      <c r="F43" s="3">
        <v>20826</v>
      </c>
      <c r="G43" s="6">
        <v>0.17440490149223603</v>
      </c>
      <c r="H43" s="6">
        <v>0.17897134017960728</v>
      </c>
    </row>
    <row r="44" spans="1:8">
      <c r="A44" s="4">
        <v>46204</v>
      </c>
      <c r="B44" s="3">
        <v>683548</v>
      </c>
      <c r="C44" s="3">
        <v>116243</v>
      </c>
      <c r="D44" s="3">
        <v>799791</v>
      </c>
      <c r="E44" s="3">
        <v>121556</v>
      </c>
      <c r="F44" s="3">
        <v>21018</v>
      </c>
      <c r="G44" s="6">
        <v>0.17783096432145218</v>
      </c>
      <c r="H44" s="6">
        <v>0.18081088753731409</v>
      </c>
    </row>
    <row r="45" spans="1:8">
      <c r="A45" s="4">
        <v>46235</v>
      </c>
      <c r="B45" s="3">
        <v>687839</v>
      </c>
      <c r="C45" s="3">
        <v>114921</v>
      </c>
      <c r="D45" s="3">
        <v>802760</v>
      </c>
      <c r="E45" s="3">
        <v>122006</v>
      </c>
      <c r="F45" s="3">
        <v>21240</v>
      </c>
      <c r="G45" s="6">
        <v>0.17737581032770749</v>
      </c>
      <c r="H45" s="6">
        <v>0.18482261727621582</v>
      </c>
    </row>
    <row r="62" spans="1:14" ht="13.5" customHeight="1">
      <c r="A62" s="14"/>
      <c r="B62" s="14"/>
      <c r="C62" s="14"/>
      <c r="D62" s="14"/>
      <c r="E62" s="12"/>
      <c r="F62" s="12"/>
      <c r="G62" s="12"/>
      <c r="H62" s="15"/>
      <c r="I62" s="15"/>
      <c r="J62" s="15"/>
      <c r="K62" s="15"/>
      <c r="L62" s="15"/>
      <c r="M62" s="15"/>
      <c r="N62" s="15"/>
    </row>
    <row r="63" spans="1:14">
      <c r="A63" s="14"/>
      <c r="B63" s="14"/>
      <c r="C63" s="14"/>
      <c r="D63" s="14"/>
      <c r="E63" s="12"/>
      <c r="F63" s="12"/>
      <c r="G63" s="12"/>
      <c r="H63" s="15"/>
      <c r="I63" s="15"/>
      <c r="J63" s="15"/>
      <c r="K63" s="15"/>
      <c r="L63" s="15"/>
      <c r="M63" s="15"/>
      <c r="N63" s="15"/>
    </row>
    <row r="64" spans="1:14">
      <c r="A64" s="14"/>
      <c r="B64" s="14"/>
      <c r="C64" s="14"/>
      <c r="D64" s="14"/>
      <c r="E64" s="12"/>
      <c r="F64" s="12"/>
      <c r="G64" s="12"/>
      <c r="H64" s="15"/>
      <c r="I64" s="15"/>
      <c r="J64" s="15"/>
      <c r="K64" s="15"/>
      <c r="L64" s="15"/>
      <c r="M64" s="15"/>
      <c r="N64" s="15"/>
    </row>
    <row r="65" spans="1:14">
      <c r="A65" s="14"/>
      <c r="B65" s="14"/>
      <c r="C65" s="14"/>
      <c r="D65" s="14"/>
      <c r="E65" s="12"/>
      <c r="F65" s="12"/>
      <c r="G65" s="12"/>
      <c r="H65" s="15"/>
      <c r="I65" s="15"/>
      <c r="J65" s="15"/>
      <c r="K65" s="15"/>
      <c r="L65" s="15"/>
      <c r="M65" s="15"/>
      <c r="N65" s="15"/>
    </row>
    <row r="66" spans="1:14">
      <c r="A66" s="14"/>
      <c r="B66" s="16"/>
      <c r="C66" s="14"/>
      <c r="D66" s="14"/>
      <c r="E66" s="12"/>
      <c r="F66" s="12"/>
      <c r="G66" s="12"/>
      <c r="H66" s="15"/>
      <c r="I66" s="15"/>
      <c r="J66" s="15"/>
      <c r="K66" s="15"/>
      <c r="L66" s="15"/>
      <c r="M66" s="15"/>
      <c r="N66" s="15"/>
    </row>
    <row r="67" spans="1:14">
      <c r="A67" s="14"/>
      <c r="B67" s="16"/>
      <c r="C67" s="14"/>
      <c r="D67" s="14"/>
      <c r="E67" s="12"/>
      <c r="F67" s="12"/>
      <c r="G67" s="12"/>
      <c r="H67" s="15"/>
      <c r="I67" s="15"/>
      <c r="J67" s="15"/>
      <c r="K67" s="15"/>
      <c r="L67" s="15"/>
      <c r="M67" s="15"/>
      <c r="N67" s="15"/>
    </row>
    <row r="68" spans="1:14">
      <c r="A68" s="14"/>
      <c r="B68" s="14"/>
      <c r="C68" s="14"/>
      <c r="D68" s="14"/>
      <c r="E68" s="12"/>
      <c r="F68" s="12"/>
      <c r="G68" s="12"/>
      <c r="H68" s="15"/>
      <c r="I68" s="15"/>
      <c r="J68" s="15"/>
      <c r="K68" s="15"/>
      <c r="L68" s="15"/>
      <c r="M68" s="15"/>
      <c r="N68" s="15"/>
    </row>
    <row r="69" spans="1:14">
      <c r="A69" s="14"/>
      <c r="B69" s="14"/>
      <c r="C69" s="14"/>
      <c r="D69" s="14"/>
      <c r="E69" s="12"/>
      <c r="F69" s="12"/>
      <c r="G69" s="12"/>
      <c r="H69" s="15"/>
      <c r="I69" s="15"/>
      <c r="J69" s="15"/>
      <c r="K69" s="15"/>
      <c r="L69" s="15"/>
      <c r="M69" s="15"/>
      <c r="N69" s="15"/>
    </row>
    <row r="70" spans="1:14">
      <c r="A70" s="14"/>
      <c r="B70" s="14"/>
      <c r="C70" s="14"/>
      <c r="D70" s="14"/>
      <c r="E70" s="12"/>
      <c r="F70" s="12"/>
      <c r="G70" s="12"/>
      <c r="H70" s="12"/>
    </row>
    <row r="71" spans="1:14">
      <c r="A71" s="14"/>
      <c r="B71" s="14"/>
      <c r="C71" s="14"/>
      <c r="D71" s="14"/>
      <c r="E71" s="12"/>
      <c r="F71" s="12"/>
      <c r="G71" s="12"/>
      <c r="H71" s="1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C8C5A-DAB2-4A56-8B7F-FA2F70BC69FD}">
  <dimension ref="A1:B32"/>
  <sheetViews>
    <sheetView workbookViewId="0">
      <selection activeCell="M5" sqref="M5"/>
    </sheetView>
  </sheetViews>
  <sheetFormatPr defaultRowHeight="13.5"/>
  <cols>
    <col min="1" max="1" width="34.75" bestFit="1" customWidth="1"/>
    <col min="2" max="2" width="18.125" bestFit="1" customWidth="1"/>
  </cols>
  <sheetData>
    <row r="1" spans="1:2">
      <c r="A1" s="2" t="s">
        <v>18</v>
      </c>
      <c r="B1" s="11">
        <v>46235</v>
      </c>
    </row>
    <row r="2" spans="1:2">
      <c r="A2" s="2" t="s">
        <v>20</v>
      </c>
      <c r="B2" t="s">
        <v>23</v>
      </c>
    </row>
    <row r="4" spans="1:2">
      <c r="A4" s="2" t="s">
        <v>12</v>
      </c>
      <c r="B4" t="s">
        <v>78</v>
      </c>
    </row>
    <row r="5" spans="1:2">
      <c r="A5" t="s">
        <v>48</v>
      </c>
      <c r="B5">
        <v>56903</v>
      </c>
    </row>
    <row r="6" spans="1:2">
      <c r="A6" t="s">
        <v>66</v>
      </c>
      <c r="B6">
        <v>51745</v>
      </c>
    </row>
    <row r="7" spans="1:2">
      <c r="A7" t="s">
        <v>67</v>
      </c>
      <c r="B7">
        <v>49911</v>
      </c>
    </row>
    <row r="8" spans="1:2">
      <c r="A8" t="s">
        <v>68</v>
      </c>
      <c r="B8">
        <v>43655</v>
      </c>
    </row>
    <row r="9" spans="1:2">
      <c r="A9" t="s">
        <v>71</v>
      </c>
      <c r="B9">
        <v>35498</v>
      </c>
    </row>
    <row r="10" spans="1:2">
      <c r="A10" t="s">
        <v>59</v>
      </c>
      <c r="B10">
        <v>35183</v>
      </c>
    </row>
    <row r="11" spans="1:2">
      <c r="A11" t="s">
        <v>61</v>
      </c>
      <c r="B11">
        <v>33672</v>
      </c>
    </row>
    <row r="12" spans="1:2">
      <c r="A12" t="s">
        <v>64</v>
      </c>
      <c r="B12">
        <v>32763</v>
      </c>
    </row>
    <row r="13" spans="1:2">
      <c r="A13" t="s">
        <v>36</v>
      </c>
      <c r="B13">
        <v>31681</v>
      </c>
    </row>
    <row r="14" spans="1:2">
      <c r="A14" t="s">
        <v>69</v>
      </c>
      <c r="B14">
        <v>29647</v>
      </c>
    </row>
    <row r="15" spans="1:2">
      <c r="A15" t="s">
        <v>79</v>
      </c>
      <c r="B15">
        <v>400658</v>
      </c>
    </row>
    <row r="18" spans="1:2">
      <c r="A18" s="2" t="s">
        <v>18</v>
      </c>
      <c r="B18" s="11">
        <v>46235</v>
      </c>
    </row>
    <row r="19" spans="1:2">
      <c r="A19" s="2" t="s">
        <v>20</v>
      </c>
      <c r="B19" t="s">
        <v>26</v>
      </c>
    </row>
    <row r="21" spans="1:2">
      <c r="A21" s="2" t="s">
        <v>12</v>
      </c>
      <c r="B21" t="s">
        <v>78</v>
      </c>
    </row>
    <row r="22" spans="1:2">
      <c r="A22" t="s">
        <v>66</v>
      </c>
      <c r="B22">
        <v>14548</v>
      </c>
    </row>
    <row r="23" spans="1:2">
      <c r="A23" t="s">
        <v>68</v>
      </c>
      <c r="B23">
        <v>11536</v>
      </c>
    </row>
    <row r="24" spans="1:2">
      <c r="A24" t="s">
        <v>48</v>
      </c>
      <c r="B24">
        <v>11411</v>
      </c>
    </row>
    <row r="25" spans="1:2">
      <c r="A25" t="s">
        <v>69</v>
      </c>
      <c r="B25">
        <v>7021</v>
      </c>
    </row>
    <row r="26" spans="1:2">
      <c r="A26" t="s">
        <v>67</v>
      </c>
      <c r="B26">
        <v>5933</v>
      </c>
    </row>
    <row r="27" spans="1:2">
      <c r="A27" t="s">
        <v>64</v>
      </c>
      <c r="B27">
        <v>5044</v>
      </c>
    </row>
    <row r="28" spans="1:2">
      <c r="A28" t="s">
        <v>36</v>
      </c>
      <c r="B28">
        <v>5019</v>
      </c>
    </row>
    <row r="29" spans="1:2">
      <c r="A29" t="s">
        <v>71</v>
      </c>
      <c r="B29">
        <v>4920</v>
      </c>
    </row>
    <row r="30" spans="1:2">
      <c r="A30" t="s">
        <v>61</v>
      </c>
      <c r="B30">
        <v>4756</v>
      </c>
    </row>
    <row r="31" spans="1:2">
      <c r="A31" t="s">
        <v>63</v>
      </c>
      <c r="B31">
        <v>4228</v>
      </c>
    </row>
    <row r="32" spans="1:2">
      <c r="A32" t="s">
        <v>79</v>
      </c>
      <c r="B32">
        <v>74416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9BB0A-4455-4D84-A88E-F24F9FA3E006}">
  <dimension ref="A1:P48"/>
  <sheetViews>
    <sheetView topLeftCell="A6" workbookViewId="0">
      <selection activeCell="I3" sqref="I3"/>
    </sheetView>
  </sheetViews>
  <sheetFormatPr defaultRowHeight="13.5"/>
  <cols>
    <col min="1" max="1" width="27" customWidth="1"/>
    <col min="2" max="2" width="8.75" customWidth="1"/>
    <col min="3" max="3" width="9.875" bestFit="1" customWidth="1"/>
    <col min="4" max="4" width="10.75" customWidth="1"/>
    <col min="5" max="5" width="11.75" bestFit="1" customWidth="1"/>
    <col min="6" max="6" width="10.125" bestFit="1" customWidth="1"/>
    <col min="7" max="7" width="12" bestFit="1" customWidth="1"/>
  </cols>
  <sheetData>
    <row r="1" spans="1:16">
      <c r="A1" s="10" t="s">
        <v>80</v>
      </c>
      <c r="B1" s="4">
        <f>DATE(2026,8,1)</f>
        <v>46235</v>
      </c>
    </row>
    <row r="2" spans="1:16">
      <c r="A2" s="10" t="s">
        <v>81</v>
      </c>
      <c r="B2" t="s">
        <v>23</v>
      </c>
    </row>
    <row r="3" spans="1:16" ht="131.25">
      <c r="I3" s="17" t="s">
        <v>82</v>
      </c>
    </row>
    <row r="4" spans="1:16" s="10" customFormat="1">
      <c r="A4" s="10" t="s">
        <v>83</v>
      </c>
      <c r="B4" s="10" t="s">
        <v>17</v>
      </c>
      <c r="C4" s="10" t="s">
        <v>13</v>
      </c>
      <c r="D4" s="10" t="s">
        <v>14</v>
      </c>
      <c r="E4" s="10" t="s">
        <v>15</v>
      </c>
      <c r="F4" s="10" t="s">
        <v>84</v>
      </c>
      <c r="G4" s="10" t="s">
        <v>85</v>
      </c>
      <c r="I4" s="10" t="s">
        <v>83</v>
      </c>
      <c r="J4" s="10" t="s">
        <v>13</v>
      </c>
      <c r="K4" s="10" t="s">
        <v>14</v>
      </c>
      <c r="L4" s="10" t="s">
        <v>15</v>
      </c>
      <c r="M4" s="10" t="s">
        <v>84</v>
      </c>
      <c r="N4" s="10" t="s">
        <v>17</v>
      </c>
      <c r="O4" s="10" t="s">
        <v>85</v>
      </c>
    </row>
    <row r="5" spans="1:16">
      <c r="A5" t="str" cm="1">
        <f t="array" ref="A5:A48">_xlfn._xlws.SORT(_xlfn.UNIQUE(_xlfn._xlws.FILTER(tblWaitingList[HospitalName], (tblWaitingList[Month]=$B$1)*(tblWaitingList[List Type]=$B$2))))</f>
        <v>Bantry General Hospital</v>
      </c>
      <c r="B5" s="3" cm="1">
        <f t="array" ref="B5:B48">SUMIFS(tblWaitingList[Total], tblWaitingList[HospitalName],_xlfn.ANCHORARRAY( A5), tblWaitingList[Month], $B$1, tblWaitingList[List Type], $B$2)</f>
        <v>1165</v>
      </c>
      <c r="C5" s="3" cm="1">
        <f t="array" ref="C5:C48">SUMIFS(tblWaitingList[0-6 Months], tblWaitingList[HospitalName],_xlfn.ANCHORARRAY( A5), tblWaitingList[Month], $B$1, tblWaitingList[List Type], $B$2)</f>
        <v>894</v>
      </c>
      <c r="D5" s="3" cm="1">
        <f t="array" ref="D5:D48">SUMIFS(tblWaitingList[6-12 Months], tblWaitingList[HospitalName],_xlfn.ANCHORARRAY( A5), tblWaitingList[Month], $B$1, tblWaitingList[List Type], $B$2)</f>
        <v>225</v>
      </c>
      <c r="E5" s="3" cm="1">
        <f t="array" ref="E5:E48">SUMIFS(tblWaitingList[12-18 Months], tblWaitingList[HospitalName],_xlfn.ANCHORARRAY( A5), tblWaitingList[Month], $B$1, tblWaitingList[List Type], $B$2)</f>
        <v>43</v>
      </c>
      <c r="F5" s="3" cm="1">
        <f t="array" ref="F5:F48">SUMIFS(tblWaitingList[18 Months +], tblWaitingList[HospitalName],_xlfn.ANCHORARRAY( A5), tblWaitingList[Month], $B$1, tblWaitingList[List Type], $B$2)</f>
        <v>3</v>
      </c>
      <c r="G5" s="6" cm="1">
        <f t="array" ref="G5:G48">_xlfn.ANCHORARRAY(F5) /_xlfn.ANCHORARRAY( B5)</f>
        <v>2.5751072961373391E-3</v>
      </c>
      <c r="I5" t="str" cm="1">
        <f t="array" ref="I5:O14">_xlfn.TAKE(_xlfn._xlws.SORT(_xlfn._xlws.FILTER(_xlfn.HSTACK(_xlfn.ANCHORARRAY(A5),_xlfn.ANCHORARRAY(C5),_xlfn.ANCHORARRAY(D5),_xlfn.ANCHORARRAY(E5),_xlfn.ANCHORARRAY(F5),_xlfn.ANCHORARRAY(B5),_xlfn.ANCHORARRAY(G5)),_xlfn.ANCHORARRAY( B5)&gt;=1000), 7, 1), -10)</f>
        <v>University Hospital Waterford</v>
      </c>
      <c r="J5" s="3">
        <v>26443</v>
      </c>
      <c r="K5" s="3">
        <v>12808</v>
      </c>
      <c r="L5" s="3">
        <v>6024</v>
      </c>
      <c r="M5" s="3">
        <v>4637</v>
      </c>
      <c r="N5" s="3">
        <v>49911</v>
      </c>
      <c r="O5" s="6">
        <v>9.2905371561379249E-2</v>
      </c>
      <c r="P5" s="3"/>
    </row>
    <row r="6" spans="1:16">
      <c r="A6" t="str">
        <v>Beaumont Hospital</v>
      </c>
      <c r="B6" s="3">
        <v>56903</v>
      </c>
      <c r="C6" s="3">
        <v>31642</v>
      </c>
      <c r="D6" s="3">
        <v>13612</v>
      </c>
      <c r="E6" s="3">
        <v>7157</v>
      </c>
      <c r="F6" s="3">
        <v>4493</v>
      </c>
      <c r="G6" s="6">
        <v>7.8958930109133088E-2</v>
      </c>
      <c r="I6" t="str">
        <v>Sligo University Hospital</v>
      </c>
      <c r="J6" s="3">
        <v>11395</v>
      </c>
      <c r="K6" s="3">
        <v>3827</v>
      </c>
      <c r="L6" s="3">
        <v>1222</v>
      </c>
      <c r="M6" s="3">
        <v>1728</v>
      </c>
      <c r="N6" s="3">
        <v>18171</v>
      </c>
      <c r="O6" s="6">
        <v>9.5096582466567603E-2</v>
      </c>
      <c r="P6" s="3"/>
    </row>
    <row r="7" spans="1:16">
      <c r="A7" t="str">
        <v>Cavan General Hospital</v>
      </c>
      <c r="B7" s="3">
        <v>7656</v>
      </c>
      <c r="C7" s="3">
        <v>5922</v>
      </c>
      <c r="D7" s="3">
        <v>1634</v>
      </c>
      <c r="E7" s="3">
        <v>101</v>
      </c>
      <c r="F7" s="3">
        <v>0</v>
      </c>
      <c r="G7" s="6">
        <v>0</v>
      </c>
      <c r="I7" t="str">
        <v>St. Vincent's University Hospital</v>
      </c>
      <c r="J7" s="3">
        <v>20274</v>
      </c>
      <c r="K7" s="3">
        <v>7385</v>
      </c>
      <c r="L7" s="3">
        <v>4311</v>
      </c>
      <c r="M7" s="3">
        <v>3527</v>
      </c>
      <c r="N7" s="3">
        <v>35498</v>
      </c>
      <c r="O7" s="6">
        <v>9.9357710293537668E-2</v>
      </c>
      <c r="P7" s="3"/>
    </row>
    <row r="8" spans="1:16">
      <c r="A8" t="str">
        <v>Children's Health Ireland</v>
      </c>
      <c r="B8" s="3">
        <v>32763</v>
      </c>
      <c r="C8" s="3">
        <v>19948</v>
      </c>
      <c r="D8" s="3">
        <v>7809</v>
      </c>
      <c r="E8" s="3">
        <v>2897</v>
      </c>
      <c r="F8" s="3">
        <v>2109</v>
      </c>
      <c r="G8" s="6">
        <v>6.4371394560937642E-2</v>
      </c>
      <c r="I8" t="str">
        <v>Galway University Hospitals</v>
      </c>
      <c r="J8" s="3">
        <v>30574</v>
      </c>
      <c r="K8" s="3">
        <v>10267</v>
      </c>
      <c r="L8" s="3">
        <v>5466</v>
      </c>
      <c r="M8" s="3">
        <v>5437</v>
      </c>
      <c r="N8" s="3">
        <v>51745</v>
      </c>
      <c r="O8" s="6">
        <v>0.1050729539085902</v>
      </c>
      <c r="P8" s="3"/>
    </row>
    <row r="9" spans="1:16">
      <c r="A9" t="str">
        <v>Connolly Hospital Blanchardstown</v>
      </c>
      <c r="B9" s="3">
        <v>8261</v>
      </c>
      <c r="C9" s="3">
        <v>5882</v>
      </c>
      <c r="D9" s="3">
        <v>1547</v>
      </c>
      <c r="E9" s="3">
        <v>753</v>
      </c>
      <c r="F9" s="3">
        <v>78</v>
      </c>
      <c r="G9" s="6">
        <v>9.4419561796392684E-3</v>
      </c>
      <c r="I9" t="str">
        <v>South Infirmary Victoria University Hospital</v>
      </c>
      <c r="J9" s="3">
        <v>17815</v>
      </c>
      <c r="K9" s="3">
        <v>7902</v>
      </c>
      <c r="L9" s="3">
        <v>3778</v>
      </c>
      <c r="M9" s="3">
        <v>4178</v>
      </c>
      <c r="N9" s="3">
        <v>33672</v>
      </c>
      <c r="O9" s="6">
        <v>0.12407935376574009</v>
      </c>
      <c r="P9" s="3"/>
    </row>
    <row r="10" spans="1:16">
      <c r="A10" t="str">
        <v>Coombe Women and Infants University Hospital</v>
      </c>
      <c r="B10" s="3">
        <v>3685</v>
      </c>
      <c r="C10" s="3">
        <v>2570</v>
      </c>
      <c r="D10" s="3">
        <v>995</v>
      </c>
      <c r="E10" s="3">
        <v>117</v>
      </c>
      <c r="F10" s="3">
        <v>3</v>
      </c>
      <c r="G10" s="6">
        <v>8.1411126187245586E-4</v>
      </c>
      <c r="I10" t="str">
        <v>Naas General Hospital</v>
      </c>
      <c r="J10" s="3">
        <v>7153</v>
      </c>
      <c r="K10" s="3">
        <v>3189</v>
      </c>
      <c r="L10" s="3">
        <v>2319</v>
      </c>
      <c r="M10" s="3">
        <v>1880</v>
      </c>
      <c r="N10" s="3">
        <v>14541</v>
      </c>
      <c r="O10" s="6">
        <v>0.12928959493844991</v>
      </c>
      <c r="P10" s="3"/>
    </row>
    <row r="11" spans="1:16">
      <c r="A11" t="str">
        <v>Cork University Hospital</v>
      </c>
      <c r="B11" s="3">
        <v>27285</v>
      </c>
      <c r="C11" s="3">
        <v>18152</v>
      </c>
      <c r="D11" s="3">
        <v>6785</v>
      </c>
      <c r="E11" s="3">
        <v>2130</v>
      </c>
      <c r="F11" s="3">
        <v>216</v>
      </c>
      <c r="G11" s="6">
        <v>7.916437603078615E-3</v>
      </c>
      <c r="I11" t="str">
        <v>Royal Victoria Eye and Ear Hospital</v>
      </c>
      <c r="J11" s="3">
        <v>6340</v>
      </c>
      <c r="K11" s="3">
        <v>5065</v>
      </c>
      <c r="L11" s="3">
        <v>3229</v>
      </c>
      <c r="M11" s="3">
        <v>2403</v>
      </c>
      <c r="N11" s="3">
        <v>17037</v>
      </c>
      <c r="O11" s="6">
        <v>0.14104595879556259</v>
      </c>
      <c r="P11" s="3"/>
    </row>
    <row r="12" spans="1:16">
      <c r="A12" t="str">
        <v>Cork University Maternity Hospital</v>
      </c>
      <c r="B12" s="3">
        <v>3550</v>
      </c>
      <c r="C12" s="3">
        <v>3327</v>
      </c>
      <c r="D12" s="3">
        <v>222</v>
      </c>
      <c r="E12" s="3">
        <v>1</v>
      </c>
      <c r="F12" s="3">
        <v>0</v>
      </c>
      <c r="G12" s="6">
        <v>0</v>
      </c>
      <c r="I12" t="str">
        <v>Ennis Hospital</v>
      </c>
      <c r="J12" s="3">
        <v>417</v>
      </c>
      <c r="K12" s="3">
        <v>302</v>
      </c>
      <c r="L12" s="3">
        <v>296</v>
      </c>
      <c r="M12" s="3">
        <v>327</v>
      </c>
      <c r="N12" s="3">
        <v>1342</v>
      </c>
      <c r="O12" s="6">
        <v>0.2436661698956781</v>
      </c>
      <c r="P12" s="3"/>
    </row>
    <row r="13" spans="1:16">
      <c r="A13" t="str">
        <v>Croom Orthopaedic Hospital</v>
      </c>
      <c r="B13" s="3">
        <v>6262</v>
      </c>
      <c r="C13" s="3">
        <v>3363</v>
      </c>
      <c r="D13" s="3">
        <v>1955</v>
      </c>
      <c r="E13" s="3">
        <v>694</v>
      </c>
      <c r="F13" s="3">
        <v>251</v>
      </c>
      <c r="G13" s="6">
        <v>4.0083040562120725E-2</v>
      </c>
      <c r="I13" t="str">
        <v>Nenagh Hospital</v>
      </c>
      <c r="J13" s="3">
        <v>473</v>
      </c>
      <c r="K13" s="3">
        <v>270</v>
      </c>
      <c r="L13" s="3">
        <v>286</v>
      </c>
      <c r="M13" s="3">
        <v>334</v>
      </c>
      <c r="N13" s="3">
        <v>1363</v>
      </c>
      <c r="O13" s="6">
        <v>0.2450476889214967</v>
      </c>
      <c r="P13" s="3"/>
    </row>
    <row r="14" spans="1:16">
      <c r="A14" t="str">
        <v>Ennis Hospital</v>
      </c>
      <c r="B14" s="3">
        <v>1342</v>
      </c>
      <c r="C14" s="3">
        <v>417</v>
      </c>
      <c r="D14" s="3">
        <v>302</v>
      </c>
      <c r="E14" s="3">
        <v>296</v>
      </c>
      <c r="F14" s="3">
        <v>327</v>
      </c>
      <c r="G14" s="6">
        <v>0.2436661698956781</v>
      </c>
      <c r="I14" t="str">
        <v>St. Columcille's Hospital</v>
      </c>
      <c r="J14" s="3">
        <v>2175</v>
      </c>
      <c r="K14" s="3">
        <v>1381</v>
      </c>
      <c r="L14" s="3">
        <v>1137</v>
      </c>
      <c r="M14" s="3">
        <v>6199</v>
      </c>
      <c r="N14" s="3">
        <v>10892</v>
      </c>
      <c r="O14" s="6">
        <v>0.56913330885053248</v>
      </c>
      <c r="P14" s="3"/>
    </row>
    <row r="15" spans="1:16">
      <c r="A15" t="str">
        <v>Galway University Hospitals</v>
      </c>
      <c r="B15" s="3">
        <v>51745</v>
      </c>
      <c r="C15" s="3">
        <v>30574</v>
      </c>
      <c r="D15" s="3">
        <v>10267</v>
      </c>
      <c r="E15" s="3">
        <v>5466</v>
      </c>
      <c r="F15" s="3">
        <v>5437</v>
      </c>
      <c r="G15" s="6">
        <v>0.1050729539085902</v>
      </c>
    </row>
    <row r="16" spans="1:16">
      <c r="A16" t="str">
        <v>Letterkenny University Hospital</v>
      </c>
      <c r="B16" s="3">
        <v>15225</v>
      </c>
      <c r="C16" s="3">
        <v>12172</v>
      </c>
      <c r="D16" s="3">
        <v>2027</v>
      </c>
      <c r="E16" s="3">
        <v>395</v>
      </c>
      <c r="F16" s="3">
        <v>631</v>
      </c>
      <c r="G16" s="6">
        <v>4.1444991789819377E-2</v>
      </c>
    </row>
    <row r="17" spans="1:7">
      <c r="A17" t="str">
        <v>Louth County Hospital</v>
      </c>
      <c r="B17" s="3">
        <v>2739</v>
      </c>
      <c r="C17" s="3">
        <v>1772</v>
      </c>
      <c r="D17" s="3">
        <v>774</v>
      </c>
      <c r="E17" s="3">
        <v>189</v>
      </c>
      <c r="F17" s="3">
        <v>5</v>
      </c>
      <c r="G17" s="6">
        <v>1.8254837531945967E-3</v>
      </c>
    </row>
    <row r="18" spans="1:7">
      <c r="A18" t="str">
        <v>Mallow General Hospital</v>
      </c>
      <c r="B18" s="3">
        <v>3879</v>
      </c>
      <c r="C18" s="3">
        <v>2798</v>
      </c>
      <c r="D18" s="3">
        <v>747</v>
      </c>
      <c r="E18" s="3">
        <v>203</v>
      </c>
      <c r="F18" s="3">
        <v>131</v>
      </c>
      <c r="G18" s="6">
        <v>3.3771590616138179E-2</v>
      </c>
    </row>
    <row r="19" spans="1:7">
      <c r="A19" t="str">
        <v>Mater Misericordiae University Hospital</v>
      </c>
      <c r="B19" s="3">
        <v>43655</v>
      </c>
      <c r="C19" s="3">
        <v>26385</v>
      </c>
      <c r="D19" s="3">
        <v>9414</v>
      </c>
      <c r="E19" s="3">
        <v>4638</v>
      </c>
      <c r="F19" s="3">
        <v>3217</v>
      </c>
      <c r="G19" s="6">
        <v>7.3691444279005841E-2</v>
      </c>
    </row>
    <row r="20" spans="1:7">
      <c r="A20" t="str">
        <v>Mayo University Hospital</v>
      </c>
      <c r="B20" s="3">
        <v>8660</v>
      </c>
      <c r="C20" s="3">
        <v>6015</v>
      </c>
      <c r="D20" s="3">
        <v>1857</v>
      </c>
      <c r="E20" s="3">
        <v>565</v>
      </c>
      <c r="F20" s="3">
        <v>224</v>
      </c>
      <c r="G20" s="6">
        <v>2.5866050808314087E-2</v>
      </c>
    </row>
    <row r="21" spans="1:7">
      <c r="A21" t="str">
        <v>Mercy University Hospital</v>
      </c>
      <c r="B21" s="3">
        <v>5981</v>
      </c>
      <c r="C21" s="3">
        <v>3634</v>
      </c>
      <c r="D21" s="3">
        <v>1512</v>
      </c>
      <c r="E21" s="3">
        <v>703</v>
      </c>
      <c r="F21" s="3">
        <v>133</v>
      </c>
      <c r="G21" s="6">
        <v>2.2237084099648887E-2</v>
      </c>
    </row>
    <row r="22" spans="1:7">
      <c r="A22" t="str">
        <v>Midland Regional Hospital Mullingar</v>
      </c>
      <c r="B22" s="3">
        <v>10911</v>
      </c>
      <c r="C22" s="3">
        <v>6895</v>
      </c>
      <c r="D22" s="3">
        <v>2194</v>
      </c>
      <c r="E22" s="3">
        <v>839</v>
      </c>
      <c r="F22" s="3">
        <v>983</v>
      </c>
      <c r="G22" s="6">
        <v>9.0092567134084867E-2</v>
      </c>
    </row>
    <row r="23" spans="1:7">
      <c r="A23" t="str">
        <v>Midland Regional Hospital Portlaoise</v>
      </c>
      <c r="B23" s="3">
        <v>6949</v>
      </c>
      <c r="C23" s="3">
        <v>4068</v>
      </c>
      <c r="D23" s="3">
        <v>1533</v>
      </c>
      <c r="E23" s="3">
        <v>847</v>
      </c>
      <c r="F23" s="3">
        <v>501</v>
      </c>
      <c r="G23" s="6">
        <v>7.2096704561807459E-2</v>
      </c>
    </row>
    <row r="24" spans="1:7">
      <c r="A24" t="str">
        <v>Midland Regional Hospital Tullamore</v>
      </c>
      <c r="B24" s="3">
        <v>23118</v>
      </c>
      <c r="C24" s="3">
        <v>13009</v>
      </c>
      <c r="D24" s="3">
        <v>6778</v>
      </c>
      <c r="E24" s="3">
        <v>2595</v>
      </c>
      <c r="F24" s="3">
        <v>737</v>
      </c>
      <c r="G24" s="6">
        <v>3.1879920408339819E-2</v>
      </c>
    </row>
    <row r="25" spans="1:7">
      <c r="A25" t="str">
        <v>Naas General Hospital</v>
      </c>
      <c r="B25" s="3">
        <v>14541</v>
      </c>
      <c r="C25" s="3">
        <v>7153</v>
      </c>
      <c r="D25" s="3">
        <v>3189</v>
      </c>
      <c r="E25" s="3">
        <v>2319</v>
      </c>
      <c r="F25" s="3">
        <v>1880</v>
      </c>
      <c r="G25" s="6">
        <v>0.12928959493844991</v>
      </c>
    </row>
    <row r="26" spans="1:7">
      <c r="A26" t="str">
        <v>National Maternity Hospital (Holles Street)</v>
      </c>
      <c r="B26" s="3">
        <v>3752</v>
      </c>
      <c r="C26" s="3">
        <v>2360</v>
      </c>
      <c r="D26" s="3">
        <v>879</v>
      </c>
      <c r="E26" s="3">
        <v>504</v>
      </c>
      <c r="F26" s="3">
        <v>9</v>
      </c>
      <c r="G26" s="6">
        <v>2.398720682302772E-3</v>
      </c>
    </row>
    <row r="27" spans="1:7">
      <c r="A27" t="str">
        <v>National Orthopaedic Hospital Cappagh</v>
      </c>
      <c r="B27" s="3">
        <v>2566</v>
      </c>
      <c r="C27" s="3">
        <v>1640</v>
      </c>
      <c r="D27" s="3">
        <v>384</v>
      </c>
      <c r="E27" s="3">
        <v>329</v>
      </c>
      <c r="F27" s="3">
        <v>213</v>
      </c>
      <c r="G27" s="6">
        <v>8.3008573655494938E-2</v>
      </c>
    </row>
    <row r="28" spans="1:7">
      <c r="A28" t="str">
        <v>Nenagh Hospital</v>
      </c>
      <c r="B28" s="3">
        <v>1363</v>
      </c>
      <c r="C28" s="3">
        <v>473</v>
      </c>
      <c r="D28" s="3">
        <v>270</v>
      </c>
      <c r="E28" s="3">
        <v>286</v>
      </c>
      <c r="F28" s="3">
        <v>334</v>
      </c>
      <c r="G28" s="6">
        <v>0.2450476889214967</v>
      </c>
    </row>
    <row r="29" spans="1:7">
      <c r="A29" t="str">
        <v>Our Lady of Lourdes Hospital Drogheda</v>
      </c>
      <c r="B29" s="3">
        <v>21367</v>
      </c>
      <c r="C29" s="3">
        <v>12210</v>
      </c>
      <c r="D29" s="3">
        <v>5440</v>
      </c>
      <c r="E29" s="3">
        <v>2550</v>
      </c>
      <c r="F29" s="3">
        <v>1168</v>
      </c>
      <c r="G29" s="6">
        <v>5.4663733795104599E-2</v>
      </c>
    </row>
    <row r="30" spans="1:7">
      <c r="A30" t="str">
        <v>Our Lady's Hospital Navan</v>
      </c>
      <c r="B30" s="3">
        <v>8637</v>
      </c>
      <c r="C30" s="3">
        <v>5351</v>
      </c>
      <c r="D30" s="3">
        <v>2314</v>
      </c>
      <c r="E30" s="3">
        <v>910</v>
      </c>
      <c r="F30" s="3">
        <v>61</v>
      </c>
      <c r="G30" s="6">
        <v>7.0626374898691679E-3</v>
      </c>
    </row>
    <row r="31" spans="1:7">
      <c r="A31" t="str">
        <v>Portiuncula University Hospital</v>
      </c>
      <c r="B31" s="3">
        <v>3721</v>
      </c>
      <c r="C31" s="3">
        <v>2889</v>
      </c>
      <c r="D31" s="3">
        <v>638</v>
      </c>
      <c r="E31" s="3">
        <v>165</v>
      </c>
      <c r="F31" s="3">
        <v>30</v>
      </c>
      <c r="G31" s="6">
        <v>8.0623488309594198E-3</v>
      </c>
    </row>
    <row r="32" spans="1:7">
      <c r="A32" t="str">
        <v>Roscommon University Hospital</v>
      </c>
      <c r="B32" s="3">
        <v>4704</v>
      </c>
      <c r="C32" s="3">
        <v>3451</v>
      </c>
      <c r="D32" s="3">
        <v>1205</v>
      </c>
      <c r="E32" s="3">
        <v>44</v>
      </c>
      <c r="F32" s="3">
        <v>5</v>
      </c>
      <c r="G32" s="6">
        <v>1.0629251700680273E-3</v>
      </c>
    </row>
    <row r="33" spans="1:9">
      <c r="A33" t="str">
        <v>Rotunda Hospital</v>
      </c>
      <c r="B33" s="3">
        <v>6801</v>
      </c>
      <c r="C33" s="3">
        <v>4993</v>
      </c>
      <c r="D33" s="3">
        <v>1642</v>
      </c>
      <c r="E33" s="3">
        <v>165</v>
      </c>
      <c r="F33" s="3">
        <v>1</v>
      </c>
      <c r="G33" s="6">
        <v>1.4703720041170417E-4</v>
      </c>
    </row>
    <row r="34" spans="1:9">
      <c r="A34" t="str">
        <v>Royal Victoria Eye and Ear Hospital</v>
      </c>
      <c r="B34" s="3">
        <v>17037</v>
      </c>
      <c r="C34" s="3">
        <v>6340</v>
      </c>
      <c r="D34" s="3">
        <v>5065</v>
      </c>
      <c r="E34" s="3">
        <v>3229</v>
      </c>
      <c r="F34" s="3">
        <v>2403</v>
      </c>
      <c r="G34" s="6">
        <v>0.14104595879556259</v>
      </c>
      <c r="I34" s="5">
        <f>SUM(_xlfn.ANCHORARRAY(F5))/SUM(_xlfn.ANCHORARRAY(B5))</f>
        <v>7.4930325265069292E-2</v>
      </c>
    </row>
    <row r="35" spans="1:9">
      <c r="A35" t="str">
        <v>Sligo University Hospital</v>
      </c>
      <c r="B35" s="3">
        <v>18171</v>
      </c>
      <c r="C35" s="3">
        <v>11395</v>
      </c>
      <c r="D35" s="3">
        <v>3827</v>
      </c>
      <c r="E35" s="3">
        <v>1222</v>
      </c>
      <c r="F35" s="3">
        <v>1728</v>
      </c>
      <c r="G35" s="6">
        <v>9.5096582466567603E-2</v>
      </c>
    </row>
    <row r="36" spans="1:9">
      <c r="A36" t="str">
        <v>South Infirmary Victoria University Hospital</v>
      </c>
      <c r="B36" s="3">
        <v>33672</v>
      </c>
      <c r="C36" s="3">
        <v>17815</v>
      </c>
      <c r="D36" s="3">
        <v>7902</v>
      </c>
      <c r="E36" s="3">
        <v>3778</v>
      </c>
      <c r="F36" s="3">
        <v>4178</v>
      </c>
      <c r="G36" s="6">
        <v>0.12407935376574009</v>
      </c>
    </row>
    <row r="37" spans="1:9">
      <c r="A37" t="str">
        <v>St. Columcille's Hospital</v>
      </c>
      <c r="B37" s="3">
        <v>10892</v>
      </c>
      <c r="C37" s="3">
        <v>2175</v>
      </c>
      <c r="D37" s="3">
        <v>1381</v>
      </c>
      <c r="E37" s="3">
        <v>1137</v>
      </c>
      <c r="F37" s="3">
        <v>6199</v>
      </c>
      <c r="G37" s="6">
        <v>0.56913330885053248</v>
      </c>
    </row>
    <row r="38" spans="1:9">
      <c r="A38" t="str">
        <v>St. James's Hospital</v>
      </c>
      <c r="B38" s="3">
        <v>29647</v>
      </c>
      <c r="C38" s="3">
        <v>19039</v>
      </c>
      <c r="D38" s="3">
        <v>6301</v>
      </c>
      <c r="E38" s="3">
        <v>2520</v>
      </c>
      <c r="F38" s="3">
        <v>1787</v>
      </c>
      <c r="G38" s="6">
        <v>6.0275913245859618E-2</v>
      </c>
    </row>
    <row r="39" spans="1:9">
      <c r="A39" t="str">
        <v>St. John's Hospital Limerick</v>
      </c>
      <c r="B39" s="3">
        <v>1069</v>
      </c>
      <c r="C39" s="3">
        <v>665</v>
      </c>
      <c r="D39" s="3">
        <v>306</v>
      </c>
      <c r="E39" s="3">
        <v>98</v>
      </c>
      <c r="F39" s="3">
        <v>0</v>
      </c>
      <c r="G39" s="6">
        <v>0</v>
      </c>
    </row>
    <row r="40" spans="1:9">
      <c r="A40" t="str">
        <v>St. Luke's General Hospital Kilkenny</v>
      </c>
      <c r="B40" s="3">
        <v>7087</v>
      </c>
      <c r="C40" s="3">
        <v>4236</v>
      </c>
      <c r="D40" s="3">
        <v>1578</v>
      </c>
      <c r="E40" s="3">
        <v>720</v>
      </c>
      <c r="F40" s="3">
        <v>554</v>
      </c>
      <c r="G40" s="6">
        <v>7.8171299562579372E-2</v>
      </c>
    </row>
    <row r="41" spans="1:9">
      <c r="A41" t="str">
        <v>St. Michael's Hospital</v>
      </c>
      <c r="B41" s="3">
        <v>5071</v>
      </c>
      <c r="C41" s="3">
        <v>3133</v>
      </c>
      <c r="D41" s="3">
        <v>1054</v>
      </c>
      <c r="E41" s="3">
        <v>540</v>
      </c>
      <c r="F41" s="3">
        <v>344</v>
      </c>
      <c r="G41" s="6">
        <v>6.7836718595937678E-2</v>
      </c>
    </row>
    <row r="42" spans="1:9">
      <c r="A42" t="str">
        <v>St. Vincent's University Hospital</v>
      </c>
      <c r="B42" s="3">
        <v>35498</v>
      </c>
      <c r="C42" s="3">
        <v>20274</v>
      </c>
      <c r="D42" s="3">
        <v>7385</v>
      </c>
      <c r="E42" s="3">
        <v>4311</v>
      </c>
      <c r="F42" s="3">
        <v>3527</v>
      </c>
      <c r="G42" s="6">
        <v>9.9357710293537668E-2</v>
      </c>
    </row>
    <row r="43" spans="1:9">
      <c r="A43" t="str">
        <v>Tallaght University Hospital</v>
      </c>
      <c r="B43" s="3">
        <v>31681</v>
      </c>
      <c r="C43" s="3">
        <v>17850</v>
      </c>
      <c r="D43" s="3">
        <v>9135</v>
      </c>
      <c r="E43" s="3">
        <v>3423</v>
      </c>
      <c r="F43" s="3">
        <v>1273</v>
      </c>
      <c r="G43" s="6">
        <v>4.0181812442789053E-2</v>
      </c>
    </row>
    <row r="44" spans="1:9">
      <c r="A44" t="str">
        <v>Tipperary University Hospital</v>
      </c>
      <c r="B44" s="3">
        <v>4898</v>
      </c>
      <c r="C44" s="3">
        <v>3042</v>
      </c>
      <c r="D44" s="3">
        <v>1130</v>
      </c>
      <c r="E44" s="3">
        <v>508</v>
      </c>
      <c r="F44" s="3">
        <v>219</v>
      </c>
      <c r="G44" s="6">
        <v>4.4712127398938345E-2</v>
      </c>
    </row>
    <row r="45" spans="1:9">
      <c r="A45" t="str">
        <v>University Hospital Kerry</v>
      </c>
      <c r="B45" s="3">
        <v>11526</v>
      </c>
      <c r="C45" s="3">
        <v>7797</v>
      </c>
      <c r="D45" s="3">
        <v>2255</v>
      </c>
      <c r="E45" s="3">
        <v>1009</v>
      </c>
      <c r="F45" s="3">
        <v>464</v>
      </c>
      <c r="G45" s="6">
        <v>4.025681068887732E-2</v>
      </c>
    </row>
    <row r="46" spans="1:9">
      <c r="A46" t="str">
        <v>University Hospital Limerick</v>
      </c>
      <c r="B46" s="3">
        <v>35183</v>
      </c>
      <c r="C46" s="3">
        <v>21275</v>
      </c>
      <c r="D46" s="3">
        <v>9410</v>
      </c>
      <c r="E46" s="3">
        <v>3512</v>
      </c>
      <c r="F46" s="3">
        <v>985</v>
      </c>
      <c r="G46" s="6">
        <v>2.799647557058807E-2</v>
      </c>
    </row>
    <row r="47" spans="1:9">
      <c r="A47" t="str">
        <v>University Hospital Waterford</v>
      </c>
      <c r="B47" s="3">
        <v>49911</v>
      </c>
      <c r="C47" s="3">
        <v>26443</v>
      </c>
      <c r="D47" s="3">
        <v>12808</v>
      </c>
      <c r="E47" s="3">
        <v>6024</v>
      </c>
      <c r="F47" s="3">
        <v>4637</v>
      </c>
      <c r="G47" s="6">
        <v>9.2905371561379249E-2</v>
      </c>
    </row>
    <row r="48" spans="1:9">
      <c r="A48" t="str">
        <v>Wexford General Hospital</v>
      </c>
      <c r="B48" s="3">
        <v>7310</v>
      </c>
      <c r="C48" s="3">
        <v>5372</v>
      </c>
      <c r="D48" s="3">
        <v>1343</v>
      </c>
      <c r="E48" s="3">
        <v>534</v>
      </c>
      <c r="F48" s="3">
        <v>62</v>
      </c>
      <c r="G48" s="6">
        <v>8.4815321477428179E-3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1968D-887B-4CE2-B6D8-C9320E6918E9}">
  <dimension ref="A1:H47"/>
  <sheetViews>
    <sheetView topLeftCell="A51" workbookViewId="0">
      <selection activeCell="J50" sqref="J50"/>
    </sheetView>
  </sheetViews>
  <sheetFormatPr defaultRowHeight="13.5"/>
  <cols>
    <col min="4" max="4" width="10" bestFit="1" customWidth="1"/>
    <col min="6" max="6" width="9.125" bestFit="1" customWidth="1"/>
  </cols>
  <sheetData>
    <row r="1" spans="1:8">
      <c r="A1" t="s">
        <v>81</v>
      </c>
      <c r="B1" t="s">
        <v>23</v>
      </c>
    </row>
    <row r="3" spans="1:8">
      <c r="A3" t="s">
        <v>18</v>
      </c>
      <c r="B3" t="s">
        <v>86</v>
      </c>
      <c r="C3" t="s">
        <v>87</v>
      </c>
      <c r="D3" t="s">
        <v>88</v>
      </c>
      <c r="E3" t="s">
        <v>89</v>
      </c>
      <c r="F3" t="s">
        <v>90</v>
      </c>
      <c r="G3" t="s">
        <v>91</v>
      </c>
      <c r="H3" t="s">
        <v>92</v>
      </c>
    </row>
    <row r="4" spans="1:8">
      <c r="A4" s="4" cm="1">
        <f t="array" ref="A4:A47">_xlfn._xlws.SORT(_xlfn.UNIQUE(tblWaitingList[Month]))</f>
        <v>44927</v>
      </c>
      <c r="B4" s="6" cm="1">
        <f t="array" ref="B4:B47">_xlfn.ANCHORARRAY(F4) /_xlfn.ANCHORARRAY( D4)</f>
        <v>0.26297154182878413</v>
      </c>
      <c r="C4" s="6" cm="1">
        <f t="array" ref="C4:C47">_xlfn.ANCHORARRAY(G4) /_xlfn.ANCHORARRAY( E4)</f>
        <v>0.25709938545294614</v>
      </c>
      <c r="D4" s="3" cm="1">
        <f t="array" ref="D4:D47">SUMIFS(tblWaitingList[Total], tblWaitingList[Month],_xlfn.ANCHORARRAY( A4), tblWaitingList[List Type], $B$1, tblWaitingList[Adult_Child], "Adult")</f>
        <v>505549</v>
      </c>
      <c r="E4" s="3" cm="1">
        <f t="array" ref="E4:E47">SUMIFS(tblWaitingList[Total], tblWaitingList[Month],_xlfn.ANCHORARRAY( A4), tblWaitingList[List Type], $B$1, tblWaitingList[Adult_Child], "Child")</f>
        <v>84127</v>
      </c>
      <c r="F4" s="3" cm="1">
        <f t="array" ref="F4:F47">SUMIFS(tblWaitingList[Waiting 12+ Months], tblWaitingList[Month],_xlfn.ANCHORARRAY( A4), tblWaitingList[List Type], $B$1, tblWaitingList[Adult_Child], "Adult")</f>
        <v>132945</v>
      </c>
      <c r="G4" s="3" cm="1">
        <f t="array" ref="G4:G47">SUMIFS(tblWaitingList[Waiting 12+ Months], tblWaitingList[Month],_xlfn.ANCHORARRAY( A4), tblWaitingList[List Type], $B$1, tblWaitingList[Adult_Child], "Child")</f>
        <v>21629</v>
      </c>
      <c r="H4" s="6" cm="1">
        <f t="array" ref="H4:H47">_xlfn.ANCHORARRAY(E4) / (_xlfn.ANCHORARRAY(D4) +_xlfn.ANCHORARRAY( E4))</f>
        <v>0.14266648125411244</v>
      </c>
    </row>
    <row r="5" spans="1:8">
      <c r="A5" s="4">
        <v>44958</v>
      </c>
      <c r="B5" s="6">
        <v>0.26143693666373852</v>
      </c>
      <c r="C5" s="6">
        <v>0.24381862473962318</v>
      </c>
      <c r="D5" s="3">
        <v>511129</v>
      </c>
      <c r="E5" s="3">
        <v>84973</v>
      </c>
      <c r="F5" s="3">
        <v>133628</v>
      </c>
      <c r="G5" s="3">
        <v>20718</v>
      </c>
      <c r="H5" s="6">
        <v>0.14254775189480995</v>
      </c>
    </row>
    <row r="6" spans="1:8">
      <c r="A6" s="4">
        <v>44986</v>
      </c>
      <c r="B6" s="6">
        <v>0.25281868090842285</v>
      </c>
      <c r="C6" s="6">
        <v>0.22639204049572351</v>
      </c>
      <c r="D6" s="3">
        <v>508926</v>
      </c>
      <c r="E6" s="3">
        <v>85935</v>
      </c>
      <c r="F6" s="3">
        <v>128666</v>
      </c>
      <c r="G6" s="3">
        <v>19455</v>
      </c>
      <c r="H6" s="6">
        <v>0.14446231976881993</v>
      </c>
    </row>
    <row r="7" spans="1:8">
      <c r="A7" s="4">
        <v>45017</v>
      </c>
      <c r="B7" s="6">
        <v>0.24806146850131328</v>
      </c>
      <c r="C7" s="6">
        <v>0.2263524109331258</v>
      </c>
      <c r="D7" s="3">
        <v>510180</v>
      </c>
      <c r="E7" s="3">
        <v>86087</v>
      </c>
      <c r="F7" s="3">
        <v>126556</v>
      </c>
      <c r="G7" s="3">
        <v>19486</v>
      </c>
      <c r="H7" s="6">
        <v>0.14437659639054315</v>
      </c>
    </row>
    <row r="8" spans="1:8">
      <c r="A8" s="4">
        <v>45047</v>
      </c>
      <c r="B8" s="6">
        <v>0.24485523445966587</v>
      </c>
      <c r="C8" s="6">
        <v>0.22595899394804059</v>
      </c>
      <c r="D8" s="3">
        <v>513969</v>
      </c>
      <c r="E8" s="3">
        <v>86914</v>
      </c>
      <c r="F8" s="3">
        <v>125848</v>
      </c>
      <c r="G8" s="3">
        <v>19639</v>
      </c>
      <c r="H8" s="6">
        <v>0.144643799208831</v>
      </c>
    </row>
    <row r="9" spans="1:8">
      <c r="A9" s="4">
        <v>45078</v>
      </c>
      <c r="B9" s="6">
        <v>0.23677217708894246</v>
      </c>
      <c r="C9" s="6">
        <v>0.21621432323586062</v>
      </c>
      <c r="D9" s="3">
        <v>512556</v>
      </c>
      <c r="E9" s="3">
        <v>85665</v>
      </c>
      <c r="F9" s="3">
        <v>121359</v>
      </c>
      <c r="G9" s="3">
        <v>18522</v>
      </c>
      <c r="H9" s="6">
        <v>0.14319958677478725</v>
      </c>
    </row>
    <row r="10" spans="1:8">
      <c r="A10" s="4">
        <v>45108</v>
      </c>
      <c r="B10" s="6">
        <v>0.23091262482445046</v>
      </c>
      <c r="C10" s="6">
        <v>0.21438415360538179</v>
      </c>
      <c r="D10" s="3">
        <v>515524</v>
      </c>
      <c r="E10" s="3">
        <v>85622</v>
      </c>
      <c r="F10" s="3">
        <v>119041</v>
      </c>
      <c r="G10" s="3">
        <v>18356</v>
      </c>
      <c r="H10" s="6">
        <v>0.14243128957025414</v>
      </c>
    </row>
    <row r="11" spans="1:8">
      <c r="A11" s="4">
        <v>45139</v>
      </c>
      <c r="B11" s="6">
        <v>0.22338627064061178</v>
      </c>
      <c r="C11" s="6">
        <v>0.21045462083343205</v>
      </c>
      <c r="D11" s="3">
        <v>516397</v>
      </c>
      <c r="E11" s="3">
        <v>84422</v>
      </c>
      <c r="F11" s="3">
        <v>115356</v>
      </c>
      <c r="G11" s="3">
        <v>17767</v>
      </c>
      <c r="H11" s="6">
        <v>0.14051153508793829</v>
      </c>
    </row>
    <row r="12" spans="1:8">
      <c r="A12" s="4">
        <v>45170</v>
      </c>
      <c r="B12" s="6">
        <v>0.21757405262286944</v>
      </c>
      <c r="C12" s="6">
        <v>0.21110671605115849</v>
      </c>
      <c r="D12" s="3">
        <v>513655</v>
      </c>
      <c r="E12" s="3">
        <v>83427</v>
      </c>
      <c r="F12" s="3">
        <v>111758</v>
      </c>
      <c r="G12" s="3">
        <v>17612</v>
      </c>
      <c r="H12" s="6">
        <v>0.13972452694939724</v>
      </c>
    </row>
    <row r="13" spans="1:8">
      <c r="A13" s="4">
        <v>45200</v>
      </c>
      <c r="B13" s="6">
        <v>0.21033060538403786</v>
      </c>
      <c r="C13" s="6">
        <v>0.20944467661446939</v>
      </c>
      <c r="D13" s="3">
        <v>507463</v>
      </c>
      <c r="E13" s="3">
        <v>81358</v>
      </c>
      <c r="F13" s="3">
        <v>106735</v>
      </c>
      <c r="G13" s="3">
        <v>17040</v>
      </c>
      <c r="H13" s="6">
        <v>0.1381710231122871</v>
      </c>
    </row>
    <row r="14" spans="1:8">
      <c r="A14" s="4">
        <v>45231</v>
      </c>
      <c r="B14" s="6">
        <v>0.19641247899419931</v>
      </c>
      <c r="C14" s="6">
        <v>0.19835676327592056</v>
      </c>
      <c r="D14" s="3">
        <v>500457</v>
      </c>
      <c r="E14" s="3">
        <v>79599</v>
      </c>
      <c r="F14" s="3">
        <v>98296</v>
      </c>
      <c r="G14" s="3">
        <v>15789</v>
      </c>
      <c r="H14" s="6">
        <v>0.13722640572634368</v>
      </c>
    </row>
    <row r="15" spans="1:8">
      <c r="A15" s="4">
        <v>45261</v>
      </c>
      <c r="B15" s="6">
        <v>0.18307364196243681</v>
      </c>
      <c r="C15" s="6">
        <v>0.18982762837759556</v>
      </c>
      <c r="D15" s="3">
        <v>484357</v>
      </c>
      <c r="E15" s="3">
        <v>77681</v>
      </c>
      <c r="F15" s="3">
        <v>88673</v>
      </c>
      <c r="G15" s="3">
        <v>14746</v>
      </c>
      <c r="H15" s="6">
        <v>0.13821307456079482</v>
      </c>
    </row>
    <row r="16" spans="1:8">
      <c r="A16" s="4">
        <v>45292</v>
      </c>
      <c r="B16" s="6">
        <v>0.17806108897742365</v>
      </c>
      <c r="C16" s="6">
        <v>0.19189560959604246</v>
      </c>
      <c r="D16" s="3">
        <v>489450</v>
      </c>
      <c r="E16" s="3">
        <v>79241</v>
      </c>
      <c r="F16" s="3">
        <v>87152</v>
      </c>
      <c r="G16" s="3">
        <v>15206</v>
      </c>
      <c r="H16" s="6">
        <v>0.13933928970214052</v>
      </c>
    </row>
    <row r="17" spans="1:8">
      <c r="A17" s="4">
        <v>45323</v>
      </c>
      <c r="B17" s="6">
        <v>0.17759042971065306</v>
      </c>
      <c r="C17" s="6">
        <v>0.19765601819800219</v>
      </c>
      <c r="D17" s="3">
        <v>497707</v>
      </c>
      <c r="E17" s="3">
        <v>80888</v>
      </c>
      <c r="F17" s="3">
        <v>88388</v>
      </c>
      <c r="G17" s="3">
        <v>15988</v>
      </c>
      <c r="H17" s="6">
        <v>0.13980072416802772</v>
      </c>
    </row>
    <row r="18" spans="1:8">
      <c r="A18" s="4">
        <v>45352</v>
      </c>
      <c r="B18" s="6">
        <v>0.17717678913290247</v>
      </c>
      <c r="C18" s="6">
        <v>0.20466545538795469</v>
      </c>
      <c r="D18" s="3">
        <v>503023</v>
      </c>
      <c r="E18" s="3">
        <v>82007</v>
      </c>
      <c r="F18" s="3">
        <v>89124</v>
      </c>
      <c r="G18" s="3">
        <v>16784</v>
      </c>
      <c r="H18" s="6">
        <v>0.14017571748457344</v>
      </c>
    </row>
    <row r="19" spans="1:8">
      <c r="A19" s="4">
        <v>45383</v>
      </c>
      <c r="B19" s="6">
        <v>0.17696379286194808</v>
      </c>
      <c r="C19" s="6">
        <v>0.20704187718616401</v>
      </c>
      <c r="D19" s="3">
        <v>506889</v>
      </c>
      <c r="E19" s="3">
        <v>82336</v>
      </c>
      <c r="F19" s="3">
        <v>89701</v>
      </c>
      <c r="G19" s="3">
        <v>17047</v>
      </c>
      <c r="H19" s="6">
        <v>0.13973609402180831</v>
      </c>
    </row>
    <row r="20" spans="1:8">
      <c r="A20" s="4">
        <v>45413</v>
      </c>
      <c r="B20" s="6">
        <v>0.17765217067496614</v>
      </c>
      <c r="C20" s="6">
        <v>0.2114845769947688</v>
      </c>
      <c r="D20" s="3">
        <v>510233</v>
      </c>
      <c r="E20" s="3">
        <v>83155</v>
      </c>
      <c r="F20" s="3">
        <v>90644</v>
      </c>
      <c r="G20" s="3">
        <v>17586</v>
      </c>
      <c r="H20" s="6">
        <v>0.14013596500097744</v>
      </c>
    </row>
    <row r="21" spans="1:8">
      <c r="A21" s="4">
        <v>45444</v>
      </c>
      <c r="B21" s="6">
        <v>0.1774264289207505</v>
      </c>
      <c r="C21" s="6">
        <v>0.21242620729700959</v>
      </c>
      <c r="D21" s="3">
        <v>515284</v>
      </c>
      <c r="E21" s="3">
        <v>82664</v>
      </c>
      <c r="F21" s="3">
        <v>91425</v>
      </c>
      <c r="G21" s="3">
        <v>17560</v>
      </c>
      <c r="H21" s="6">
        <v>0.1382461351154281</v>
      </c>
    </row>
    <row r="22" spans="1:8">
      <c r="A22" s="4">
        <v>45474</v>
      </c>
      <c r="B22" s="6">
        <v>0.17607690271010934</v>
      </c>
      <c r="C22" s="6">
        <v>0.21342273697043584</v>
      </c>
      <c r="D22" s="3">
        <v>517433</v>
      </c>
      <c r="E22" s="3">
        <v>82025</v>
      </c>
      <c r="F22" s="3">
        <v>91108</v>
      </c>
      <c r="G22" s="3">
        <v>17506</v>
      </c>
      <c r="H22" s="6">
        <v>0.1368319381841597</v>
      </c>
    </row>
    <row r="23" spans="1:8">
      <c r="A23" s="4">
        <v>45505</v>
      </c>
      <c r="B23" s="6">
        <v>0.17498869942391107</v>
      </c>
      <c r="C23" s="6">
        <v>0.21053856994056735</v>
      </c>
      <c r="D23" s="3">
        <v>519885</v>
      </c>
      <c r="E23" s="3">
        <v>81605</v>
      </c>
      <c r="F23" s="3">
        <v>90974</v>
      </c>
      <c r="G23" s="3">
        <v>17181</v>
      </c>
      <c r="H23" s="6">
        <v>0.13567141598364063</v>
      </c>
    </row>
    <row r="24" spans="1:8">
      <c r="A24" s="4">
        <v>45536</v>
      </c>
      <c r="B24" s="6">
        <v>0.17292388516620172</v>
      </c>
      <c r="C24" s="6">
        <v>0.21030492904127712</v>
      </c>
      <c r="D24" s="3">
        <v>515458</v>
      </c>
      <c r="E24" s="3">
        <v>80117</v>
      </c>
      <c r="F24" s="3">
        <v>89135</v>
      </c>
      <c r="G24" s="3">
        <v>16849</v>
      </c>
      <c r="H24" s="6">
        <v>0.13452042144146414</v>
      </c>
    </row>
    <row r="25" spans="1:8">
      <c r="A25" s="4">
        <v>45566</v>
      </c>
      <c r="B25" s="6">
        <v>0.16925763815519956</v>
      </c>
      <c r="C25" s="6">
        <v>0.20432535885167463</v>
      </c>
      <c r="D25" s="3">
        <v>510169</v>
      </c>
      <c r="E25" s="3">
        <v>78375</v>
      </c>
      <c r="F25" s="3">
        <v>86350</v>
      </c>
      <c r="G25" s="3">
        <v>16014</v>
      </c>
      <c r="H25" s="6">
        <v>0.13316761363636365</v>
      </c>
    </row>
    <row r="26" spans="1:8">
      <c r="A26" s="4">
        <v>45597</v>
      </c>
      <c r="B26" s="6">
        <v>0.16276746584171178</v>
      </c>
      <c r="C26" s="6">
        <v>0.19562266935473244</v>
      </c>
      <c r="D26" s="3">
        <v>496512</v>
      </c>
      <c r="E26" s="3">
        <v>75891</v>
      </c>
      <c r="F26" s="3">
        <v>80816</v>
      </c>
      <c r="G26" s="3">
        <v>14846</v>
      </c>
      <c r="H26" s="6">
        <v>0.13258316256204108</v>
      </c>
    </row>
    <row r="27" spans="1:8">
      <c r="A27" s="4">
        <v>45627</v>
      </c>
      <c r="B27" s="6">
        <v>0.15679436021869048</v>
      </c>
      <c r="C27" s="6">
        <v>0.18540209316197603</v>
      </c>
      <c r="D27" s="3">
        <v>483423</v>
      </c>
      <c r="E27" s="3">
        <v>73764</v>
      </c>
      <c r="F27" s="3">
        <v>75798</v>
      </c>
      <c r="G27" s="3">
        <v>13676</v>
      </c>
      <c r="H27" s="6">
        <v>0.13238643399792172</v>
      </c>
    </row>
    <row r="28" spans="1:8">
      <c r="A28" s="4">
        <v>45658</v>
      </c>
      <c r="B28" s="6">
        <v>0.15676169642369753</v>
      </c>
      <c r="C28" s="6">
        <v>0.18573802122413977</v>
      </c>
      <c r="D28" s="3">
        <v>494617</v>
      </c>
      <c r="E28" s="3">
        <v>74632</v>
      </c>
      <c r="F28" s="3">
        <v>77537</v>
      </c>
      <c r="G28" s="3">
        <v>13862</v>
      </c>
      <c r="H28" s="6">
        <v>0.13110607133258029</v>
      </c>
    </row>
    <row r="29" spans="1:8">
      <c r="A29" s="4">
        <v>45689</v>
      </c>
      <c r="B29" s="6">
        <v>0.15937895121615062</v>
      </c>
      <c r="C29" s="6">
        <v>0.19227746773398688</v>
      </c>
      <c r="D29" s="3">
        <v>500637</v>
      </c>
      <c r="E29" s="3">
        <v>75079</v>
      </c>
      <c r="F29" s="3">
        <v>79791</v>
      </c>
      <c r="G29" s="3">
        <v>14436</v>
      </c>
      <c r="H29" s="6">
        <v>0.13040978538029166</v>
      </c>
    </row>
    <row r="30" spans="1:8">
      <c r="A30" s="4">
        <v>45717</v>
      </c>
      <c r="B30" s="6">
        <v>0.1592774262853171</v>
      </c>
      <c r="C30" s="6">
        <v>0.19242206999097233</v>
      </c>
      <c r="D30" s="3">
        <v>506412</v>
      </c>
      <c r="E30" s="3">
        <v>75324</v>
      </c>
      <c r="F30" s="3">
        <v>80660</v>
      </c>
      <c r="G30" s="3">
        <v>14494</v>
      </c>
      <c r="H30" s="6">
        <v>0.12948141424976278</v>
      </c>
    </row>
    <row r="31" spans="1:8">
      <c r="A31" s="4">
        <v>45748</v>
      </c>
      <c r="B31" s="6">
        <v>0.16283800866666276</v>
      </c>
      <c r="C31" s="6">
        <v>0.19134824521360866</v>
      </c>
      <c r="D31" s="3">
        <v>510231</v>
      </c>
      <c r="E31" s="3">
        <v>74482</v>
      </c>
      <c r="F31" s="3">
        <v>83085</v>
      </c>
      <c r="G31" s="3">
        <v>14252</v>
      </c>
      <c r="H31" s="6">
        <v>0.12738215158547869</v>
      </c>
    </row>
    <row r="32" spans="1:8">
      <c r="A32" s="4">
        <v>45778</v>
      </c>
      <c r="B32" s="6">
        <v>0.16387220838591024</v>
      </c>
      <c r="C32" s="6">
        <v>0.19135569456427956</v>
      </c>
      <c r="D32" s="3">
        <v>512741</v>
      </c>
      <c r="E32" s="3">
        <v>74176</v>
      </c>
      <c r="F32" s="3">
        <v>84024</v>
      </c>
      <c r="G32" s="3">
        <v>14194</v>
      </c>
      <c r="H32" s="6">
        <v>0.12638243567659482</v>
      </c>
    </row>
    <row r="33" spans="1:8">
      <c r="A33" s="4">
        <v>45809</v>
      </c>
      <c r="B33" s="6">
        <v>0.16400314532304139</v>
      </c>
      <c r="C33" s="6">
        <v>0.19349338241264513</v>
      </c>
      <c r="D33" s="3">
        <v>526496</v>
      </c>
      <c r="E33" s="3">
        <v>73894</v>
      </c>
      <c r="F33" s="3">
        <v>86347</v>
      </c>
      <c r="G33" s="3">
        <v>14298</v>
      </c>
      <c r="H33" s="6">
        <v>0.12307666683322507</v>
      </c>
    </row>
    <row r="34" spans="1:8">
      <c r="A34" s="4">
        <v>45839</v>
      </c>
      <c r="B34" s="6">
        <v>0.16535073783150692</v>
      </c>
      <c r="C34" s="6">
        <v>0.19199223555786424</v>
      </c>
      <c r="D34" s="3">
        <v>541316</v>
      </c>
      <c r="E34" s="3">
        <v>73154</v>
      </c>
      <c r="F34" s="3">
        <v>89507</v>
      </c>
      <c r="G34" s="3">
        <v>14045</v>
      </c>
      <c r="H34" s="6">
        <v>0.11905219131934838</v>
      </c>
    </row>
    <row r="35" spans="1:8">
      <c r="A35" s="4">
        <v>45870</v>
      </c>
      <c r="B35" s="6">
        <v>0.16688584405119838</v>
      </c>
      <c r="C35" s="6">
        <v>0.19069989757596451</v>
      </c>
      <c r="D35" s="3">
        <v>549783</v>
      </c>
      <c r="E35" s="3">
        <v>73225</v>
      </c>
      <c r="F35" s="3">
        <v>91751</v>
      </c>
      <c r="G35" s="3">
        <v>13964</v>
      </c>
      <c r="H35" s="6">
        <v>0.11753460629719041</v>
      </c>
    </row>
    <row r="36" spans="1:8">
      <c r="A36" s="4">
        <v>45901</v>
      </c>
      <c r="B36" s="6">
        <v>0.16862593740193124</v>
      </c>
      <c r="C36" s="6">
        <v>0.18900129053744641</v>
      </c>
      <c r="D36" s="3">
        <v>554458</v>
      </c>
      <c r="E36" s="3">
        <v>72063</v>
      </c>
      <c r="F36" s="3">
        <v>93496</v>
      </c>
      <c r="G36" s="3">
        <v>13620</v>
      </c>
      <c r="H36" s="6">
        <v>0.11502088517384094</v>
      </c>
    </row>
    <row r="37" spans="1:8">
      <c r="A37" s="4">
        <v>45931</v>
      </c>
      <c r="B37" s="6">
        <v>0.17093200641869769</v>
      </c>
      <c r="C37" s="6">
        <v>0.18517528557762647</v>
      </c>
      <c r="D37" s="3">
        <v>555876</v>
      </c>
      <c r="E37" s="3">
        <v>71084</v>
      </c>
      <c r="F37" s="3">
        <v>95017</v>
      </c>
      <c r="G37" s="3">
        <v>13163</v>
      </c>
      <c r="H37" s="6">
        <v>0.11337884394538726</v>
      </c>
    </row>
    <row r="38" spans="1:8">
      <c r="A38" s="4">
        <v>45962</v>
      </c>
      <c r="B38" s="6">
        <v>0.1668021107607624</v>
      </c>
      <c r="C38" s="6">
        <v>0.17779838767211242</v>
      </c>
      <c r="D38" s="3">
        <v>553734</v>
      </c>
      <c r="E38" s="3">
        <v>70085</v>
      </c>
      <c r="F38" s="3">
        <v>92364</v>
      </c>
      <c r="G38" s="3">
        <v>12461</v>
      </c>
      <c r="H38" s="6">
        <v>0.11234829333508597</v>
      </c>
    </row>
    <row r="39" spans="1:8">
      <c r="A39" s="4">
        <v>45992</v>
      </c>
      <c r="B39" s="6">
        <v>0.16262468758985246</v>
      </c>
      <c r="C39" s="6">
        <v>0.17279025219282454</v>
      </c>
      <c r="D39" s="3">
        <v>542556</v>
      </c>
      <c r="E39" s="3">
        <v>69431</v>
      </c>
      <c r="F39" s="3">
        <v>88233</v>
      </c>
      <c r="G39" s="3">
        <v>11997</v>
      </c>
      <c r="H39" s="6">
        <v>0.11345175632815729</v>
      </c>
    </row>
    <row r="40" spans="1:8">
      <c r="A40" s="4">
        <v>46023</v>
      </c>
      <c r="B40" s="6">
        <v>0.16699719216949085</v>
      </c>
      <c r="C40" s="6">
        <v>0.16931179873650001</v>
      </c>
      <c r="D40" s="3">
        <v>560219</v>
      </c>
      <c r="E40" s="3">
        <v>71389</v>
      </c>
      <c r="F40" s="3">
        <v>93555</v>
      </c>
      <c r="G40" s="3">
        <v>12087</v>
      </c>
      <c r="H40" s="6">
        <v>0.11302738407366594</v>
      </c>
    </row>
    <row r="41" spans="1:8">
      <c r="A41" s="4">
        <v>46054</v>
      </c>
      <c r="B41" s="6">
        <v>0.16595139675100709</v>
      </c>
      <c r="C41" s="6">
        <v>0.16804936294742073</v>
      </c>
      <c r="D41" s="3">
        <v>569715</v>
      </c>
      <c r="E41" s="3">
        <v>72443</v>
      </c>
      <c r="F41" s="3">
        <v>94545</v>
      </c>
      <c r="G41" s="3">
        <v>12174</v>
      </c>
      <c r="H41" s="6">
        <v>0.11281180021116298</v>
      </c>
    </row>
    <row r="42" spans="1:8">
      <c r="A42" s="4">
        <v>46082</v>
      </c>
      <c r="B42" s="6">
        <v>0.17024193576271832</v>
      </c>
      <c r="C42" s="6">
        <v>0.16397097515717174</v>
      </c>
      <c r="D42" s="3">
        <v>578418</v>
      </c>
      <c r="E42" s="3">
        <v>72214</v>
      </c>
      <c r="F42" s="3">
        <v>98471</v>
      </c>
      <c r="G42" s="3">
        <v>11841</v>
      </c>
      <c r="H42" s="6">
        <v>0.11099054457819474</v>
      </c>
    </row>
    <row r="43" spans="1:8">
      <c r="A43" s="4">
        <v>46113</v>
      </c>
      <c r="B43" s="6">
        <v>0.17149214044716207</v>
      </c>
      <c r="C43" s="6">
        <v>0.16003733289412281</v>
      </c>
      <c r="D43" s="3">
        <v>587438</v>
      </c>
      <c r="E43" s="3">
        <v>72858</v>
      </c>
      <c r="F43" s="3">
        <v>100741</v>
      </c>
      <c r="G43" s="3">
        <v>11660</v>
      </c>
      <c r="H43" s="6">
        <v>0.11034142263469716</v>
      </c>
    </row>
    <row r="44" spans="1:8">
      <c r="A44" s="4">
        <v>46143</v>
      </c>
      <c r="B44" s="6">
        <v>0.1750777571022632</v>
      </c>
      <c r="C44" s="6">
        <v>0.15612594852961031</v>
      </c>
      <c r="D44" s="3">
        <v>595444</v>
      </c>
      <c r="E44" s="3">
        <v>74062</v>
      </c>
      <c r="F44" s="3">
        <v>104249</v>
      </c>
      <c r="G44" s="3">
        <v>11563</v>
      </c>
      <c r="H44" s="6">
        <v>0.11062186149190598</v>
      </c>
    </row>
    <row r="45" spans="1:8">
      <c r="A45" s="4">
        <v>46174</v>
      </c>
      <c r="B45" s="6">
        <v>0.17707632789767014</v>
      </c>
      <c r="C45" s="6">
        <v>0.1524305080104067</v>
      </c>
      <c r="D45" s="3">
        <v>600724</v>
      </c>
      <c r="E45" s="3">
        <v>73030</v>
      </c>
      <c r="F45" s="3">
        <v>106374</v>
      </c>
      <c r="G45" s="3">
        <v>11132</v>
      </c>
      <c r="H45" s="6">
        <v>0.10839267744607083</v>
      </c>
    </row>
    <row r="46" spans="1:8">
      <c r="A46" s="4">
        <v>46204</v>
      </c>
      <c r="B46" s="6">
        <v>0.18103651547404617</v>
      </c>
      <c r="C46" s="6">
        <v>0.15095815945530419</v>
      </c>
      <c r="D46" s="3">
        <v>610700</v>
      </c>
      <c r="E46" s="3">
        <v>72848</v>
      </c>
      <c r="F46" s="3">
        <v>110559</v>
      </c>
      <c r="G46" s="3">
        <v>10997</v>
      </c>
      <c r="H46" s="6">
        <v>0.10657334964040564</v>
      </c>
    </row>
    <row r="47" spans="1:8">
      <c r="A47" s="4">
        <v>46235</v>
      </c>
      <c r="B47" s="6">
        <v>0.181544368156875</v>
      </c>
      <c r="C47" s="6">
        <v>0.14206243201189706</v>
      </c>
      <c r="D47" s="3">
        <v>615216</v>
      </c>
      <c r="E47" s="3">
        <v>72623</v>
      </c>
      <c r="F47" s="3">
        <v>111689</v>
      </c>
      <c r="G47" s="3">
        <v>10317</v>
      </c>
      <c r="H47" s="6">
        <v>0.10558139332023918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6F09A-79EB-489F-95E0-CE3EE0DF8AE6}">
  <dimension ref="A1:D5"/>
  <sheetViews>
    <sheetView topLeftCell="A2" workbookViewId="0">
      <selection activeCell="F5" sqref="F5"/>
    </sheetView>
  </sheetViews>
  <sheetFormatPr defaultRowHeight="13.5"/>
  <sheetData>
    <row r="1" spans="1:4" ht="151.5" customHeight="1">
      <c r="A1" s="13" t="s">
        <v>93</v>
      </c>
      <c r="B1" s="13" t="s">
        <v>94</v>
      </c>
      <c r="C1" s="13" t="s">
        <v>95</v>
      </c>
    </row>
    <row r="2" spans="1:4" ht="409.6">
      <c r="A2" s="13" t="s">
        <v>96</v>
      </c>
      <c r="B2" s="13" t="s">
        <v>97</v>
      </c>
      <c r="C2" s="13" t="s">
        <v>95</v>
      </c>
    </row>
    <row r="3" spans="1:4" ht="409.6">
      <c r="A3" s="13" t="s">
        <v>98</v>
      </c>
      <c r="B3" s="13" t="s">
        <v>99</v>
      </c>
      <c r="C3" s="13" t="s">
        <v>100</v>
      </c>
    </row>
    <row r="4" spans="1:4" ht="409.6">
      <c r="A4" s="13" t="s">
        <v>101</v>
      </c>
      <c r="B4" s="13" t="s">
        <v>102</v>
      </c>
      <c r="C4" t="s">
        <v>103</v>
      </c>
    </row>
    <row r="5" spans="1:4" ht="409.6">
      <c r="A5" s="13" t="s">
        <v>104</v>
      </c>
      <c r="B5" s="13" t="s">
        <v>105</v>
      </c>
      <c r="C5" s="13" t="s">
        <v>106</v>
      </c>
      <c r="D5" s="1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A3811-D1F5-45B1-B394-635B0D327559}">
  <dimension ref="A3:D49"/>
  <sheetViews>
    <sheetView topLeftCell="A44" workbookViewId="0">
      <selection activeCell="E56" sqref="E56"/>
    </sheetView>
  </sheetViews>
  <sheetFormatPr defaultRowHeight="13.5"/>
  <cols>
    <col min="1" max="1" width="11.125" bestFit="1" customWidth="1"/>
    <col min="2" max="2" width="16.375" bestFit="1" customWidth="1"/>
    <col min="3" max="3" width="10.25" bestFit="1" customWidth="1"/>
    <col min="4" max="4" width="10.5" bestFit="1" customWidth="1"/>
  </cols>
  <sheetData>
    <row r="3" spans="1:4">
      <c r="A3" s="2" t="s">
        <v>78</v>
      </c>
      <c r="B3" s="2" t="s">
        <v>20</v>
      </c>
    </row>
    <row r="4" spans="1:4">
      <c r="A4" s="2" t="s">
        <v>18</v>
      </c>
      <c r="B4" t="s">
        <v>26</v>
      </c>
      <c r="C4" t="s">
        <v>23</v>
      </c>
      <c r="D4" t="s">
        <v>79</v>
      </c>
    </row>
    <row r="5" spans="1:4">
      <c r="A5" s="1">
        <v>44927</v>
      </c>
      <c r="B5">
        <v>83474</v>
      </c>
      <c r="C5">
        <v>589676</v>
      </c>
      <c r="D5">
        <v>673150</v>
      </c>
    </row>
    <row r="6" spans="1:4">
      <c r="A6" s="1">
        <v>44958</v>
      </c>
      <c r="B6">
        <v>83720</v>
      </c>
      <c r="C6">
        <v>596102</v>
      </c>
      <c r="D6">
        <v>679822</v>
      </c>
    </row>
    <row r="7" spans="1:4">
      <c r="A7" s="1">
        <v>44986</v>
      </c>
      <c r="B7">
        <v>85064</v>
      </c>
      <c r="C7">
        <v>594861</v>
      </c>
      <c r="D7">
        <v>679925</v>
      </c>
    </row>
    <row r="8" spans="1:4">
      <c r="A8" s="1">
        <v>45017</v>
      </c>
      <c r="B8">
        <v>84789</v>
      </c>
      <c r="C8">
        <v>596267</v>
      </c>
      <c r="D8">
        <v>681056</v>
      </c>
    </row>
    <row r="9" spans="1:4">
      <c r="A9" s="1">
        <v>45047</v>
      </c>
      <c r="B9">
        <v>84446</v>
      </c>
      <c r="C9">
        <v>600883</v>
      </c>
      <c r="D9">
        <v>685329</v>
      </c>
    </row>
    <row r="10" spans="1:4">
      <c r="A10" s="1">
        <v>45078</v>
      </c>
      <c r="B10">
        <v>84004</v>
      </c>
      <c r="C10">
        <v>598221</v>
      </c>
      <c r="D10">
        <v>682225</v>
      </c>
    </row>
    <row r="11" spans="1:4">
      <c r="A11" s="1">
        <v>45108</v>
      </c>
      <c r="B11">
        <v>83138</v>
      </c>
      <c r="C11">
        <v>601146</v>
      </c>
      <c r="D11">
        <v>684284</v>
      </c>
    </row>
    <row r="12" spans="1:4">
      <c r="A12" s="1">
        <v>45139</v>
      </c>
      <c r="B12">
        <v>83292</v>
      </c>
      <c r="C12">
        <v>600819</v>
      </c>
      <c r="D12">
        <v>684111</v>
      </c>
    </row>
    <row r="13" spans="1:4">
      <c r="A13" s="1">
        <v>45170</v>
      </c>
      <c r="B13">
        <v>83182</v>
      </c>
      <c r="C13">
        <v>597082</v>
      </c>
      <c r="D13">
        <v>680264</v>
      </c>
    </row>
    <row r="14" spans="1:4">
      <c r="A14" s="1">
        <v>45200</v>
      </c>
      <c r="B14">
        <v>82843</v>
      </c>
      <c r="C14">
        <v>588821</v>
      </c>
      <c r="D14">
        <v>671664</v>
      </c>
    </row>
    <row r="15" spans="1:4">
      <c r="A15" s="1">
        <v>45231</v>
      </c>
      <c r="B15">
        <v>84282</v>
      </c>
      <c r="C15">
        <v>580056</v>
      </c>
      <c r="D15">
        <v>664338</v>
      </c>
    </row>
    <row r="16" spans="1:4">
      <c r="A16" s="1">
        <v>45261</v>
      </c>
      <c r="B16">
        <v>85750</v>
      </c>
      <c r="C16">
        <v>562038</v>
      </c>
      <c r="D16">
        <v>647788</v>
      </c>
    </row>
    <row r="17" spans="1:4">
      <c r="A17" s="1">
        <v>45292</v>
      </c>
      <c r="B17">
        <v>86288</v>
      </c>
      <c r="C17">
        <v>568691</v>
      </c>
      <c r="D17">
        <v>654979</v>
      </c>
    </row>
    <row r="18" spans="1:4">
      <c r="A18" s="1">
        <v>45323</v>
      </c>
      <c r="B18">
        <v>86625</v>
      </c>
      <c r="C18">
        <v>578595</v>
      </c>
      <c r="D18">
        <v>665220</v>
      </c>
    </row>
    <row r="19" spans="1:4">
      <c r="A19" s="1">
        <v>45352</v>
      </c>
      <c r="B19">
        <v>86813</v>
      </c>
      <c r="C19">
        <v>585030</v>
      </c>
      <c r="D19">
        <v>671843</v>
      </c>
    </row>
    <row r="20" spans="1:4">
      <c r="A20" s="1">
        <v>45383</v>
      </c>
      <c r="B20">
        <v>86827</v>
      </c>
      <c r="C20">
        <v>589225</v>
      </c>
      <c r="D20">
        <v>676052</v>
      </c>
    </row>
    <row r="21" spans="1:4">
      <c r="A21" s="1">
        <v>45413</v>
      </c>
      <c r="B21">
        <v>87709</v>
      </c>
      <c r="C21">
        <v>593388</v>
      </c>
      <c r="D21">
        <v>681097</v>
      </c>
    </row>
    <row r="22" spans="1:4">
      <c r="A22" s="1">
        <v>45444</v>
      </c>
      <c r="B22">
        <v>88815</v>
      </c>
      <c r="C22">
        <v>597948</v>
      </c>
      <c r="D22">
        <v>686763</v>
      </c>
    </row>
    <row r="23" spans="1:4">
      <c r="A23" s="1">
        <v>45474</v>
      </c>
      <c r="B23">
        <v>88063</v>
      </c>
      <c r="C23">
        <v>599458</v>
      </c>
      <c r="D23">
        <v>687521</v>
      </c>
    </row>
    <row r="24" spans="1:4">
      <c r="A24" s="1">
        <v>45505</v>
      </c>
      <c r="B24">
        <v>87100</v>
      </c>
      <c r="C24">
        <v>601490</v>
      </c>
      <c r="D24">
        <v>688590</v>
      </c>
    </row>
    <row r="25" spans="1:4">
      <c r="A25" s="1">
        <v>45536</v>
      </c>
      <c r="B25">
        <v>87022</v>
      </c>
      <c r="C25">
        <v>595575</v>
      </c>
      <c r="D25">
        <v>682597</v>
      </c>
    </row>
    <row r="26" spans="1:4">
      <c r="A26" s="1">
        <v>45566</v>
      </c>
      <c r="B26">
        <v>87753</v>
      </c>
      <c r="C26">
        <v>588544</v>
      </c>
      <c r="D26">
        <v>676297</v>
      </c>
    </row>
    <row r="27" spans="1:4">
      <c r="A27" s="1">
        <v>45597</v>
      </c>
      <c r="B27">
        <v>88296</v>
      </c>
      <c r="C27">
        <v>572403</v>
      </c>
      <c r="D27">
        <v>660699</v>
      </c>
    </row>
    <row r="28" spans="1:4">
      <c r="A28" s="1">
        <v>45627</v>
      </c>
      <c r="B28">
        <v>91031</v>
      </c>
      <c r="C28">
        <v>557187</v>
      </c>
      <c r="D28">
        <v>648218</v>
      </c>
    </row>
    <row r="29" spans="1:4">
      <c r="A29" s="1">
        <v>45658</v>
      </c>
      <c r="B29">
        <v>94456</v>
      </c>
      <c r="C29">
        <v>569249</v>
      </c>
      <c r="D29">
        <v>663705</v>
      </c>
    </row>
    <row r="30" spans="1:4">
      <c r="A30" s="1">
        <v>45689</v>
      </c>
      <c r="B30">
        <v>95983</v>
      </c>
      <c r="C30">
        <v>575716</v>
      </c>
      <c r="D30">
        <v>671699</v>
      </c>
    </row>
    <row r="31" spans="1:4">
      <c r="A31" s="1">
        <v>45717</v>
      </c>
      <c r="B31">
        <v>97040</v>
      </c>
      <c r="C31">
        <v>581736</v>
      </c>
      <c r="D31">
        <v>678776</v>
      </c>
    </row>
    <row r="32" spans="1:4">
      <c r="A32" s="1">
        <v>45748</v>
      </c>
      <c r="B32">
        <v>100273</v>
      </c>
      <c r="C32">
        <v>584713</v>
      </c>
      <c r="D32">
        <v>684986</v>
      </c>
    </row>
    <row r="33" spans="1:4">
      <c r="A33" s="1">
        <v>45778</v>
      </c>
      <c r="B33">
        <v>100150</v>
      </c>
      <c r="C33">
        <v>586917</v>
      </c>
      <c r="D33">
        <v>687067</v>
      </c>
    </row>
    <row r="34" spans="1:4">
      <c r="A34" s="1">
        <v>45809</v>
      </c>
      <c r="B34">
        <v>99863</v>
      </c>
      <c r="C34">
        <v>600390</v>
      </c>
      <c r="D34">
        <v>700253</v>
      </c>
    </row>
    <row r="35" spans="1:4">
      <c r="A35" s="1">
        <v>45839</v>
      </c>
      <c r="B35">
        <v>100019</v>
      </c>
      <c r="C35">
        <v>614470</v>
      </c>
      <c r="D35">
        <v>714489</v>
      </c>
    </row>
    <row r="36" spans="1:4">
      <c r="A36" s="1">
        <v>45870</v>
      </c>
      <c r="B36">
        <v>98468</v>
      </c>
      <c r="C36">
        <v>623008</v>
      </c>
      <c r="D36">
        <v>721476</v>
      </c>
    </row>
    <row r="37" spans="1:4">
      <c r="A37" s="1">
        <v>45901</v>
      </c>
      <c r="B37">
        <v>100045</v>
      </c>
      <c r="C37">
        <v>626521</v>
      </c>
      <c r="D37">
        <v>726566</v>
      </c>
    </row>
    <row r="38" spans="1:4">
      <c r="A38" s="1">
        <v>45931</v>
      </c>
      <c r="B38">
        <v>103573</v>
      </c>
      <c r="C38">
        <v>626960</v>
      </c>
      <c r="D38">
        <v>730533</v>
      </c>
    </row>
    <row r="39" spans="1:4">
      <c r="A39" s="1">
        <v>45962</v>
      </c>
      <c r="B39">
        <v>104844</v>
      </c>
      <c r="C39">
        <v>623819</v>
      </c>
      <c r="D39">
        <v>728663</v>
      </c>
    </row>
    <row r="40" spans="1:4">
      <c r="A40" s="1">
        <v>45992</v>
      </c>
      <c r="B40">
        <v>107181</v>
      </c>
      <c r="C40">
        <v>611987</v>
      </c>
      <c r="D40">
        <v>719168</v>
      </c>
    </row>
    <row r="41" spans="1:4">
      <c r="A41" s="1">
        <v>46023</v>
      </c>
      <c r="B41">
        <v>112023</v>
      </c>
      <c r="C41">
        <v>631608</v>
      </c>
      <c r="D41">
        <v>743631</v>
      </c>
    </row>
    <row r="42" spans="1:4">
      <c r="A42" s="1">
        <v>46054</v>
      </c>
      <c r="B42">
        <v>114219</v>
      </c>
      <c r="C42">
        <v>642158</v>
      </c>
      <c r="D42">
        <v>756377</v>
      </c>
    </row>
    <row r="43" spans="1:4">
      <c r="A43" s="1">
        <v>46082</v>
      </c>
      <c r="B43">
        <v>115216</v>
      </c>
      <c r="C43">
        <v>650632</v>
      </c>
      <c r="D43">
        <v>765848</v>
      </c>
    </row>
    <row r="44" spans="1:4">
      <c r="A44" s="1">
        <v>46113</v>
      </c>
      <c r="B44">
        <v>115759</v>
      </c>
      <c r="C44">
        <v>660296</v>
      </c>
      <c r="D44">
        <v>776055</v>
      </c>
    </row>
    <row r="45" spans="1:4">
      <c r="A45" s="1">
        <v>46143</v>
      </c>
      <c r="B45">
        <v>115450</v>
      </c>
      <c r="C45">
        <v>669506</v>
      </c>
      <c r="D45">
        <v>784956</v>
      </c>
    </row>
    <row r="46" spans="1:4">
      <c r="A46" s="1">
        <v>46174</v>
      </c>
      <c r="B46">
        <v>116365</v>
      </c>
      <c r="C46">
        <v>673754</v>
      </c>
      <c r="D46">
        <v>790119</v>
      </c>
    </row>
    <row r="47" spans="1:4">
      <c r="A47" s="1">
        <v>46204</v>
      </c>
      <c r="B47">
        <v>116243</v>
      </c>
      <c r="C47">
        <v>683548</v>
      </c>
      <c r="D47">
        <v>799791</v>
      </c>
    </row>
    <row r="48" spans="1:4">
      <c r="A48" s="1">
        <v>46235</v>
      </c>
      <c r="B48">
        <v>114921</v>
      </c>
      <c r="C48">
        <v>687839</v>
      </c>
      <c r="D48">
        <v>802760</v>
      </c>
    </row>
    <row r="49" spans="1:4">
      <c r="A49" s="1" t="s">
        <v>79</v>
      </c>
      <c r="B49">
        <v>4182417</v>
      </c>
      <c r="C49">
        <v>26658333</v>
      </c>
      <c r="D49">
        <v>30840750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nouma</dc:creator>
  <cp:keywords/>
  <dc:description/>
  <cp:lastModifiedBy/>
  <cp:revision/>
  <dcterms:created xsi:type="dcterms:W3CDTF">2026-10-04T21:33:34Z</dcterms:created>
  <dcterms:modified xsi:type="dcterms:W3CDTF">2026-10-05T23:23:49Z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24E6E8D52D03408DB89DC1009B2DD8DD_11</vt:lpwstr>
  </property>
  <property fmtid="{D5CDD505-2E9C-101B-9397-08002B2CF9AE}" pid="3" name="KSOProductBuildVer">
    <vt:lpwstr>1033-12.1.0.28485</vt:lpwstr>
  </property>
  <property fmtid="{D5CDD505-2E9C-101B-9397-08002B2CF9AE}" pid="4" name="CalculationRule">
    <vt:i4>1</vt:i4>
  </property>
</Properties>
</file>